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dashaekara" sheetId="1" r:id="rId4"/>
    <sheet state="visible" name="Harinadh" sheetId="2" r:id="rId5"/>
    <sheet state="visible" name="Rohit" sheetId="3" r:id="rId6"/>
    <sheet state="visible" name="Sagar S H" sheetId="4" r:id="rId7"/>
    <sheet state="visible" name="Deekshith" sheetId="5" r:id="rId8"/>
    <sheet state="visible" name="Pranav" sheetId="6" r:id="rId9"/>
    <sheet state="visible" name="Suman Kanoj" sheetId="7" r:id="rId10"/>
    <sheet state="visible" name="Mouli" sheetId="8" r:id="rId11"/>
    <sheet state="visible" name="Saraswathi" sheetId="9" r:id="rId12"/>
    <sheet state="visible" name="Ragavan K" sheetId="10" r:id="rId13"/>
    <sheet state="visible" name="Prerana" sheetId="11" r:id="rId14"/>
    <sheet state="visible" name="Manovya" sheetId="12" r:id="rId15"/>
    <sheet state="visible" name="master" sheetId="13" r:id="rId16"/>
  </sheets>
  <definedNames>
    <definedName name="NamedRange1">Rohit!$B:$B</definedName>
    <definedName hidden="1" localSheetId="4" name="_xlnm._FilterDatabase">Deekshith!$A$1:$G$95</definedName>
    <definedName hidden="1" localSheetId="12" name="_xlnm._FilterDatabase">master!$A$1:$G$785</definedName>
  </definedNames>
  <calcPr/>
</workbook>
</file>

<file path=xl/sharedStrings.xml><?xml version="1.0" encoding="utf-8"?>
<sst xmlns="http://schemas.openxmlformats.org/spreadsheetml/2006/main" count="3449" uniqueCount="327">
  <si>
    <t>Column 1</t>
  </si>
  <si>
    <t>Annotator</t>
  </si>
  <si>
    <t>Projects</t>
  </si>
  <si>
    <t>Task</t>
  </si>
  <si>
    <t>Status</t>
  </si>
  <si>
    <t>No of Annotations Completed</t>
  </si>
  <si>
    <t>Projects 2</t>
  </si>
  <si>
    <t>Task 2</t>
  </si>
  <si>
    <t>Status 2</t>
  </si>
  <si>
    <t>No of Annotations Completed 2</t>
  </si>
  <si>
    <t>Comments</t>
  </si>
  <si>
    <t>Column 4</t>
  </si>
  <si>
    <t>Column 5</t>
  </si>
  <si>
    <t>Column 6</t>
  </si>
  <si>
    <t>Column 7</t>
  </si>
  <si>
    <t>Column 9</t>
  </si>
  <si>
    <t>Column 10</t>
  </si>
  <si>
    <t>Chandrashekar</t>
  </si>
  <si>
    <t>VRASS,CPOT,Respiratory Distress</t>
  </si>
  <si>
    <t xml:space="preserve"> Data Collection</t>
  </si>
  <si>
    <t>Done</t>
  </si>
  <si>
    <t>Video Processor (VRASS, CPOT &amp; Respiratory Distress)</t>
  </si>
  <si>
    <t>Mask ON/OFF</t>
  </si>
  <si>
    <t>Classification</t>
  </si>
  <si>
    <t>Video Processor (VRASS, CPOT &amp; Respiratory Distress), Data Segregation of Mask On/Off data</t>
  </si>
  <si>
    <t>CVAT Video Processor (VRASS, CPOT &amp; Respiratory Distress)</t>
  </si>
  <si>
    <t>CVAT Video Processor (VRASS, CPOT &amp; Respiratory Distress), Data Segregation of Mask On/Off data</t>
  </si>
  <si>
    <t>Date</t>
  </si>
  <si>
    <t>`CVAT Video Processor (VRASS, CPOT &amp; Respiratory Distress)</t>
  </si>
  <si>
    <t>Leave</t>
  </si>
  <si>
    <t>ICU Automation</t>
  </si>
  <si>
    <t>BBOX</t>
  </si>
  <si>
    <t>CVAT Video Processor (VRASS, CPOT &amp; Respiratory Distress), Object identification in ICU-CVAT</t>
  </si>
  <si>
    <t xml:space="preserve">Object identification in ICU-CVAT, </t>
  </si>
  <si>
    <t xml:space="preserve"> Delirium-Agitation and Over Sedaton</t>
  </si>
  <si>
    <t>ICU Automation-Working on Presets for data collection</t>
  </si>
  <si>
    <t>Image Preprocessing for ICU Automation</t>
  </si>
  <si>
    <t>Overcrowding</t>
  </si>
  <si>
    <t>Review the overcrowding images and process documentation</t>
  </si>
  <si>
    <t>BB Annotation in CVAT for ICU Automation</t>
  </si>
  <si>
    <t>vSitter</t>
  </si>
  <si>
    <t xml:space="preserve">BB Annotation in cvat for Vsitter </t>
  </si>
  <si>
    <t>Segmentation</t>
  </si>
  <si>
    <t>Segmentation Annotation in CVAT for ICU Automation</t>
  </si>
  <si>
    <t>Netra</t>
  </si>
  <si>
    <t>Ground Truth</t>
  </si>
  <si>
    <t>nethra ground truth</t>
  </si>
  <si>
    <t>Keypoints</t>
  </si>
  <si>
    <t>CVAT Keypoints Annotation</t>
  </si>
  <si>
    <t>CVAT Segmentation Annotation</t>
  </si>
  <si>
    <t>Others</t>
  </si>
  <si>
    <t>Check the hospital cameras to determine whether CP beds number are available</t>
  </si>
  <si>
    <t>worked under (Chandrashekara.l@cloudphysician)</t>
  </si>
  <si>
    <t>In Progress</t>
  </si>
  <si>
    <t>Projects 1</t>
  </si>
  <si>
    <t>Task 1</t>
  </si>
  <si>
    <t>Status 1</t>
  </si>
  <si>
    <t>Nagaharinadh</t>
  </si>
  <si>
    <t>Training</t>
  </si>
  <si>
    <t>Joining process &amp; KT &amp; Training</t>
  </si>
  <si>
    <t>WIP</t>
  </si>
  <si>
    <t xml:space="preserve">Completed </t>
  </si>
  <si>
    <t>Completed</t>
  </si>
  <si>
    <t>250, 100</t>
  </si>
  <si>
    <t>Completed, WIP</t>
  </si>
  <si>
    <t>200, 192</t>
  </si>
  <si>
    <t>The Review of 2 Dataset has been Completed</t>
  </si>
  <si>
    <t>The Review of 3 Dataset has been Completed</t>
  </si>
  <si>
    <t>Server Issuse</t>
  </si>
  <si>
    <t>Server Issuse, 70</t>
  </si>
  <si>
    <t>nephroplus</t>
  </si>
  <si>
    <t>I have Completed segmentation for 100 ICU Automation images and segregated the Nephroplus dataset into 340 nurses, 1,566 patients, and 78 non-nurse images</t>
  </si>
  <si>
    <t xml:space="preserve">nurse -1240 , patient - 1147, not nurse- 335 images are segregated </t>
  </si>
  <si>
    <t xml:space="preserve">nurse -1889 , patient - 3409, not nurse- 609, deleted data -1246 images are segregated </t>
  </si>
  <si>
    <t>Optional Holiday Christmas</t>
  </si>
  <si>
    <t>Patient-5957 images are segregated</t>
  </si>
  <si>
    <t>I have Completed segmentation for 100 ICU Automation images and segregated the Nephroplus dataset 2628-nurses images</t>
  </si>
  <si>
    <t>I have reworked 255 images in ICU automation</t>
  </si>
  <si>
    <t>Completed &amp; Worked on camera presets</t>
  </si>
  <si>
    <t>Completed &amp; Working on ICU automation for segmentation</t>
  </si>
  <si>
    <t>Video Annotation</t>
  </si>
  <si>
    <t>Column 12</t>
  </si>
  <si>
    <t>Rohit</t>
  </si>
  <si>
    <t>Adult RD</t>
  </si>
  <si>
    <t>Video Annotations</t>
  </si>
  <si>
    <t>ONAM</t>
  </si>
  <si>
    <t>CVAT tagging</t>
  </si>
  <si>
    <t>Tagging</t>
  </si>
  <si>
    <t>worked on perfect, acceptable images as instructed by Yogesh</t>
  </si>
  <si>
    <t>Airways</t>
  </si>
  <si>
    <t>CVAT tagging &amp;  MaskOn/Off segg.</t>
  </si>
  <si>
    <t>CVAT corrections and VRASS RD in video-processor</t>
  </si>
  <si>
    <t xml:space="preserve"> VRASS,CPOT,Respiratory Distress</t>
  </si>
  <si>
    <t>CVAT tagging for VRASS</t>
  </si>
  <si>
    <t>object_detection_bed_occupancy</t>
  </si>
  <si>
    <t>CVAT BBOX for bed occupany {bed/patient}</t>
  </si>
  <si>
    <t>CVAT Tagging for vSitter all classes(9 datasets) &amp; QC</t>
  </si>
  <si>
    <t>Data collec. for Key point annotation vSitter project</t>
  </si>
  <si>
    <t>Preset</t>
  </si>
  <si>
    <t>Working on Presets for data collection</t>
  </si>
  <si>
    <t xml:space="preserve"> Data Cleaning</t>
  </si>
  <si>
    <t>Data cleaning for CVAT Annotations</t>
  </si>
  <si>
    <t>Data Downloding from GCP bucket(Abusaad) Data Trimming for RD  Video-Processor</t>
  </si>
  <si>
    <t>RD  Video-Processor</t>
  </si>
  <si>
    <t xml:space="preserve">Video Processor for Respiratory distress data &amp; co-ordinating with RN's </t>
  </si>
  <si>
    <t>Along with RD collec.prepared documentation for Resp. Dist.</t>
  </si>
  <si>
    <t>collected, reviewed &amp; uploaded data to GCP</t>
  </si>
  <si>
    <t>Video Processor for Respiratory distress data &amp; downoaded new dataset of 324 videos</t>
  </si>
  <si>
    <t xml:space="preserve">Video Processor for Respiratory distress data </t>
  </si>
  <si>
    <t>Uploaded and moved old data of RD to "ml_data_pipelines" &amp; helped Sarawsathi with vSitter railing image segregation</t>
  </si>
  <si>
    <t>Downloaded -ve RD from 17102025 (total - 579)</t>
  </si>
  <si>
    <t>worked on data of -ve RD Video Processor</t>
  </si>
  <si>
    <t>worked on 200 videos(17102025 tab)  and downloaded 328 videos for -ve RD from 19102025 RD tab</t>
  </si>
  <si>
    <t xml:space="preserve">250 videos (17102025 tab) </t>
  </si>
  <si>
    <t>finished reviewing and uploading the data into GCP "ml_data_pilelines" -&gt; negative_respiratory_distress</t>
  </si>
  <si>
    <t>annotated nephroplus beds with polygons for ROI of bed, machine &amp; ROI</t>
  </si>
  <si>
    <t>worked on -ve RD(17102025 tab)</t>
  </si>
  <si>
    <t>bed and machine status finsihed for 7 camera</t>
  </si>
  <si>
    <t>machine and bed status</t>
  </si>
  <si>
    <t>finished bed status(2025_11_14)</t>
  </si>
  <si>
    <t xml:space="preserve">Dialysis  start and end time stamps finsihed </t>
  </si>
  <si>
    <t>17 &amp; 21 cams fisnished Dialysis tracking</t>
  </si>
  <si>
    <t>Dialysis finished for one cam (2025_11_21)</t>
  </si>
  <si>
    <t>Nephroplus_dialysis (2025_11_21)</t>
  </si>
  <si>
    <t>Fiished one whole set (2025_11_21)</t>
  </si>
  <si>
    <t>finsihedboth units bed status (2025_11_21)</t>
  </si>
  <si>
    <t>finished Unit 1 cams for Machine cleaning task (2025_11_21)</t>
  </si>
  <si>
    <t>Finished Unit 2 &amp;  finished [2025_11_23] 7 &amp; 11 cams</t>
  </si>
  <si>
    <t>finished [2025_11_14] cam 9 and 30 &amp; changed hh:mm:ss to mm:ss for all the sheets</t>
  </si>
  <si>
    <t>finished [2025_11_21] cam 9 and 30 &amp; changed hh:mm:ss to mm:ss for all the sheets</t>
  </si>
  <si>
    <t>to find if we can collect -ve RD for same +ve RD videos with same cam preset</t>
  </si>
  <si>
    <t>finished data collec from "data_19102025" tab for -ve RD &amp; downloaded 886 raw videos for -ve RD data collec.</t>
  </si>
  <si>
    <t>filled data distribution sheet for RD and Nephoplus</t>
  </si>
  <si>
    <t>year end part/ secrete santa</t>
  </si>
  <si>
    <t>-ve Resp. dist. Data collec.</t>
  </si>
  <si>
    <t>key point annotations for vSitter {dataset-supine-with-bedsheet-3}</t>
  </si>
  <si>
    <t>Optional Holiday</t>
  </si>
  <si>
    <t>-ve Resp. dist. Data collec. tab [AINA_27102025]</t>
  </si>
  <si>
    <t>-ve RD Data Collec.</t>
  </si>
  <si>
    <t>-ve RD Data Collec. and data uploaded into GCP</t>
  </si>
  <si>
    <t>`+ve RD Data Collec.</t>
  </si>
  <si>
    <t>Sagar Hiremat</t>
  </si>
  <si>
    <t>Data Cleaning</t>
  </si>
  <si>
    <t>Optional Leave</t>
  </si>
  <si>
    <t>Deekshith L</t>
  </si>
  <si>
    <t>Data Collection</t>
  </si>
  <si>
    <t>Video Processor (VRASS, CPOT &amp; Respiratory Distress) and worked on Netra Ground Truth</t>
  </si>
  <si>
    <t>Optional Leave-Onam / Ed Milad</t>
  </si>
  <si>
    <t>Video Processor (VRASS, CPOT &amp; Respiratory Distress), Worked for Camera Presets of Beds</t>
  </si>
  <si>
    <t>CVAT Video Processor (VRASS, CPOT &amp; Respiratory Distress), vsitter datased segregation(Cleaned)</t>
  </si>
  <si>
    <t>Data Segregation of Mask On/Off data</t>
  </si>
  <si>
    <t>CVAT Video Processor (VRASS, CPOT &amp; Respiratory Distress)-CVAT Annotation</t>
  </si>
  <si>
    <t>CVAT Video Processor (VRASS, CPOT &amp; Respiratory Distress)-CVAT Annotations QC</t>
  </si>
  <si>
    <t>Clean Agitation vent on and vent off- VRASS</t>
  </si>
  <si>
    <t>Optional Leave- Mahanavami</t>
  </si>
  <si>
    <t>Delirium</t>
  </si>
  <si>
    <t>VRASS CVAT Annotation-QC, Object Identification in ICU-datasets and tasks creation in CVAT</t>
  </si>
  <si>
    <t>Object identification in ICU-CVAT- Annotation, Respiratory distress and calm data segregation and uploaded to drive</t>
  </si>
  <si>
    <t>Object identification in ICU-CVAT- Annotation, Delirium-Agitation and Over Sedaton data segregation</t>
  </si>
  <si>
    <t>Delirium-Agitation and Over Sedaton data segregation and uploaded to drive, Completed till 15/09/2025 data</t>
  </si>
  <si>
    <t>Delirium-Agitation and Over Sedaton data segregation, Completed till 20/09/2025's data</t>
  </si>
  <si>
    <t>Delirium-Agitation and Over Sedaton data segregation Downloaded the data from 21-25/09/2025 from GCP storage and started annotation</t>
  </si>
  <si>
    <t>Delirium-Agitation and Over Sedaton data segregation , Object identification in ICU-CVAT Annotation, Tagging Labels for vSitter_Cleveland in CVAT- Annotation, Downloaded the data from 26/09/2025-to-30/09/2025 from GCP storage and started annotation, uploaded the previous day's annotation data to the drive and created Delirium evaluation sheet, (Completed / WIP / Completed)</t>
  </si>
  <si>
    <t xml:space="preserve">Tagging Labels for vSitter_Cleveland in CVAT-Annotation and QC </t>
  </si>
  <si>
    <t>CVAT-BB Annotation, ICU Automation-Working on Presets for data collection</t>
  </si>
  <si>
    <t>Optional Leave-Diwali</t>
  </si>
  <si>
    <t>ICU Automation- cleanup the images and creating datasets</t>
  </si>
  <si>
    <t>Working on Ground truth evaluation for Overcrowding</t>
  </si>
  <si>
    <t xml:space="preserve">Working on Ground truth evaluation, ICU Automation- cleanup the images and creating datasets Completed and shared in drive </t>
  </si>
  <si>
    <t xml:space="preserve">Review the overcrowding images and documentation for the process- completed </t>
  </si>
  <si>
    <t>Review the overcrowding images and BB Annotation in CVAT for ICU Automation</t>
  </si>
  <si>
    <t>BB Annotation in CVAT for ICU Automation, KT for new Joinee</t>
  </si>
  <si>
    <t>BB Annotation in CVAT for ICU Automation-Review</t>
  </si>
  <si>
    <t>BB Annotation in CVAT for ICU Automation, and KT of Nephroplus Data downloading  and discussion about Video annotation</t>
  </si>
  <si>
    <t>Nephroplus</t>
  </si>
  <si>
    <t>Nephroplus Video annotation for bed and bucket status</t>
  </si>
  <si>
    <t>Nephroplus data downloading and Video annotation for bed and bucket status</t>
  </si>
  <si>
    <t>Nephroplus Video annotation and KT for dialysis process and BP events</t>
  </si>
  <si>
    <t>Nephroplus Video annotation for dialysis process and BP events</t>
  </si>
  <si>
    <t>Nephroplus Video annotation and KT for dialysis process and BP events nad KT given to New Joinee</t>
  </si>
  <si>
    <t>BB Annotation in CVAT for ICU Automation-Review, Training session on Nephroplus for New joinees</t>
  </si>
  <si>
    <t>Nephroplus- polyline annotation correction and layout preparation</t>
  </si>
  <si>
    <t>Nephroplus- polyline annotation and layout preparation</t>
  </si>
  <si>
    <t>Nephroplus- polyline annotation , Nephroplus Video annotation for bed and bucket status</t>
  </si>
  <si>
    <t>Segmentation Annotation in CVAT for ICU Automation-Datassets creation</t>
  </si>
  <si>
    <t>monitor data collection for Netra in Sadguru hospital</t>
  </si>
  <si>
    <t>Validating the collected data of oxy9wave monitor of Sadguru Hodpital, task creation and BBox annotation Cvat</t>
  </si>
  <si>
    <t>CVAT annotation of Sadguru Oxy9wave monitor and Netra _Ground_truth- Worked under Suman ID (suman.kanoj@cloudphysician.net)</t>
  </si>
  <si>
    <t>CVAT Keypoints Annotation, and QC</t>
  </si>
  <si>
    <t>Optional Leave- Christmas</t>
  </si>
  <si>
    <t>Segmentation Annotation in CVAT for ICU Automation-(25)Datassets creation and Document preparation</t>
  </si>
  <si>
    <t>Segmentation Annotation in CVAT for ICU Automation and Nethra Ground Truth(Trinethra)</t>
  </si>
  <si>
    <t>Optional Leave- New Year</t>
  </si>
  <si>
    <t>Worked under ID (deekshith.l@cloudphysician.net)</t>
  </si>
  <si>
    <t>Took KT session for Pranav and Raghavan about segmentation and assing ned the  tasks and review the annotations</t>
  </si>
  <si>
    <t xml:space="preserve">Segmentation Annotation in CVAT for ICU Automation </t>
  </si>
  <si>
    <t>Pranav</t>
  </si>
  <si>
    <t>nephroplus image Distribution 
nurse - 1117 
non nurse- 120 
patient- 641
unwanted deleted- 79</t>
  </si>
  <si>
    <t xml:space="preserve">nephroplus image Distribution 
nurse - 1006 
non nurse- 349 
patient- 1579
</t>
  </si>
  <si>
    <t>nephroplus image Distribution 
nurse -  1418
non nurse-  287
patient- 3517
unwanted deleted- 222</t>
  </si>
  <si>
    <t xml:space="preserve">nephroplus image Distribution 
nurse -  639
non nurse-  327
patient- 2672
</t>
  </si>
  <si>
    <t xml:space="preserve">nephroplus image Distribution 
nurse -  1743
non nurse-  490
patient- 505
</t>
  </si>
  <si>
    <t>405- nephroplus;  90 ground truth</t>
  </si>
  <si>
    <t>training</t>
  </si>
  <si>
    <t>Appearance</t>
  </si>
  <si>
    <t>Suman Kanoj</t>
  </si>
  <si>
    <t>CVAT vSitter</t>
  </si>
  <si>
    <t>CVAT vSitter  and QualityCheck</t>
  </si>
  <si>
    <t xml:space="preserve"> Video Annotations</t>
  </si>
  <si>
    <t>VRASS and setting pre-sets for 15 IPs</t>
  </si>
  <si>
    <t>5010</t>
  </si>
  <si>
    <t>CVAT Video Processor (VRASS, CPOT &amp; Respiratory Distress), vsitter dataset segregation(Cleaned)</t>
  </si>
  <si>
    <t>Mask On/Off Classification</t>
  </si>
  <si>
    <t xml:space="preserve">VRASS CVAT Quality Check  Mask On/Off segregation </t>
  </si>
  <si>
    <t>VRASS CVAT Annotation-QC</t>
  </si>
  <si>
    <t xml:space="preserve">Mask-ON, Mask-OFF Annotation </t>
  </si>
  <si>
    <t>Tagging Labels and Reviewe for vSitter_Cleveland in CVAT</t>
  </si>
  <si>
    <t xml:space="preserve">Mask-ON, Mask-OFF Annotation and created Excel sheet for mask model dataset </t>
  </si>
  <si>
    <t xml:space="preserve">Mask-On-Off and Review &amp;Annotation </t>
  </si>
  <si>
    <t>Mask-ON/OFF review and data upload</t>
  </si>
  <si>
    <t>Keypoint Annotation</t>
  </si>
  <si>
    <t xml:space="preserve">Airways lines and tubes classifications downloaded from GCP and filtered some data </t>
  </si>
  <si>
    <t>airways/mask classification</t>
  </si>
  <si>
    <t>Worked on camera Preset setup</t>
  </si>
  <si>
    <t>Worked on Camera Orchestrator PRD Document created and working on Nephroplus data cleanup</t>
  </si>
  <si>
    <t xml:space="preserve">Worked on Nephroplus image classification and cleanup, uploaded 142243  data to GCP </t>
  </si>
  <si>
    <t>airways/mask classification &amp; data cleanup</t>
  </si>
  <si>
    <t>airways/mask classification and  data downloading from AINA station</t>
  </si>
  <si>
    <t>airways/ nasal _cannula re- mask classification</t>
  </si>
  <si>
    <t>Worked on camera presets &amp; classification</t>
  </si>
  <si>
    <t>Worked on camera presets</t>
  </si>
  <si>
    <t>Mouli Prakash</t>
  </si>
  <si>
    <t>Introduction</t>
  </si>
  <si>
    <t>Gone through Guidlines</t>
  </si>
  <si>
    <t>Anual party</t>
  </si>
  <si>
    <t>rework</t>
  </si>
  <si>
    <t>Saraswathi</t>
  </si>
  <si>
    <t>RASS,CPOT and Respiratory Distress</t>
  </si>
  <si>
    <t>Assigned 384 Videos of 8 hospitals to Chandhru for VRASS</t>
  </si>
  <si>
    <t>other</t>
  </si>
  <si>
    <t>Assigned 480 Videos of 10 hospital to Rohit for VRASS</t>
  </si>
  <si>
    <t>Assigned 385 Videos of 8 hospital to Rohit for VRASS</t>
  </si>
  <si>
    <t>Mask model</t>
  </si>
  <si>
    <t>Used script to read the json values to the sheet</t>
  </si>
  <si>
    <t>Downloaded 27k images using script for maskmodel + submitted test_dataset of 300 images + Createad 55 datasets of 27k images + Loaded these datasets to CVAT + Merged all CSVs into one using code [ for tony]</t>
  </si>
  <si>
    <t>Removed Black and white images using python script</t>
  </si>
  <si>
    <t>Completed 5 datasets and assigned task to suman</t>
  </si>
  <si>
    <t>Downloaded 1.5 lakh images infered data and validated them + Validated the data. + Worked on White and black image detection and moving them to another folder</t>
  </si>
  <si>
    <t>QC of 5 datasets on  CVAT Mask-model Data Set</t>
  </si>
  <si>
    <t>Completed 5 datasets of maskmodel in cvat + QC</t>
  </si>
  <si>
    <t>Mask model on CVAT</t>
  </si>
  <si>
    <t>QC of Mask model data</t>
  </si>
  <si>
    <t>QC of Mask model data[suman's data] and uploaded the data to GCP</t>
  </si>
  <si>
    <t>Manual Keypoints annotation on cvat</t>
  </si>
  <si>
    <t>Downloaded 8.52 lakhs images for segrigation from vSitter_ai_cams[421772] + vSitter_icu_cams[431000]</t>
  </si>
  <si>
    <t>vSitter image Segrigation for all the classes</t>
  </si>
  <si>
    <t>vSitter image Segregation for all the classes + created a dataset 100 per each classes and uploaded in drive and created a excle sheet</t>
  </si>
  <si>
    <t>vSitter image Segregation for all the classes</t>
  </si>
  <si>
    <t>vSitter image Segrigation for  the Rails classes</t>
  </si>
  <si>
    <r>
      <rPr>
        <rFont val="Arial"/>
        <color theme="1"/>
        <sz val="11.0"/>
      </rPr>
      <t xml:space="preserve">vSitter image Segrigation for  the Rails classes + </t>
    </r>
    <r>
      <rPr>
        <rFont val="Arial"/>
        <b/>
        <color theme="1"/>
        <sz val="11.0"/>
      </rPr>
      <t>downloaded data from 45 hopitals which has only American bed</t>
    </r>
  </si>
  <si>
    <t>Filtered and Downloaded data with single and zero occupancy</t>
  </si>
  <si>
    <t xml:space="preserve"> Uploaded Data Rails data to GCP Bucket and Given the CSV file of it.</t>
  </si>
  <si>
    <t xml:space="preserve"> Presentation to yogesh and abusad on MLflows </t>
  </si>
  <si>
    <t>Provided Training on Data Annotation and Projects we are working</t>
  </si>
  <si>
    <t>KT on keypoints to Manovya</t>
  </si>
  <si>
    <t>Automated Keypoints annotation by using yolov8 pose model</t>
  </si>
  <si>
    <t>Keypoints for vistter</t>
  </si>
  <si>
    <t>Quality check of manovya dataset along with my dataset</t>
  </si>
  <si>
    <t>Started new Data-set for Keypoints</t>
  </si>
  <si>
    <t>image segrigation for rails test dataset and uploaded to GCP and given CSV</t>
  </si>
  <si>
    <t>Quality check of manovya dataset along with my dataset of keypoints + KT to Prakash on keypoints</t>
  </si>
  <si>
    <t>vSitter Rails Annotation completed one dataset</t>
  </si>
  <si>
    <t xml:space="preserve">vSitter Rails Annotation and shoot for Google </t>
  </si>
  <si>
    <r>
      <rPr>
        <rFont val="Arial"/>
        <color theme="1"/>
        <sz val="11.0"/>
      </rPr>
      <t xml:space="preserve">Quality Check of </t>
    </r>
    <r>
      <rPr>
        <rFont val="Arial"/>
        <b/>
        <color theme="1"/>
        <sz val="11.0"/>
      </rPr>
      <t>8000</t>
    </r>
    <r>
      <rPr>
        <rFont val="Arial"/>
        <color theme="1"/>
        <sz val="11.0"/>
      </rPr>
      <t xml:space="preserve"> images rails annotation and submitted data</t>
    </r>
  </si>
  <si>
    <t xml:space="preserve">Downloaded 28992 images of airways to prepare a test dataset for Rails </t>
  </si>
  <si>
    <t>Netra and Keypoints annotation QC</t>
  </si>
  <si>
    <t>Annual Party + Rails dataset + Indian/American model training</t>
  </si>
  <si>
    <t>QC keypoints for vSitter and assigned for segmentation</t>
  </si>
  <si>
    <t xml:space="preserve">Keypoints for vistter Quality check amd re-assined wrong data </t>
  </si>
  <si>
    <t>KT and image classification for all the classes of vSitter</t>
  </si>
  <si>
    <t>image classification for all the classes of vSitter and keypoints QC</t>
  </si>
  <si>
    <t>netra ground Truth</t>
  </si>
  <si>
    <t xml:space="preserve"> image classification for all the classes of vSitter</t>
  </si>
  <si>
    <t>Downloaded Prone - 549, Limbs_out - 367 images from AINA Station + used Airways data .</t>
  </si>
  <si>
    <t>Raghavan</t>
  </si>
  <si>
    <t xml:space="preserve">joining </t>
  </si>
  <si>
    <t>work flow KT</t>
  </si>
  <si>
    <t>nephroplus KT</t>
  </si>
  <si>
    <t>nephroplus image Distribution nurse - 1808 non nurse-614</t>
  </si>
  <si>
    <t>nephroplus image Distribution nurse - 1878 non nurse-963 patient-1228</t>
  </si>
  <si>
    <t xml:space="preserve"> Ground Truth</t>
  </si>
  <si>
    <t xml:space="preserve"> Tagging</t>
  </si>
  <si>
    <t>guideline created for 1.bed cleaning and 2.nurse and non nusre &amp; patient</t>
  </si>
  <si>
    <t>20 bed cleaning events completed; Bed Cleaning time stamp Guideline document created.</t>
  </si>
  <si>
    <t xml:space="preserve">19 bed cleaning events completed and bed cleaning guideline completed </t>
  </si>
  <si>
    <t xml:space="preserve">9 machine event completed </t>
  </si>
  <si>
    <t xml:space="preserve">21 machine cleaning events completed , Machine cleaning guideline created </t>
  </si>
  <si>
    <t xml:space="preserve">17machine cleaning event completed &amp; 2 bed cleaning event completed &amp; dialysis guideline created &amp; 2 dialysis event completed </t>
  </si>
  <si>
    <t>2719 nurse images segregated</t>
  </si>
  <si>
    <t xml:space="preserve">nurse -2215 ,patient - 2634,not nurse- 267 image segregated </t>
  </si>
  <si>
    <t>not nurse-700 nurse -3000 patient-500, deleted -1000</t>
  </si>
  <si>
    <t>not nurse-225 nurse -2624 patient-3558 , deleted -1000</t>
  </si>
  <si>
    <t>patient-3312 nurse-697 not nurse -243</t>
  </si>
  <si>
    <t>patient-2016 nurse-2483 not nurse -819</t>
  </si>
  <si>
    <t>nurse 300,not nusre-107,patient-2652,deleted -1417</t>
  </si>
  <si>
    <t>nurse 975,not nusre-527,patient-3554</t>
  </si>
  <si>
    <t>nurse 975,not nusre-527,patient-1000</t>
  </si>
  <si>
    <t>nurse -1000</t>
  </si>
  <si>
    <t xml:space="preserve">1262 good images </t>
  </si>
  <si>
    <t>all object completed 90 frames (140 frame total)</t>
  </si>
  <si>
    <t>Prerana</t>
  </si>
  <si>
    <t>joining process done</t>
  </si>
  <si>
    <t>completed</t>
  </si>
  <si>
    <t>Project 2</t>
  </si>
  <si>
    <t>Manovya</t>
  </si>
  <si>
    <t>KT,50</t>
  </si>
  <si>
    <t>1 DataSet Completed</t>
  </si>
  <si>
    <t>DataBase</t>
  </si>
  <si>
    <t>Data Base setup</t>
  </si>
  <si>
    <t>V-Sitter</t>
  </si>
  <si>
    <t>COMPLETED</t>
  </si>
  <si>
    <t>Data Insertion from GCP</t>
  </si>
  <si>
    <t>Working on classfication data</t>
  </si>
  <si>
    <t>Working with classification data</t>
  </si>
  <si>
    <t>50,83</t>
  </si>
  <si>
    <t>1 Data Set Completed, WIP</t>
  </si>
  <si>
    <t>1 Dataset completed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</si>
</sst>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4.0"/>
      <color theme="1"/>
      <name val="Arial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434343"/>
      <name val="Arial"/>
    </font>
    <font>
      <sz val="12.0"/>
      <color rgb="FF434343"/>
      <name val="Roboto"/>
    </font>
    <font>
      <b/>
      <sz val="11.0"/>
      <color theme="1"/>
      <name val="Arial"/>
      <scheme val="minor"/>
    </font>
    <font>
      <b/>
      <color rgb="FFFFFFFF"/>
      <name val="Roboto"/>
    </font>
    <font>
      <sz val="11.0"/>
      <color theme="1"/>
      <name val="Arial"/>
      <scheme val="minor"/>
    </font>
    <font>
      <sz val="9.0"/>
      <color theme="1"/>
      <name val="Arial"/>
      <scheme val="minor"/>
    </font>
    <font>
      <sz val="11.0"/>
      <color rgb="FF434343"/>
      <name val="Roboto"/>
    </font>
    <font>
      <b/>
      <sz val="13.0"/>
      <color theme="1"/>
      <name val="Roboto"/>
    </font>
    <font>
      <sz val="13.0"/>
      <color theme="1"/>
      <name val="Roboto"/>
    </font>
    <font>
      <sz val="13.0"/>
      <color theme="1"/>
      <name val="Arial"/>
    </font>
    <font>
      <sz val="12.0"/>
      <color rgb="FF000000"/>
      <name val="Arial"/>
    </font>
    <font>
      <sz val="10.0"/>
      <color theme="1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sz val="10.0"/>
      <color rgb="FF000000"/>
      <name val="Roboto"/>
    </font>
    <font>
      <b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rgb="FF434343"/>
      <name val="Arial"/>
      <scheme val="minor"/>
    </font>
    <font>
      <sz val="13.0"/>
      <color rgb="FF434343"/>
      <name val="Arial"/>
      <scheme val="minor"/>
    </font>
    <font>
      <color rgb="FF434343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9FBFD"/>
        <bgColor rgb="FFF9FBFD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3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1"/>
    </xf>
    <xf borderId="1" fillId="3" fontId="3" numFmtId="0" xfId="0" applyAlignment="1" applyBorder="1" applyFill="1" applyFont="1">
      <alignment shrinkToFit="0" vertical="center" wrapText="0"/>
    </xf>
    <xf borderId="1" fillId="3" fontId="3" numFmtId="0" xfId="0" applyAlignment="1" applyBorder="1" applyFont="1">
      <alignment shrinkToFit="0" vertical="bottom" wrapText="0"/>
    </xf>
    <xf borderId="1" fillId="2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0"/>
    </xf>
    <xf borderId="2" fillId="2" fontId="3" numFmtId="0" xfId="0" applyAlignment="1" applyBorder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2" fillId="3" fontId="3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3" fillId="2" fontId="3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5" fillId="3" fontId="3" numFmtId="0" xfId="0" applyAlignment="1" applyBorder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7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0" fillId="0" fontId="10" numFmtId="0" xfId="0" applyAlignment="1" applyFont="1">
      <alignment horizontal="center" readingOrder="0"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bottom" wrapText="0"/>
    </xf>
    <xf borderId="1" fillId="3" fontId="11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center" wrapText="0"/>
    </xf>
    <xf borderId="1" fillId="2" fontId="11" numFmtId="0" xfId="0" applyAlignment="1" applyBorder="1" applyFont="1">
      <alignment horizontal="center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4" fontId="9" numFmtId="0" xfId="0" applyAlignment="1" applyBorder="1" applyFill="1" applyFont="1">
      <alignment horizontal="center" readingOrder="0" shrinkToFit="0" vertical="center" wrapText="0"/>
    </xf>
    <xf borderId="1" fillId="5" fontId="8" numFmtId="0" xfId="0" applyAlignment="1" applyBorder="1" applyFill="1" applyFont="1">
      <alignment horizontal="center" shrinkToFit="0" vertical="bottom" wrapText="0"/>
    </xf>
    <xf borderId="1" fillId="6" fontId="11" numFmtId="0" xfId="0" applyAlignment="1" applyBorder="1" applyFill="1" applyFont="1">
      <alignment horizontal="center" shrinkToFit="0" vertical="bottom" wrapText="0"/>
    </xf>
    <xf borderId="1" fillId="4" fontId="11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2" fontId="12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9" numFmtId="164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0"/>
    </xf>
    <xf borderId="1" fillId="0" fontId="1" numFmtId="0" xfId="0" applyBorder="1" applyFont="1"/>
    <xf borderId="1" fillId="0" fontId="13" numFmtId="0" xfId="0" applyAlignment="1" applyBorder="1" applyFont="1">
      <alignment horizontal="center" readingOrder="0" shrinkToFit="0" vertical="center" wrapText="0"/>
    </xf>
    <xf borderId="1" fillId="0" fontId="13" numFmtId="49" xfId="0" applyAlignment="1" applyBorder="1" applyFont="1" applyNumberFormat="1">
      <alignment horizontal="left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left" readingOrder="0" shrinkToFit="0" vertical="center" wrapText="1"/>
    </xf>
    <xf borderId="1" fillId="0" fontId="13" numFmtId="49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1"/>
    </xf>
    <xf borderId="9" fillId="7" fontId="14" numFmtId="0" xfId="0" applyAlignment="1" applyBorder="1" applyFill="1" applyFont="1">
      <alignment horizontal="center" readingOrder="0" shrinkToFit="0" vertical="center" wrapText="0"/>
    </xf>
    <xf borderId="9" fillId="7" fontId="14" numFmtId="49" xfId="0" applyAlignment="1" applyBorder="1" applyFont="1" applyNumberFormat="1">
      <alignment horizontal="center" readingOrder="0" shrinkToFit="0" vertical="center" wrapText="0"/>
    </xf>
    <xf borderId="9" fillId="7" fontId="14" numFmtId="49" xfId="0" applyAlignment="1" applyBorder="1" applyFont="1" applyNumberFormat="1">
      <alignment horizontal="center" readingOrder="0" shrinkToFit="0" vertical="center" wrapText="1"/>
    </xf>
    <xf borderId="0" fillId="0" fontId="15" numFmtId="0" xfId="0" applyFont="1"/>
    <xf borderId="1" fillId="0" fontId="8" numFmtId="1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3" xfId="0" applyAlignment="1" applyBorder="1" applyFont="1" applyNumberFormat="1">
      <alignment horizontal="center" shrinkToFit="0" vertical="center" wrapText="0"/>
    </xf>
    <xf borderId="1" fillId="0" fontId="8" numFmtId="49" xfId="0" applyAlignment="1" applyBorder="1" applyFont="1" applyNumberFormat="1">
      <alignment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2" fontId="3" numFmtId="49" xfId="0" applyAlignment="1" applyBorder="1" applyFont="1" applyNumberFormat="1">
      <alignment shrinkToFit="0" vertical="center" wrapText="0"/>
    </xf>
    <xf borderId="1" fillId="3" fontId="3" numFmtId="49" xfId="0" applyAlignment="1" applyBorder="1" applyFont="1" applyNumberFormat="1">
      <alignment shrinkToFit="0" vertical="center" wrapText="0"/>
    </xf>
    <xf borderId="1" fillId="0" fontId="9" numFmtId="3" xfId="0" applyAlignment="1" applyBorder="1" applyFont="1" applyNumberFormat="1">
      <alignment horizontal="center" readingOrder="0" shrinkToFit="0" vertical="center" wrapText="1"/>
    </xf>
    <xf borderId="1" fillId="8" fontId="8" numFmtId="0" xfId="0" applyAlignment="1" applyBorder="1" applyFill="1" applyFont="1">
      <alignment readingOrder="0" shrinkToFit="0" vertical="center" wrapText="1"/>
    </xf>
    <xf borderId="1" fillId="2" fontId="8" numFmtId="0" xfId="0" applyAlignment="1" applyBorder="1" applyFont="1">
      <alignment readingOrder="0" shrinkToFit="0" vertical="center" wrapText="1"/>
    </xf>
    <xf borderId="1" fillId="0" fontId="9" numFmtId="49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" fillId="3" fontId="17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shrinkToFit="0" vertical="center" wrapText="0"/>
    </xf>
    <xf borderId="1" fillId="3" fontId="12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0"/>
    </xf>
    <xf borderId="1" fillId="0" fontId="9" numFmtId="49" xfId="0" applyAlignment="1" applyBorder="1" applyFont="1" applyNumberFormat="1">
      <alignment readingOrder="0" shrinkToFit="0" vertical="center" wrapText="0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shrinkToFit="0" vertical="center" wrapText="0"/>
    </xf>
    <xf borderId="1" fillId="9" fontId="8" numFmtId="14" xfId="0" applyAlignment="1" applyBorder="1" applyFill="1" applyFont="1" applyNumberForma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readingOrder="0" shrinkToFit="0" vertical="center" wrapText="1"/>
    </xf>
    <xf borderId="1" fillId="3" fontId="12" numFmtId="49" xfId="0" applyAlignment="1" applyBorder="1" applyFont="1" applyNumberFormat="1">
      <alignment shrinkToFit="0" vertical="center" wrapText="0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center" readingOrder="0" shrinkToFit="0" vertical="center" wrapText="1"/>
    </xf>
    <xf borderId="3" fillId="2" fontId="3" numFmtId="49" xfId="0" applyAlignment="1" applyBorder="1" applyFont="1" applyNumberFormat="1">
      <alignment shrinkToFit="0" vertical="center" wrapText="0"/>
    </xf>
    <xf borderId="5" fillId="3" fontId="3" numFmtId="49" xfId="0" applyAlignment="1" applyBorder="1" applyFont="1" applyNumberFormat="1">
      <alignment shrinkToFit="0" vertical="center" wrapText="0"/>
    </xf>
    <xf borderId="1" fillId="0" fontId="8" numFmtId="1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9" numFmtId="49" xfId="0" applyAlignment="1" applyBorder="1" applyFont="1" applyNumberFormat="1">
      <alignment readingOrder="0" shrinkToFit="0" vertical="center" wrapText="1"/>
    </xf>
    <xf borderId="5" fillId="3" fontId="3" numFmtId="0" xfId="0" applyAlignment="1" applyBorder="1" applyFont="1">
      <alignment shrinkToFit="0" vertical="bottom" wrapText="0"/>
    </xf>
    <xf borderId="5" fillId="3" fontId="3" numFmtId="49" xfId="0" applyAlignment="1" applyBorder="1" applyFont="1" applyNumberForma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3" fillId="2" fontId="3" numFmtId="49" xfId="0" applyAlignment="1" applyBorder="1" applyFont="1" applyNumberFormat="1">
      <alignment shrinkToFit="0" vertical="bottom" wrapText="0"/>
    </xf>
    <xf borderId="1" fillId="0" fontId="16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shrinkToFit="0" vertical="bottom" wrapText="0"/>
    </xf>
    <xf borderId="7" fillId="2" fontId="3" numFmtId="49" xfId="0" applyAlignment="1" applyBorder="1" applyFont="1" applyNumberFormat="1">
      <alignment shrinkToFit="0" vertical="bottom" wrapText="0"/>
    </xf>
    <xf borderId="7" fillId="2" fontId="3" numFmtId="49" xfId="0" applyAlignment="1" applyBorder="1" applyFont="1" applyNumberFormat="1">
      <alignment shrinkToFit="0" vertical="center" wrapText="0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0" fontId="9" numFmtId="49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vertical="bottom"/>
    </xf>
    <xf borderId="1" fillId="0" fontId="18" numFmtId="49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1" fillId="0" fontId="19" numFmtId="164" xfId="0" applyAlignment="1" applyBorder="1" applyFont="1" applyNumberFormat="1">
      <alignment horizontal="right" vertical="bottom"/>
    </xf>
    <xf borderId="1" fillId="0" fontId="19" numFmtId="0" xfId="0" applyAlignment="1" applyBorder="1" applyFont="1">
      <alignment readingOrder="0" vertical="bottom"/>
    </xf>
    <xf borderId="1" fillId="0" fontId="19" numFmtId="0" xfId="0" applyAlignment="1" applyBorder="1" applyFont="1">
      <alignment vertical="bottom"/>
    </xf>
    <xf borderId="1" fillId="0" fontId="19" numFmtId="0" xfId="0" applyAlignment="1" applyBorder="1" applyFont="1">
      <alignment horizontal="right" vertical="bottom"/>
    </xf>
    <xf borderId="1" fillId="0" fontId="19" numFmtId="0" xfId="0" applyAlignment="1" applyBorder="1" applyFont="1">
      <alignment horizontal="center"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1" fillId="0" fontId="19" numFmtId="0" xfId="0" applyAlignment="1" applyBorder="1" applyFont="1">
      <alignment horizontal="center" vertical="bottom"/>
    </xf>
    <xf borderId="1" fillId="10" fontId="19" numFmtId="0" xfId="0" applyAlignment="1" applyBorder="1" applyFill="1" applyFont="1">
      <alignment horizontal="center" vertical="bottom"/>
    </xf>
    <xf borderId="1" fillId="0" fontId="19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vertical="bottom"/>
    </xf>
    <xf borderId="1" fillId="0" fontId="20" numFmtId="0" xfId="0" applyAlignment="1" applyBorder="1" applyFont="1">
      <alignment readingOrder="0" vertical="bottom"/>
    </xf>
    <xf borderId="0" fillId="0" fontId="1" numFmtId="0" xfId="0" applyFont="1"/>
    <xf borderId="1" fillId="0" fontId="8" numFmtId="49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11" fontId="8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2" fontId="21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9" numFmtId="0" xfId="0" applyFont="1"/>
    <xf borderId="1" fillId="0" fontId="8" numFmtId="14" xfId="0" applyAlignment="1" applyBorder="1" applyFont="1" applyNumberFormat="1">
      <alignment horizontal="center" shrinkToFit="0" vertical="bottom" wrapText="0"/>
    </xf>
    <xf borderId="1" fillId="0" fontId="9" numFmtId="3" xfId="0" applyAlignment="1" applyBorder="1" applyFont="1" applyNumberFormat="1">
      <alignment horizontal="center" readingOrder="0" shrinkToFit="0" vertical="center" wrapText="0"/>
    </xf>
    <xf borderId="1" fillId="0" fontId="8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1" fillId="0" fontId="8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9" numFmtId="0" xfId="0" applyAlignment="1" applyFont="1">
      <alignment horizontal="center"/>
    </xf>
    <xf borderId="1" fillId="0" fontId="23" numFmtId="0" xfId="0" applyAlignment="1" applyBorder="1" applyFont="1">
      <alignment horizontal="center" readingOrder="0" shrinkToFit="0" vertical="center" wrapText="0"/>
    </xf>
    <xf borderId="1" fillId="0" fontId="23" numFmtId="49" xfId="0" applyAlignment="1" applyBorder="1" applyFont="1" applyNumberFormat="1">
      <alignment horizontal="center" readingOrder="0" shrinkToFit="0" vertical="center" wrapText="0"/>
    </xf>
    <xf borderId="1" fillId="0" fontId="24" numFmtId="14" xfId="0" applyAlignment="1" applyBorder="1" applyFont="1" applyNumberFormat="1">
      <alignment horizontal="center" readingOrder="0" shrinkToFit="0" vertical="center" wrapText="1"/>
    </xf>
    <xf borderId="1" fillId="0" fontId="24" numFmtId="0" xfId="0" applyAlignment="1" applyBorder="1" applyFont="1">
      <alignment readingOrder="0" shrinkToFit="0" vertical="center" wrapText="0"/>
    </xf>
    <xf borderId="1" fillId="0" fontId="24" numFmtId="0" xfId="0" applyAlignment="1" applyBorder="1" applyFont="1">
      <alignment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readingOrder="0" shrinkToFit="0" vertical="center" wrapText="1"/>
    </xf>
    <xf borderId="1" fillId="2" fontId="3" numFmtId="49" xfId="0" applyAlignment="1" applyBorder="1" applyFont="1" applyNumberFormat="1">
      <alignment readingOrder="0" shrinkToFit="0" vertical="center" wrapText="0"/>
    </xf>
    <xf borderId="1" fillId="3" fontId="3" numFmtId="49" xfId="0" applyAlignment="1" applyBorder="1" applyFont="1" applyNumberFormat="1">
      <alignment readingOrder="0" shrinkToFit="0" vertical="center" wrapText="0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4" numFmtId="164" xfId="0" applyAlignment="1" applyBorder="1" applyFont="1" applyNumberFormat="1">
      <alignment readingOrder="0"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2" fillId="3" fontId="3" numFmtId="49" xfId="0" applyAlignment="1" applyBorder="1" applyFont="1" applyNumberFormat="1">
      <alignment shrinkToFit="0" vertical="center" wrapText="0"/>
    </xf>
    <xf borderId="1" fillId="0" fontId="25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horizontal="right" readingOrder="0" shrinkToFit="0" vertical="center" wrapText="0"/>
    </xf>
    <xf borderId="1" fillId="10" fontId="25" numFmtId="0" xfId="0" applyAlignment="1" applyBorder="1" applyFont="1">
      <alignment horizontal="center" readingOrder="0" shrinkToFit="0" vertical="center" wrapText="0"/>
    </xf>
    <xf borderId="1" fillId="0" fontId="24" numFmtId="0" xfId="0" applyAlignment="1" applyBorder="1" applyFont="1">
      <alignment readingOrder="0" shrinkToFit="0" vertical="center" wrapText="0"/>
    </xf>
    <xf borderId="1" fillId="0" fontId="24" numFmtId="0" xfId="0" applyAlignment="1" applyBorder="1" applyFont="1">
      <alignment readingOrder="0" shrinkToFit="0" vertical="center" wrapText="0"/>
    </xf>
    <xf borderId="1" fillId="0" fontId="24" numFmtId="164" xfId="0" applyAlignment="1" applyBorder="1" applyFont="1" applyNumberFormat="1">
      <alignment readingOrder="0" shrinkToFit="0" vertical="center" wrapText="0"/>
    </xf>
    <xf borderId="1" fillId="0" fontId="24" numFmtId="0" xfId="0" applyAlignment="1" applyBorder="1" applyFont="1">
      <alignment readingOrder="0"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26" numFmtId="0" xfId="0" applyAlignment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0" fontId="22" numFmtId="0" xfId="0" applyAlignment="1" applyBorder="1" applyFont="1">
      <alignment horizontal="center" readingOrder="0" shrinkToFit="0" vertical="center" wrapText="0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49" xfId="0" applyAlignment="1" applyBorder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shrinkToFit="0" vertical="bottom" wrapText="0"/>
    </xf>
    <xf borderId="1" fillId="0" fontId="27" numFmtId="0" xfId="0" applyAlignment="1" applyBorder="1" applyFont="1">
      <alignment horizontal="center" shrinkToFit="0" vertical="bottom" wrapText="0"/>
    </xf>
    <xf borderId="1" fillId="0" fontId="28" numFmtId="0" xfId="0" applyAlignment="1" applyBorder="1" applyFont="1">
      <alignment horizontal="center" shrinkToFit="0" vertical="center" wrapText="1"/>
    </xf>
    <xf borderId="1" fillId="0" fontId="27" numFmtId="0" xfId="0" applyAlignment="1" applyBorder="1" applyFont="1">
      <alignment horizontal="center" readingOrder="0" shrinkToFit="0" vertical="bottom" wrapText="1"/>
    </xf>
    <xf borderId="1" fillId="0" fontId="28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shrinkToFit="0" vertical="center" wrapText="0"/>
    </xf>
    <xf borderId="2" fillId="3" fontId="3" numFmtId="0" xfId="0" applyAlignment="1" applyBorder="1" applyFont="1">
      <alignment shrinkToFit="0" vertical="center" wrapText="0"/>
    </xf>
    <xf borderId="1" fillId="0" fontId="27" numFmtId="0" xfId="0" applyAlignment="1" applyBorder="1" applyFont="1">
      <alignment horizontal="center" readingOrder="0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shrinkToFit="0" vertical="bottom" wrapText="0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3" fillId="2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1" fillId="0" fontId="20" numFmtId="1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1" fillId="0" fontId="20" numFmtId="0" xfId="0" applyAlignment="1" applyBorder="1" applyFont="1">
      <alignment horizontal="center" readingOrder="0" shrinkToFit="0" vertical="bottom" wrapText="0"/>
    </xf>
    <xf borderId="1" fillId="0" fontId="20" numFmtId="0" xfId="0" applyAlignment="1" applyBorder="1" applyFont="1">
      <alignment horizontal="center" shrinkToFit="0" vertical="bottom" wrapText="1"/>
    </xf>
    <xf borderId="1" fillId="0" fontId="20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5" numFmtId="14" xfId="0" applyAlignment="1" applyBorder="1" applyFont="1" applyNumberFormat="1">
      <alignment horizontal="center" readingOrder="0" shrinkToFit="0" vertical="center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1" fillId="4" fontId="9" numFmtId="0" xfId="0" applyAlignment="1" applyBorder="1" applyFont="1">
      <alignment horizontal="center" readingOrder="0" shrinkToFit="0" vertical="center" wrapText="0"/>
    </xf>
    <xf borderId="1" fillId="4" fontId="9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4" fontId="30" numFmtId="0" xfId="0" applyAlignment="1" applyBorder="1" applyFont="1">
      <alignment readingOrder="0" shrinkToFit="0" vertical="center" wrapText="0"/>
    </xf>
    <xf borderId="1" fillId="4" fontId="31" numFmtId="0" xfId="0" applyAlignment="1" applyBorder="1" applyFont="1">
      <alignment readingOrder="0" shrinkToFit="0" vertical="center" wrapText="0"/>
    </xf>
    <xf borderId="1" fillId="4" fontId="31" numFmtId="0" xfId="0" applyAlignment="1" applyBorder="1" applyFont="1">
      <alignment horizontal="center" readingOrder="0" shrinkToFit="0" vertical="center" wrapText="0"/>
    </xf>
    <xf borderId="1" fillId="4" fontId="32" numFmtId="0" xfId="0" applyAlignment="1" applyBorder="1" applyFont="1">
      <alignment horizontal="center" readingOrder="0" shrinkToFit="0" vertical="center" wrapText="0"/>
    </xf>
    <xf borderId="1" fillId="4" fontId="32" numFmtId="0" xfId="0" applyAlignment="1" applyBorder="1" applyFont="1">
      <alignment readingOrder="0" shrinkToFit="0" vertical="center" wrapText="0"/>
    </xf>
    <xf borderId="1" fillId="4" fontId="3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4" fontId="5" numFmtId="0" xfId="0" applyAlignment="1" applyBorder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1" fillId="12" fontId="9" numFmtId="0" xfId="0" applyAlignment="1" applyBorder="1" applyFill="1" applyFont="1">
      <alignment horizontal="left" vertical="center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Chandashaeka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arinad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h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ekshit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ana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an Kano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ul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raswath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agavan 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era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ovy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Q1000" displayName="Table4" name="Table4" id="1">
  <tableColumns count="17">
    <tableColumn name="Column 1" id="1"/>
    <tableColumn name="Annotator" id="2"/>
    <tableColumn name="Projects" id="3"/>
    <tableColumn name="Task" id="4"/>
    <tableColumn name="Status" id="5"/>
    <tableColumn name="No of Annotations Completed" id="6"/>
    <tableColumn name="Projects 2" id="7"/>
    <tableColumn name="Task 2" id="8"/>
    <tableColumn name="Status 2" id="9"/>
    <tableColumn name="No of Annotations Completed 2" id="10"/>
    <tableColumn name="Comments" id="11"/>
    <tableColumn name="Column 4" id="12"/>
    <tableColumn name="Column 5" id="13"/>
    <tableColumn name="Column 6" id="14"/>
    <tableColumn name="Column 7" id="15"/>
    <tableColumn name="Column 9" id="16"/>
    <tableColumn name="Column 10" id="17"/>
  </tableColumns>
  <tableStyleInfo name="Chandashaekara-style" showColumnStripes="0" showFirstColumn="1" showLastColumn="1" showRowStripes="1"/>
</table>
</file>

<file path=xl/tables/table2.xml><?xml version="1.0" encoding="utf-8"?>
<table xmlns="http://schemas.openxmlformats.org/spreadsheetml/2006/main" ref="A1:K104" displayName="Table3" name="Table3" id="2">
  <tableColumns count="11">
    <tableColumn name="Date" id="1"/>
    <tableColumn name="Annotator" id="2"/>
    <tableColumn name="Projects 1" id="3"/>
    <tableColumn name="Task 1" id="4"/>
    <tableColumn name="Status 1" id="5"/>
    <tableColumn name="No of Annotations Completed" id="6"/>
    <tableColumn name="Projects 2" id="7"/>
    <tableColumn name="Task 2" id="8"/>
    <tableColumn name="Status 2" id="9"/>
    <tableColumn name="No of Annotations Completed 2" id="10"/>
    <tableColumn name="Comments" id="11"/>
  </tableColumns>
  <tableStyleInfo name="Harinadh-style" showColumnStripes="0" showFirstColumn="1" showLastColumn="1" showRowStripes="1"/>
</table>
</file>

<file path=xl/tables/table3.xml><?xml version="1.0" encoding="utf-8"?>
<table xmlns="http://schemas.openxmlformats.org/spreadsheetml/2006/main" ref="A1:L1001" displayName="Table10" name="Table10" id="3">
  <tableColumns count="12">
    <tableColumn name="Date" id="1"/>
    <tableColumn name="Annotator" id="2"/>
    <tableColumn name="Projects" id="3"/>
    <tableColumn name="Video Annotation" id="4"/>
    <tableColumn name="Status" id="5"/>
    <tableColumn name="No of Annotations Completed" id="6"/>
    <tableColumn name="Comments" id="7"/>
    <tableColumn name="Projects 2" id="8"/>
    <tableColumn name="Task 2" id="9"/>
    <tableColumn name="Status 2" id="10"/>
    <tableColumn name="No of Annotations Completed 2" id="11"/>
    <tableColumn name="Column 12" id="12"/>
  </tableColumns>
  <tableStyleInfo name="Rohit-style" showColumnStripes="0" showFirstColumn="1" showLastColumn="1" showRowStripes="1"/>
</table>
</file>

<file path=xl/tables/table4.xml><?xml version="1.0" encoding="utf-8"?>
<table xmlns="http://schemas.openxmlformats.org/spreadsheetml/2006/main" ref="A1:G95" displayName="Table6" name="Table6" id="4">
  <autoFilter ref="$A$1:$G$95"/>
  <tableColumns count="7">
    <tableColumn name="Date" id="1"/>
    <tableColumn name="Annotator" id="2"/>
    <tableColumn name="Projects" id="3"/>
    <tableColumn name="Task" id="4"/>
    <tableColumn name="Status" id="5"/>
    <tableColumn name="No of Annotations Completed" id="6"/>
    <tableColumn name="Comments" id="7"/>
  </tableColumns>
  <tableStyleInfo name="Deekshith-style" showColumnStripes="0" showFirstColumn="1" showLastColumn="1" showRowStripes="1"/>
</table>
</file>

<file path=xl/tables/table5.xml><?xml version="1.0" encoding="utf-8"?>
<table xmlns="http://schemas.openxmlformats.org/spreadsheetml/2006/main" ref="A1:K31" displayName="Table7" name="Table7" id="5">
  <tableColumns count="11">
    <tableColumn name="Date" id="1"/>
    <tableColumn name="Annotator" id="2"/>
    <tableColumn name="Projects" id="3"/>
    <tableColumn name="Task 1" id="4"/>
    <tableColumn name="Status" id="5"/>
    <tableColumn name="No of Annotations Completed" id="6"/>
    <tableColumn name="Projects 2" id="7"/>
    <tableColumn name="Task 2" id="8"/>
    <tableColumn name="Status 2" id="9"/>
    <tableColumn name="No of Annotations Completed 2" id="10"/>
    <tableColumn name="Comments" id="11"/>
  </tableColumns>
  <tableStyleInfo name="Pranav-style" showColumnStripes="0" showFirstColumn="1" showLastColumn="1" showRowStripes="1"/>
</table>
</file>

<file path=xl/tables/table6.xml><?xml version="1.0" encoding="utf-8"?>
<table xmlns="http://schemas.openxmlformats.org/spreadsheetml/2006/main" ref="A1:K1001" displayName="Table8" name="Table8" id="6">
  <tableColumns count="11">
    <tableColumn name="Appearance" id="1"/>
    <tableColumn name="Annotator" id="2"/>
    <tableColumn name="Projects" id="3"/>
    <tableColumn name="Task" id="4"/>
    <tableColumn name="Status" id="5"/>
    <tableColumn name="No of Annotations Completed" id="6"/>
    <tableColumn name="Projects 2" id="7"/>
    <tableColumn name="Task 2" id="8"/>
    <tableColumn name="Status 2" id="9"/>
    <tableColumn name="No of Annotations Completed 2" id="10"/>
    <tableColumn name="Comments" id="11"/>
  </tableColumns>
  <tableStyleInfo name="Suman Kanoj-style" showColumnStripes="0" showFirstColumn="1" showLastColumn="1" showRowStripes="1"/>
</table>
</file>

<file path=xl/tables/table7.xml><?xml version="1.0" encoding="utf-8"?>
<table xmlns="http://schemas.openxmlformats.org/spreadsheetml/2006/main" ref="A1:G123" displayName="Table2" name="Table2" id="7">
  <tableColumns count="7">
    <tableColumn name="Date" id="1"/>
    <tableColumn name="Annotator" id="2"/>
    <tableColumn name="Projects" id="3"/>
    <tableColumn name="Task" id="4"/>
    <tableColumn name="Status" id="5"/>
    <tableColumn name="No of Annotations Completed" id="6"/>
    <tableColumn name="Comments" id="7"/>
  </tableColumns>
  <tableStyleInfo name="Mouli-style" showColumnStripes="0" showFirstColumn="1" showLastColumn="1" showRowStripes="1"/>
</table>
</file>

<file path=xl/tables/table8.xml><?xml version="1.0" encoding="utf-8"?>
<table xmlns="http://schemas.openxmlformats.org/spreadsheetml/2006/main" ref="A1:K1000" displayName="Table5" name="Table5" id="8">
  <tableColumns count="11">
    <tableColumn name="Date" id="1"/>
    <tableColumn name="Annotator" id="2"/>
    <tableColumn name="Projects" id="3"/>
    <tableColumn name="Task" id="4"/>
    <tableColumn name="Status" id="5"/>
    <tableColumn name="No of Annotations Completed" id="6"/>
    <tableColumn name="Projects 2" id="7"/>
    <tableColumn name="Task 2" id="8"/>
    <tableColumn name="Status 2" id="9"/>
    <tableColumn name="No of Annotations Completed 2" id="10"/>
    <tableColumn name="Comments" id="11"/>
  </tableColumns>
  <tableStyleInfo name="Saraswathi-style" showColumnStripes="0" showFirstColumn="1" showLastColumn="1" showRowStripes="1"/>
</table>
</file>

<file path=xl/tables/table9.xml><?xml version="1.0" encoding="utf-8"?>
<table xmlns="http://schemas.openxmlformats.org/spreadsheetml/2006/main" ref="A1:I42" displayName="Table1" name="Table1" id="9">
  <tableColumns count="9">
    <tableColumn name="Date" id="1"/>
    <tableColumn name="Annotator" id="2"/>
    <tableColumn name="Projects" id="3"/>
    <tableColumn name="Task 1" id="4"/>
    <tableColumn name="Task 2" id="5"/>
    <tableColumn name="Status 1" id="6"/>
    <tableColumn name="Status 2" id="7"/>
    <tableColumn name="No of Annotations Completed" id="8"/>
    <tableColumn name="Comments" id="9"/>
  </tableColumns>
  <tableStyleInfo name="Ragavan K-style" showColumnStripes="0" showFirstColumn="1" showLastColumn="1" showRowStripes="1"/>
</table>
</file>

<file path=xl/tables/table10.xml><?xml version="1.0" encoding="utf-8"?>
<table xmlns="http://schemas.openxmlformats.org/spreadsheetml/2006/main" ref="A1:H36" displayName="Table5_2" name="Table5_2" id="10">
  <tableColumns count="8">
    <tableColumn name="Date" id="1"/>
    <tableColumn name="Annotator" id="2"/>
    <tableColumn name="Projects" id="3"/>
    <tableColumn name="Task" id="4"/>
    <tableColumn name="Status" id="5"/>
    <tableColumn name="No of Annotations Completed" id="6"/>
    <tableColumn name="Comments" id="7"/>
    <tableColumn name="Column 1" id="8"/>
  </tableColumns>
  <tableStyleInfo name="Prerana-style" showColumnStripes="0" showFirstColumn="1" showLastColumn="1" showRowStripes="1"/>
</table>
</file>

<file path=xl/tables/table11.xml><?xml version="1.0" encoding="utf-8"?>
<table xmlns="http://schemas.openxmlformats.org/spreadsheetml/2006/main" ref="A1:K42" displayName="Table11" name="Table11" id="11">
  <tableColumns count="11">
    <tableColumn name="Date" id="1"/>
    <tableColumn name="Annotator" id="2"/>
    <tableColumn name="Projects" id="3"/>
    <tableColumn name="Task" id="4"/>
    <tableColumn name="Status" id="5"/>
    <tableColumn name="No of Annotations Completed" id="6"/>
    <tableColumn name="Project 2" id="7"/>
    <tableColumn name="Task 2" id="8"/>
    <tableColumn name="Status 2" id="9"/>
    <tableColumn name="No of Annotations Completed 2" id="10"/>
    <tableColumn name="Comments" id="11"/>
  </tableColumns>
  <tableStyleInfo name="Manovy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3.25"/>
    <col customWidth="1" min="3" max="3" width="22.0"/>
    <col customWidth="1" min="4" max="4" width="22.13"/>
    <col customWidth="1" min="5" max="5" width="18.88"/>
    <col customWidth="1" min="6" max="7" width="34.13"/>
    <col customWidth="1" min="8" max="8" width="21.5"/>
    <col customWidth="1" min="9" max="9" width="27.5"/>
    <col customWidth="1" min="10" max="10" width="34.13"/>
    <col customWidth="1" min="11" max="11" width="64.1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4">
        <v>45901.0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65.0</v>
      </c>
      <c r="G2" s="7"/>
      <c r="H2" s="8"/>
      <c r="I2" s="9"/>
      <c r="J2" s="6"/>
      <c r="K2" s="10" t="s">
        <v>21</v>
      </c>
    </row>
    <row r="3" ht="22.5" customHeight="1">
      <c r="A3" s="4">
        <v>45902.0</v>
      </c>
      <c r="B3" s="5" t="s">
        <v>17</v>
      </c>
      <c r="C3" s="5" t="s">
        <v>18</v>
      </c>
      <c r="D3" s="5" t="s">
        <v>19</v>
      </c>
      <c r="E3" s="5" t="s">
        <v>20</v>
      </c>
      <c r="F3" s="6">
        <v>71.0</v>
      </c>
      <c r="G3" s="11"/>
      <c r="H3" s="11"/>
      <c r="I3" s="12"/>
      <c r="J3" s="6"/>
      <c r="K3" s="10" t="s">
        <v>21</v>
      </c>
    </row>
    <row r="4" ht="22.5" customHeight="1">
      <c r="A4" s="4">
        <v>45903.0</v>
      </c>
      <c r="B4" s="5" t="s">
        <v>17</v>
      </c>
      <c r="C4" s="5" t="s">
        <v>18</v>
      </c>
      <c r="D4" s="5" t="s">
        <v>19</v>
      </c>
      <c r="E4" s="5" t="s">
        <v>20</v>
      </c>
      <c r="F4" s="6">
        <v>73.0</v>
      </c>
      <c r="G4" s="8"/>
      <c r="H4" s="8"/>
      <c r="I4" s="13"/>
      <c r="J4" s="6"/>
      <c r="K4" s="10" t="s">
        <v>21</v>
      </c>
    </row>
    <row r="5" ht="22.5" customHeight="1">
      <c r="A5" s="4">
        <v>45904.0</v>
      </c>
      <c r="B5" s="5" t="s">
        <v>17</v>
      </c>
      <c r="C5" s="5" t="s">
        <v>18</v>
      </c>
      <c r="D5" s="5" t="s">
        <v>19</v>
      </c>
      <c r="E5" s="5" t="s">
        <v>20</v>
      </c>
      <c r="F5" s="6">
        <v>80.0</v>
      </c>
      <c r="G5" s="11"/>
      <c r="H5" s="11"/>
      <c r="I5" s="12"/>
      <c r="J5" s="6"/>
      <c r="K5" s="10" t="s">
        <v>21</v>
      </c>
    </row>
    <row r="6" ht="22.5" customHeight="1">
      <c r="A6" s="4">
        <v>45905.0</v>
      </c>
      <c r="B6" s="5" t="s">
        <v>17</v>
      </c>
      <c r="C6" s="5" t="s">
        <v>18</v>
      </c>
      <c r="D6" s="5" t="s">
        <v>19</v>
      </c>
      <c r="E6" s="5" t="s">
        <v>20</v>
      </c>
      <c r="F6" s="6">
        <v>90.0</v>
      </c>
      <c r="G6" s="8"/>
      <c r="H6" s="8"/>
      <c r="I6" s="13"/>
      <c r="J6" s="6"/>
      <c r="K6" s="10" t="s">
        <v>21</v>
      </c>
    </row>
    <row r="7" ht="22.5" customHeight="1">
      <c r="A7" s="4">
        <v>45908.0</v>
      </c>
      <c r="B7" s="5" t="s">
        <v>17</v>
      </c>
      <c r="C7" s="5" t="s">
        <v>22</v>
      </c>
      <c r="D7" s="5" t="s">
        <v>23</v>
      </c>
      <c r="E7" s="5" t="s">
        <v>20</v>
      </c>
      <c r="F7" s="14">
        <v>8634.0</v>
      </c>
      <c r="G7" s="11"/>
      <c r="H7" s="11"/>
      <c r="I7" s="12"/>
      <c r="J7" s="14"/>
      <c r="K7" s="14" t="s">
        <v>24</v>
      </c>
    </row>
    <row r="8" ht="22.5" customHeight="1">
      <c r="A8" s="4">
        <v>45909.0</v>
      </c>
      <c r="B8" s="5" t="s">
        <v>17</v>
      </c>
      <c r="C8" s="5" t="s">
        <v>22</v>
      </c>
      <c r="D8" s="5" t="s">
        <v>23</v>
      </c>
      <c r="E8" s="5" t="s">
        <v>20</v>
      </c>
      <c r="F8" s="14">
        <v>8274.0</v>
      </c>
      <c r="G8" s="8"/>
      <c r="H8" s="8"/>
      <c r="I8" s="13"/>
      <c r="J8" s="14"/>
      <c r="K8" s="14" t="s">
        <v>24</v>
      </c>
    </row>
    <row r="9" ht="22.5" customHeight="1">
      <c r="A9" s="4">
        <v>45910.0</v>
      </c>
      <c r="B9" s="5" t="s">
        <v>17</v>
      </c>
      <c r="C9" s="5" t="s">
        <v>22</v>
      </c>
      <c r="D9" s="5" t="s">
        <v>23</v>
      </c>
      <c r="E9" s="5" t="s">
        <v>20</v>
      </c>
      <c r="F9" s="14">
        <v>4008.0</v>
      </c>
      <c r="G9" s="11"/>
      <c r="H9" s="11"/>
      <c r="I9" s="12"/>
      <c r="J9" s="14"/>
      <c r="K9" s="14" t="s">
        <v>24</v>
      </c>
    </row>
    <row r="10" ht="22.5" customHeight="1">
      <c r="A10" s="4">
        <v>45911.0</v>
      </c>
      <c r="B10" s="5" t="s">
        <v>17</v>
      </c>
      <c r="C10" s="5" t="s">
        <v>18</v>
      </c>
      <c r="D10" s="5" t="s">
        <v>19</v>
      </c>
      <c r="E10" s="5" t="s">
        <v>20</v>
      </c>
      <c r="F10" s="6">
        <v>75.0</v>
      </c>
      <c r="G10" s="8"/>
      <c r="H10" s="8"/>
      <c r="I10" s="13"/>
      <c r="J10" s="6"/>
      <c r="K10" s="15" t="s">
        <v>21</v>
      </c>
    </row>
    <row r="11" ht="22.5" customHeight="1">
      <c r="A11" s="4">
        <v>45912.0</v>
      </c>
      <c r="B11" s="5" t="s">
        <v>17</v>
      </c>
      <c r="C11" s="5" t="s">
        <v>18</v>
      </c>
      <c r="D11" s="5" t="s">
        <v>19</v>
      </c>
      <c r="E11" s="5" t="s">
        <v>20</v>
      </c>
      <c r="F11" s="16">
        <v>30.0</v>
      </c>
      <c r="G11" s="11"/>
      <c r="H11" s="11"/>
      <c r="I11" s="12"/>
      <c r="J11" s="16"/>
      <c r="K11" s="17" t="s">
        <v>25</v>
      </c>
    </row>
    <row r="12" ht="22.5" customHeight="1">
      <c r="A12" s="4">
        <v>45915.0</v>
      </c>
      <c r="B12" s="5" t="s">
        <v>17</v>
      </c>
      <c r="C12" s="5" t="s">
        <v>18</v>
      </c>
      <c r="D12" s="5" t="s">
        <v>19</v>
      </c>
      <c r="E12" s="5" t="s">
        <v>20</v>
      </c>
      <c r="F12" s="6">
        <v>30.0</v>
      </c>
      <c r="G12" s="8"/>
      <c r="H12" s="8"/>
      <c r="I12" s="13"/>
      <c r="J12" s="6"/>
      <c r="K12" s="14" t="s">
        <v>25</v>
      </c>
    </row>
    <row r="13" ht="22.5" customHeight="1">
      <c r="A13" s="4">
        <v>45916.0</v>
      </c>
      <c r="B13" s="5" t="s">
        <v>17</v>
      </c>
      <c r="C13" s="5" t="s">
        <v>18</v>
      </c>
      <c r="D13" s="5" t="s">
        <v>19</v>
      </c>
      <c r="E13" s="5" t="s">
        <v>20</v>
      </c>
      <c r="F13" s="6">
        <v>28.0</v>
      </c>
      <c r="G13" s="11"/>
      <c r="H13" s="11"/>
      <c r="I13" s="12"/>
      <c r="J13" s="6"/>
      <c r="K13" s="14" t="s">
        <v>25</v>
      </c>
    </row>
    <row r="14" ht="22.5" customHeight="1">
      <c r="A14" s="4">
        <v>45917.0</v>
      </c>
      <c r="B14" s="5" t="s">
        <v>17</v>
      </c>
      <c r="C14" s="5" t="s">
        <v>22</v>
      </c>
      <c r="D14" s="5" t="s">
        <v>23</v>
      </c>
      <c r="E14" s="5" t="s">
        <v>20</v>
      </c>
      <c r="F14" s="6">
        <v>2010.0</v>
      </c>
      <c r="G14" s="8"/>
      <c r="H14" s="8"/>
      <c r="I14" s="13"/>
      <c r="J14" s="6"/>
      <c r="K14" s="17" t="s">
        <v>26</v>
      </c>
    </row>
    <row r="15" ht="22.5" customHeight="1">
      <c r="A15" s="4">
        <v>45918.0</v>
      </c>
      <c r="B15" s="5" t="s">
        <v>17</v>
      </c>
      <c r="C15" s="5" t="s">
        <v>22</v>
      </c>
      <c r="D15" s="5" t="s">
        <v>23</v>
      </c>
      <c r="E15" s="5" t="s">
        <v>20</v>
      </c>
      <c r="F15" s="6">
        <v>2010.0</v>
      </c>
      <c r="G15" s="11"/>
      <c r="H15" s="11"/>
      <c r="I15" s="12"/>
      <c r="J15" s="6"/>
      <c r="K15" s="17" t="s">
        <v>26</v>
      </c>
    </row>
    <row r="16" ht="22.5" customHeight="1">
      <c r="A16" s="4">
        <v>45919.0</v>
      </c>
      <c r="B16" s="5" t="s">
        <v>17</v>
      </c>
      <c r="C16" s="5" t="s">
        <v>22</v>
      </c>
      <c r="D16" s="5" t="s">
        <v>23</v>
      </c>
      <c r="E16" s="5" t="s">
        <v>20</v>
      </c>
      <c r="F16" s="6">
        <v>970.0</v>
      </c>
      <c r="G16" s="8"/>
      <c r="H16" s="18" t="s">
        <v>27</v>
      </c>
      <c r="I16" s="13"/>
      <c r="J16" s="6"/>
      <c r="K16" s="17" t="s">
        <v>26</v>
      </c>
    </row>
    <row r="17" ht="22.5" customHeight="1">
      <c r="A17" s="4">
        <v>45922.0</v>
      </c>
      <c r="B17" s="5" t="s">
        <v>17</v>
      </c>
      <c r="C17" s="5" t="s">
        <v>22</v>
      </c>
      <c r="D17" s="5" t="s">
        <v>23</v>
      </c>
      <c r="E17" s="5" t="s">
        <v>20</v>
      </c>
      <c r="F17" s="6">
        <v>2600.0</v>
      </c>
      <c r="G17" s="11"/>
      <c r="H17" s="11"/>
      <c r="I17" s="12"/>
      <c r="J17" s="6"/>
      <c r="K17" s="17" t="s">
        <v>26</v>
      </c>
    </row>
    <row r="18" ht="22.5" customHeight="1">
      <c r="A18" s="4">
        <v>45923.0</v>
      </c>
      <c r="B18" s="5" t="s">
        <v>17</v>
      </c>
      <c r="C18" s="5" t="s">
        <v>18</v>
      </c>
      <c r="D18" s="5" t="s">
        <v>19</v>
      </c>
      <c r="E18" s="5" t="s">
        <v>20</v>
      </c>
      <c r="F18" s="19">
        <v>33.0</v>
      </c>
      <c r="G18" s="8"/>
      <c r="H18" s="8"/>
      <c r="I18" s="13"/>
      <c r="J18" s="19"/>
      <c r="K18" s="20" t="s">
        <v>28</v>
      </c>
    </row>
    <row r="19" ht="22.5" customHeight="1">
      <c r="A19" s="4">
        <v>45924.0</v>
      </c>
      <c r="B19" s="5" t="s">
        <v>17</v>
      </c>
      <c r="C19" s="5" t="s">
        <v>18</v>
      </c>
      <c r="D19" s="5" t="s">
        <v>19</v>
      </c>
      <c r="E19" s="5" t="s">
        <v>20</v>
      </c>
      <c r="F19" s="19">
        <v>54.0</v>
      </c>
      <c r="G19" s="11"/>
      <c r="H19" s="11"/>
      <c r="I19" s="12"/>
      <c r="J19" s="19"/>
      <c r="K19" s="20" t="s">
        <v>28</v>
      </c>
    </row>
    <row r="20" ht="22.5" customHeight="1">
      <c r="A20" s="4">
        <v>45925.0</v>
      </c>
      <c r="B20" s="5" t="s">
        <v>17</v>
      </c>
      <c r="C20" s="5" t="s">
        <v>18</v>
      </c>
      <c r="D20" s="5" t="s">
        <v>19</v>
      </c>
      <c r="E20" s="5" t="s">
        <v>20</v>
      </c>
      <c r="F20" s="19">
        <v>64.0</v>
      </c>
      <c r="G20" s="8"/>
      <c r="H20" s="8"/>
      <c r="I20" s="13"/>
      <c r="J20" s="19"/>
      <c r="K20" s="20" t="s">
        <v>28</v>
      </c>
    </row>
    <row r="21" ht="22.5" customHeight="1">
      <c r="A21" s="4">
        <v>45926.0</v>
      </c>
      <c r="B21" s="5" t="s">
        <v>17</v>
      </c>
      <c r="C21" s="5" t="s">
        <v>18</v>
      </c>
      <c r="D21" s="5" t="s">
        <v>19</v>
      </c>
      <c r="E21" s="5" t="s">
        <v>20</v>
      </c>
      <c r="F21" s="19">
        <v>55.0</v>
      </c>
      <c r="G21" s="11"/>
      <c r="H21" s="11"/>
      <c r="I21" s="12"/>
      <c r="J21" s="19"/>
      <c r="K21" s="20" t="s">
        <v>28</v>
      </c>
    </row>
    <row r="22" ht="22.5" customHeight="1">
      <c r="A22" s="4">
        <v>45929.0</v>
      </c>
      <c r="B22" s="5" t="s">
        <v>17</v>
      </c>
      <c r="C22" s="21"/>
      <c r="D22" s="21"/>
      <c r="E22" s="5" t="s">
        <v>29</v>
      </c>
      <c r="F22" s="6"/>
      <c r="G22" s="8"/>
      <c r="H22" s="8"/>
      <c r="I22" s="13"/>
      <c r="J22" s="6"/>
      <c r="K22" s="22"/>
    </row>
    <row r="23" ht="22.5" customHeight="1">
      <c r="A23" s="4">
        <v>45930.0</v>
      </c>
      <c r="B23" s="5" t="s">
        <v>17</v>
      </c>
      <c r="C23" s="5" t="s">
        <v>18</v>
      </c>
      <c r="D23" s="5" t="s">
        <v>19</v>
      </c>
      <c r="E23" s="5" t="s">
        <v>20</v>
      </c>
      <c r="F23" s="6">
        <v>65.0</v>
      </c>
      <c r="G23" s="11"/>
      <c r="H23" s="11"/>
      <c r="I23" s="12"/>
      <c r="J23" s="6"/>
      <c r="K23" s="20" t="s">
        <v>28</v>
      </c>
    </row>
    <row r="24" ht="22.5" customHeight="1">
      <c r="A24" s="4">
        <v>45931.0</v>
      </c>
      <c r="B24" s="5" t="s">
        <v>17</v>
      </c>
      <c r="C24" s="21"/>
      <c r="D24" s="21"/>
      <c r="E24" s="5" t="s">
        <v>29</v>
      </c>
      <c r="F24" s="6"/>
      <c r="G24" s="8"/>
      <c r="H24" s="8"/>
      <c r="I24" s="13"/>
      <c r="J24" s="6"/>
      <c r="K24" s="22"/>
    </row>
    <row r="25" ht="22.5" customHeight="1">
      <c r="A25" s="4">
        <v>45932.0</v>
      </c>
      <c r="B25" s="5" t="s">
        <v>17</v>
      </c>
      <c r="C25" s="21"/>
      <c r="D25" s="21"/>
      <c r="E25" s="5" t="s">
        <v>29</v>
      </c>
      <c r="F25" s="6"/>
      <c r="G25" s="11"/>
      <c r="H25" s="11"/>
      <c r="I25" s="12"/>
      <c r="J25" s="6"/>
      <c r="K25" s="22"/>
    </row>
    <row r="26" ht="22.5" customHeight="1">
      <c r="A26" s="4">
        <v>45933.0</v>
      </c>
      <c r="B26" s="5" t="s">
        <v>17</v>
      </c>
      <c r="C26" s="5" t="s">
        <v>18</v>
      </c>
      <c r="D26" s="5" t="s">
        <v>19</v>
      </c>
      <c r="E26" s="5" t="s">
        <v>20</v>
      </c>
      <c r="F26" s="23">
        <v>55.0</v>
      </c>
      <c r="G26" s="8"/>
      <c r="H26" s="8"/>
      <c r="I26" s="13"/>
      <c r="J26" s="23"/>
      <c r="K26" s="20" t="s">
        <v>28</v>
      </c>
    </row>
    <row r="27" ht="22.5" customHeight="1">
      <c r="A27" s="4">
        <v>45936.0</v>
      </c>
      <c r="B27" s="5" t="s">
        <v>17</v>
      </c>
      <c r="C27" s="5" t="s">
        <v>30</v>
      </c>
      <c r="D27" s="5" t="s">
        <v>31</v>
      </c>
      <c r="E27" s="5" t="s">
        <v>20</v>
      </c>
      <c r="F27" s="6">
        <v>500.0</v>
      </c>
      <c r="G27" s="11"/>
      <c r="H27" s="11"/>
      <c r="I27" s="12"/>
      <c r="J27" s="6"/>
      <c r="K27" s="17" t="s">
        <v>32</v>
      </c>
    </row>
    <row r="28" ht="22.5" customHeight="1">
      <c r="A28" s="4">
        <v>45937.0</v>
      </c>
      <c r="B28" s="5" t="s">
        <v>17</v>
      </c>
      <c r="C28" s="5" t="s">
        <v>30</v>
      </c>
      <c r="D28" s="5" t="s">
        <v>31</v>
      </c>
      <c r="E28" s="5" t="s">
        <v>20</v>
      </c>
      <c r="F28" s="6">
        <v>500.0</v>
      </c>
      <c r="G28" s="8"/>
      <c r="H28" s="8"/>
      <c r="I28" s="13"/>
      <c r="J28" s="6"/>
      <c r="K28" s="17" t="s">
        <v>33</v>
      </c>
    </row>
    <row r="29" ht="22.5" customHeight="1">
      <c r="A29" s="4">
        <v>45938.0</v>
      </c>
      <c r="B29" s="5" t="s">
        <v>17</v>
      </c>
      <c r="C29" s="5" t="s">
        <v>30</v>
      </c>
      <c r="D29" s="5" t="s">
        <v>31</v>
      </c>
      <c r="E29" s="5" t="s">
        <v>20</v>
      </c>
      <c r="F29" s="6">
        <v>500.0</v>
      </c>
      <c r="G29" s="11"/>
      <c r="H29" s="11"/>
      <c r="I29" s="12"/>
      <c r="J29" s="6"/>
      <c r="K29" s="17" t="s">
        <v>33</v>
      </c>
    </row>
    <row r="30" ht="22.5" customHeight="1">
      <c r="A30" s="4">
        <v>45939.0</v>
      </c>
      <c r="B30" s="5" t="s">
        <v>17</v>
      </c>
      <c r="C30" s="5" t="s">
        <v>18</v>
      </c>
      <c r="D30" s="5" t="s">
        <v>19</v>
      </c>
      <c r="E30" s="5" t="s">
        <v>20</v>
      </c>
      <c r="F30" s="6">
        <v>22.0</v>
      </c>
      <c r="G30" s="8"/>
      <c r="H30" s="8"/>
      <c r="I30" s="13"/>
      <c r="J30" s="6"/>
      <c r="K30" s="17" t="s">
        <v>34</v>
      </c>
    </row>
    <row r="31" ht="22.5" customHeight="1">
      <c r="A31" s="4">
        <v>45940.0</v>
      </c>
      <c r="B31" s="5" t="s">
        <v>17</v>
      </c>
      <c r="C31" s="5" t="s">
        <v>18</v>
      </c>
      <c r="D31" s="5" t="s">
        <v>19</v>
      </c>
      <c r="E31" s="5" t="s">
        <v>20</v>
      </c>
      <c r="F31" s="6">
        <v>66.0</v>
      </c>
      <c r="G31" s="11"/>
      <c r="H31" s="11"/>
      <c r="I31" s="12"/>
      <c r="J31" s="6"/>
      <c r="K31" s="17" t="s">
        <v>34</v>
      </c>
    </row>
    <row r="32" ht="22.5" customHeight="1">
      <c r="A32" s="4">
        <v>45943.0</v>
      </c>
      <c r="B32" s="5" t="s">
        <v>17</v>
      </c>
      <c r="C32" s="5" t="s">
        <v>18</v>
      </c>
      <c r="D32" s="5" t="s">
        <v>19</v>
      </c>
      <c r="E32" s="5" t="s">
        <v>20</v>
      </c>
      <c r="F32" s="6">
        <v>75.0</v>
      </c>
      <c r="G32" s="8"/>
      <c r="H32" s="8"/>
      <c r="I32" s="13"/>
      <c r="J32" s="6"/>
      <c r="K32" s="17" t="s">
        <v>34</v>
      </c>
    </row>
    <row r="33" ht="22.5" customHeight="1">
      <c r="A33" s="4">
        <v>45944.0</v>
      </c>
      <c r="B33" s="5" t="s">
        <v>17</v>
      </c>
      <c r="C33" s="5" t="s">
        <v>18</v>
      </c>
      <c r="D33" s="5" t="s">
        <v>19</v>
      </c>
      <c r="E33" s="5" t="s">
        <v>20</v>
      </c>
      <c r="F33" s="6">
        <v>65.0</v>
      </c>
      <c r="G33" s="11"/>
      <c r="H33" s="11"/>
      <c r="I33" s="12"/>
      <c r="J33" s="6"/>
      <c r="K33" s="17" t="s">
        <v>34</v>
      </c>
    </row>
    <row r="34" ht="22.5" customHeight="1">
      <c r="A34" s="4">
        <v>45945.0</v>
      </c>
      <c r="B34" s="5" t="s">
        <v>17</v>
      </c>
      <c r="C34" s="5" t="s">
        <v>30</v>
      </c>
      <c r="D34" s="5" t="s">
        <v>19</v>
      </c>
      <c r="E34" s="5" t="s">
        <v>20</v>
      </c>
      <c r="F34" s="6">
        <v>65.0</v>
      </c>
      <c r="G34" s="8"/>
      <c r="H34" s="8"/>
      <c r="I34" s="13"/>
      <c r="J34" s="6"/>
      <c r="K34" s="24" t="s">
        <v>35</v>
      </c>
    </row>
    <row r="35" ht="22.5" customHeight="1">
      <c r="A35" s="4">
        <v>45946.0</v>
      </c>
      <c r="B35" s="5" t="s">
        <v>17</v>
      </c>
      <c r="C35" s="5" t="s">
        <v>30</v>
      </c>
      <c r="D35" s="5" t="s">
        <v>19</v>
      </c>
      <c r="E35" s="5" t="s">
        <v>20</v>
      </c>
      <c r="F35" s="6">
        <v>70.0</v>
      </c>
      <c r="G35" s="11"/>
      <c r="H35" s="11"/>
      <c r="I35" s="12"/>
      <c r="J35" s="6"/>
      <c r="K35" s="24" t="s">
        <v>35</v>
      </c>
    </row>
    <row r="36" ht="22.5" customHeight="1">
      <c r="A36" s="4">
        <v>45947.0</v>
      </c>
      <c r="B36" s="5" t="s">
        <v>17</v>
      </c>
      <c r="C36" s="5" t="s">
        <v>30</v>
      </c>
      <c r="D36" s="5" t="s">
        <v>19</v>
      </c>
      <c r="E36" s="5" t="s">
        <v>20</v>
      </c>
      <c r="F36" s="6">
        <v>75.0</v>
      </c>
      <c r="G36" s="8"/>
      <c r="H36" s="8"/>
      <c r="I36" s="13"/>
      <c r="J36" s="6"/>
      <c r="K36" s="24" t="s">
        <v>35</v>
      </c>
    </row>
    <row r="37" ht="22.5" customHeight="1">
      <c r="A37" s="4">
        <v>45950.0</v>
      </c>
      <c r="B37" s="5" t="s">
        <v>17</v>
      </c>
      <c r="C37" s="5" t="s">
        <v>30</v>
      </c>
      <c r="D37" s="5" t="s">
        <v>19</v>
      </c>
      <c r="E37" s="5" t="s">
        <v>20</v>
      </c>
      <c r="F37" s="6">
        <v>77.0</v>
      </c>
      <c r="G37" s="11"/>
      <c r="H37" s="11"/>
      <c r="I37" s="12"/>
      <c r="J37" s="6"/>
      <c r="K37" s="24" t="s">
        <v>35</v>
      </c>
    </row>
    <row r="38" ht="22.5" customHeight="1">
      <c r="A38" s="4">
        <v>45951.0</v>
      </c>
      <c r="B38" s="5" t="s">
        <v>17</v>
      </c>
      <c r="C38" s="21"/>
      <c r="D38" s="5" t="s">
        <v>29</v>
      </c>
      <c r="E38" s="21"/>
      <c r="F38" s="6"/>
      <c r="G38" s="8"/>
      <c r="H38" s="8"/>
      <c r="I38" s="13"/>
      <c r="J38" s="6"/>
      <c r="K38" s="22"/>
    </row>
    <row r="39" ht="22.5" customHeight="1">
      <c r="A39" s="4">
        <v>45952.0</v>
      </c>
      <c r="B39" s="5" t="s">
        <v>17</v>
      </c>
      <c r="C39" s="5" t="s">
        <v>30</v>
      </c>
      <c r="D39" s="5" t="s">
        <v>19</v>
      </c>
      <c r="E39" s="5" t="s">
        <v>20</v>
      </c>
      <c r="F39" s="6">
        <v>65.0</v>
      </c>
      <c r="G39" s="11"/>
      <c r="H39" s="11"/>
      <c r="I39" s="12"/>
      <c r="J39" s="6"/>
      <c r="K39" s="24" t="s">
        <v>35</v>
      </c>
    </row>
    <row r="40" ht="22.5" customHeight="1">
      <c r="A40" s="4">
        <v>45953.0</v>
      </c>
      <c r="B40" s="5" t="s">
        <v>17</v>
      </c>
      <c r="C40" s="5" t="s">
        <v>30</v>
      </c>
      <c r="D40" s="5" t="s">
        <v>19</v>
      </c>
      <c r="E40" s="5" t="s">
        <v>20</v>
      </c>
      <c r="F40" s="6">
        <v>74.0</v>
      </c>
      <c r="G40" s="8"/>
      <c r="H40" s="8"/>
      <c r="I40" s="13"/>
      <c r="J40" s="6"/>
      <c r="K40" s="24" t="s">
        <v>35</v>
      </c>
    </row>
    <row r="41" ht="22.5" customHeight="1">
      <c r="A41" s="4">
        <v>45954.0</v>
      </c>
      <c r="B41" s="5" t="s">
        <v>17</v>
      </c>
      <c r="C41" s="5" t="s">
        <v>30</v>
      </c>
      <c r="D41" s="5" t="s">
        <v>19</v>
      </c>
      <c r="E41" s="5" t="s">
        <v>20</v>
      </c>
      <c r="F41" s="6">
        <v>82.0</v>
      </c>
      <c r="G41" s="11"/>
      <c r="H41" s="11"/>
      <c r="I41" s="12"/>
      <c r="J41" s="6"/>
      <c r="K41" s="24" t="s">
        <v>35</v>
      </c>
    </row>
    <row r="42" ht="22.5" customHeight="1">
      <c r="A42" s="4">
        <v>45957.0</v>
      </c>
      <c r="B42" s="5" t="s">
        <v>17</v>
      </c>
      <c r="C42" s="5" t="s">
        <v>30</v>
      </c>
      <c r="D42" s="5" t="s">
        <v>23</v>
      </c>
      <c r="E42" s="5" t="s">
        <v>20</v>
      </c>
      <c r="F42" s="25">
        <v>2000.0</v>
      </c>
      <c r="G42" s="8"/>
      <c r="H42" s="8"/>
      <c r="I42" s="26"/>
      <c r="J42" s="25"/>
      <c r="K42" s="27" t="s">
        <v>36</v>
      </c>
    </row>
    <row r="43" ht="22.5" customHeight="1">
      <c r="A43" s="4">
        <v>45958.0</v>
      </c>
      <c r="B43" s="5" t="s">
        <v>17</v>
      </c>
      <c r="C43" s="5" t="s">
        <v>30</v>
      </c>
      <c r="D43" s="5" t="s">
        <v>23</v>
      </c>
      <c r="E43" s="5" t="s">
        <v>20</v>
      </c>
      <c r="F43" s="25">
        <v>2000.0</v>
      </c>
      <c r="G43" s="11"/>
      <c r="H43" s="11"/>
      <c r="I43" s="28"/>
      <c r="J43" s="25"/>
      <c r="K43" s="27" t="s">
        <v>36</v>
      </c>
    </row>
    <row r="44" ht="22.5" customHeight="1">
      <c r="A44" s="4">
        <v>45959.0</v>
      </c>
      <c r="B44" s="5" t="s">
        <v>17</v>
      </c>
      <c r="C44" s="5" t="s">
        <v>30</v>
      </c>
      <c r="D44" s="5" t="s">
        <v>23</v>
      </c>
      <c r="E44" s="5" t="s">
        <v>20</v>
      </c>
      <c r="F44" s="25">
        <v>2000.0</v>
      </c>
      <c r="G44" s="8"/>
      <c r="H44" s="8"/>
      <c r="I44" s="26"/>
      <c r="J44" s="25"/>
      <c r="K44" s="27" t="s">
        <v>36</v>
      </c>
    </row>
    <row r="45" ht="22.5" customHeight="1">
      <c r="A45" s="4">
        <v>45960.0</v>
      </c>
      <c r="B45" s="5" t="s">
        <v>17</v>
      </c>
      <c r="C45" s="5" t="s">
        <v>30</v>
      </c>
      <c r="D45" s="5" t="s">
        <v>23</v>
      </c>
      <c r="E45" s="5" t="s">
        <v>20</v>
      </c>
      <c r="F45" s="25">
        <v>2000.0</v>
      </c>
      <c r="G45" s="11"/>
      <c r="H45" s="11"/>
      <c r="I45" s="28"/>
      <c r="J45" s="25"/>
      <c r="K45" s="27" t="s">
        <v>36</v>
      </c>
    </row>
    <row r="46" ht="22.5" customHeight="1">
      <c r="A46" s="4">
        <v>45961.0</v>
      </c>
      <c r="B46" s="5" t="s">
        <v>17</v>
      </c>
      <c r="C46" s="5" t="s">
        <v>30</v>
      </c>
      <c r="D46" s="5" t="s">
        <v>23</v>
      </c>
      <c r="E46" s="5" t="s">
        <v>20</v>
      </c>
      <c r="F46" s="29">
        <v>900.0</v>
      </c>
      <c r="G46" s="8"/>
      <c r="H46" s="8"/>
      <c r="I46" s="26"/>
      <c r="J46" s="29"/>
      <c r="K46" s="27" t="s">
        <v>36</v>
      </c>
    </row>
    <row r="47" ht="22.5" customHeight="1">
      <c r="A47" s="4">
        <v>45964.0</v>
      </c>
      <c r="B47" s="5" t="s">
        <v>17</v>
      </c>
      <c r="C47" s="5" t="s">
        <v>37</v>
      </c>
      <c r="D47" s="5" t="s">
        <v>23</v>
      </c>
      <c r="E47" s="5" t="s">
        <v>20</v>
      </c>
      <c r="F47" s="6">
        <v>5000.0</v>
      </c>
      <c r="G47" s="11"/>
      <c r="H47" s="11"/>
      <c r="I47" s="12"/>
      <c r="J47" s="6"/>
      <c r="K47" s="30" t="s">
        <v>38</v>
      </c>
    </row>
    <row r="48" ht="22.5" customHeight="1">
      <c r="A48" s="4">
        <v>45965.0</v>
      </c>
      <c r="B48" s="5" t="s">
        <v>17</v>
      </c>
      <c r="C48" s="5" t="s">
        <v>37</v>
      </c>
      <c r="D48" s="5" t="s">
        <v>23</v>
      </c>
      <c r="E48" s="5" t="s">
        <v>20</v>
      </c>
      <c r="F48" s="6">
        <v>5000.0</v>
      </c>
      <c r="G48" s="8"/>
      <c r="H48" s="8"/>
      <c r="I48" s="13"/>
      <c r="J48" s="6"/>
      <c r="K48" s="30" t="s">
        <v>38</v>
      </c>
    </row>
    <row r="49" ht="22.5" customHeight="1">
      <c r="A49" s="4">
        <v>45966.0</v>
      </c>
      <c r="B49" s="5" t="s">
        <v>17</v>
      </c>
      <c r="C49" s="5" t="s">
        <v>30</v>
      </c>
      <c r="D49" s="5" t="s">
        <v>31</v>
      </c>
      <c r="E49" s="5" t="s">
        <v>20</v>
      </c>
      <c r="F49" s="6">
        <v>250.0</v>
      </c>
      <c r="G49" s="11"/>
      <c r="H49" s="11"/>
      <c r="I49" s="12"/>
      <c r="J49" s="6"/>
      <c r="K49" s="31" t="s">
        <v>39</v>
      </c>
    </row>
    <row r="50" ht="22.5" customHeight="1">
      <c r="A50" s="4">
        <v>45967.0</v>
      </c>
      <c r="B50" s="5" t="s">
        <v>17</v>
      </c>
      <c r="C50" s="5" t="s">
        <v>30</v>
      </c>
      <c r="D50" s="5" t="s">
        <v>31</v>
      </c>
      <c r="E50" s="5" t="s">
        <v>20</v>
      </c>
      <c r="F50" s="6">
        <v>250.0</v>
      </c>
      <c r="G50" s="8"/>
      <c r="H50" s="8"/>
      <c r="I50" s="13"/>
      <c r="J50" s="6"/>
      <c r="K50" s="31" t="s">
        <v>39</v>
      </c>
    </row>
    <row r="51" ht="22.5" customHeight="1">
      <c r="A51" s="4">
        <v>45968.0</v>
      </c>
      <c r="B51" s="5" t="s">
        <v>17</v>
      </c>
      <c r="C51" s="5" t="s">
        <v>30</v>
      </c>
      <c r="D51" s="5" t="s">
        <v>31</v>
      </c>
      <c r="E51" s="5" t="s">
        <v>20</v>
      </c>
      <c r="F51" s="6">
        <v>250.0</v>
      </c>
      <c r="G51" s="11"/>
      <c r="H51" s="11"/>
      <c r="I51" s="12"/>
      <c r="J51" s="6"/>
      <c r="K51" s="31" t="s">
        <v>39</v>
      </c>
    </row>
    <row r="52" ht="22.5" customHeight="1">
      <c r="A52" s="4">
        <v>45971.0</v>
      </c>
      <c r="B52" s="5" t="s">
        <v>17</v>
      </c>
      <c r="C52" s="5" t="s">
        <v>30</v>
      </c>
      <c r="D52" s="5" t="s">
        <v>31</v>
      </c>
      <c r="E52" s="5" t="s">
        <v>20</v>
      </c>
      <c r="F52" s="6">
        <v>250.0</v>
      </c>
      <c r="G52" s="8"/>
      <c r="H52" s="8"/>
      <c r="I52" s="13"/>
      <c r="J52" s="6"/>
      <c r="K52" s="31" t="s">
        <v>39</v>
      </c>
    </row>
    <row r="53" ht="22.5" customHeight="1">
      <c r="A53" s="4">
        <v>45972.0</v>
      </c>
      <c r="B53" s="5" t="s">
        <v>17</v>
      </c>
      <c r="C53" s="5" t="s">
        <v>30</v>
      </c>
      <c r="D53" s="5" t="s">
        <v>31</v>
      </c>
      <c r="E53" s="5" t="s">
        <v>20</v>
      </c>
      <c r="F53" s="6">
        <v>250.0</v>
      </c>
      <c r="G53" s="11"/>
      <c r="H53" s="11"/>
      <c r="I53" s="12"/>
      <c r="J53" s="6"/>
      <c r="K53" s="31" t="s">
        <v>39</v>
      </c>
    </row>
    <row r="54" ht="22.5" customHeight="1">
      <c r="A54" s="4">
        <v>45973.0</v>
      </c>
      <c r="B54" s="5" t="s">
        <v>17</v>
      </c>
      <c r="C54" s="5" t="s">
        <v>30</v>
      </c>
      <c r="D54" s="5" t="s">
        <v>31</v>
      </c>
      <c r="E54" s="5" t="s">
        <v>20</v>
      </c>
      <c r="F54" s="6">
        <v>250.0</v>
      </c>
      <c r="G54" s="8"/>
      <c r="H54" s="8"/>
      <c r="I54" s="13"/>
      <c r="J54" s="6"/>
      <c r="K54" s="31" t="s">
        <v>39</v>
      </c>
    </row>
    <row r="55" ht="22.5" customHeight="1">
      <c r="A55" s="4">
        <v>45974.0</v>
      </c>
      <c r="B55" s="5" t="s">
        <v>17</v>
      </c>
      <c r="C55" s="5" t="s">
        <v>30</v>
      </c>
      <c r="D55" s="5" t="s">
        <v>31</v>
      </c>
      <c r="E55" s="5" t="s">
        <v>20</v>
      </c>
      <c r="F55" s="6">
        <v>250.0</v>
      </c>
      <c r="G55" s="11"/>
      <c r="H55" s="11"/>
      <c r="I55" s="12"/>
      <c r="J55" s="6"/>
      <c r="K55" s="31" t="s">
        <v>39</v>
      </c>
    </row>
    <row r="56" ht="22.5" customHeight="1">
      <c r="A56" s="4">
        <v>45975.0</v>
      </c>
      <c r="B56" s="5" t="s">
        <v>17</v>
      </c>
      <c r="C56" s="5" t="s">
        <v>30</v>
      </c>
      <c r="D56" s="5" t="s">
        <v>31</v>
      </c>
      <c r="E56" s="5" t="s">
        <v>20</v>
      </c>
      <c r="F56" s="6">
        <v>250.0</v>
      </c>
      <c r="G56" s="8"/>
      <c r="H56" s="8"/>
      <c r="I56" s="13"/>
      <c r="J56" s="6"/>
      <c r="K56" s="31" t="s">
        <v>39</v>
      </c>
    </row>
    <row r="57" ht="22.5" customHeight="1">
      <c r="A57" s="4">
        <v>45978.0</v>
      </c>
      <c r="B57" s="5" t="s">
        <v>17</v>
      </c>
      <c r="C57" s="5" t="s">
        <v>30</v>
      </c>
      <c r="D57" s="5" t="s">
        <v>31</v>
      </c>
      <c r="E57" s="5" t="s">
        <v>20</v>
      </c>
      <c r="F57" s="6">
        <v>250.0</v>
      </c>
      <c r="G57" s="11"/>
      <c r="H57" s="11"/>
      <c r="I57" s="12"/>
      <c r="J57" s="6"/>
      <c r="K57" s="31" t="s">
        <v>39</v>
      </c>
    </row>
    <row r="58" ht="22.5" customHeight="1">
      <c r="A58" s="4">
        <v>45979.0</v>
      </c>
      <c r="B58" s="5" t="s">
        <v>17</v>
      </c>
      <c r="C58" s="5" t="s">
        <v>30</v>
      </c>
      <c r="D58" s="5" t="s">
        <v>31</v>
      </c>
      <c r="E58" s="5" t="s">
        <v>20</v>
      </c>
      <c r="F58" s="6">
        <v>250.0</v>
      </c>
      <c r="G58" s="8"/>
      <c r="H58" s="8"/>
      <c r="I58" s="13"/>
      <c r="J58" s="6"/>
      <c r="K58" s="31" t="s">
        <v>39</v>
      </c>
    </row>
    <row r="59" ht="22.5" customHeight="1">
      <c r="A59" s="4">
        <v>45980.0</v>
      </c>
      <c r="B59" s="5" t="s">
        <v>17</v>
      </c>
      <c r="C59" s="21"/>
      <c r="D59" s="5" t="s">
        <v>29</v>
      </c>
      <c r="E59" s="5" t="s">
        <v>29</v>
      </c>
      <c r="F59" s="6">
        <v>250.0</v>
      </c>
      <c r="G59" s="11"/>
      <c r="H59" s="11"/>
      <c r="I59" s="12"/>
      <c r="J59" s="6"/>
      <c r="K59" s="31" t="s">
        <v>39</v>
      </c>
    </row>
    <row r="60" ht="22.5" customHeight="1">
      <c r="A60" s="4">
        <v>45981.0</v>
      </c>
      <c r="B60" s="5" t="s">
        <v>17</v>
      </c>
      <c r="C60" s="5" t="s">
        <v>30</v>
      </c>
      <c r="D60" s="5" t="s">
        <v>31</v>
      </c>
      <c r="E60" s="5" t="s">
        <v>20</v>
      </c>
      <c r="F60" s="6">
        <v>250.0</v>
      </c>
      <c r="G60" s="8"/>
      <c r="H60" s="8"/>
      <c r="I60" s="13"/>
      <c r="J60" s="6"/>
      <c r="K60" s="31" t="s">
        <v>39</v>
      </c>
    </row>
    <row r="61" ht="22.5" customHeight="1">
      <c r="A61" s="4">
        <v>45982.0</v>
      </c>
      <c r="B61" s="5" t="s">
        <v>17</v>
      </c>
      <c r="C61" s="5" t="s">
        <v>30</v>
      </c>
      <c r="D61" s="5" t="s">
        <v>31</v>
      </c>
      <c r="E61" s="5" t="s">
        <v>20</v>
      </c>
      <c r="F61" s="6">
        <v>250.0</v>
      </c>
      <c r="G61" s="11"/>
      <c r="H61" s="11"/>
      <c r="I61" s="12"/>
      <c r="J61" s="6"/>
      <c r="K61" s="31" t="s">
        <v>39</v>
      </c>
    </row>
    <row r="62" ht="22.5" customHeight="1">
      <c r="A62" s="4">
        <v>45985.0</v>
      </c>
      <c r="B62" s="5" t="s">
        <v>17</v>
      </c>
      <c r="C62" s="5" t="s">
        <v>30</v>
      </c>
      <c r="D62" s="5" t="s">
        <v>31</v>
      </c>
      <c r="E62" s="5" t="s">
        <v>20</v>
      </c>
      <c r="F62" s="6">
        <v>250.0</v>
      </c>
      <c r="G62" s="8"/>
      <c r="H62" s="8"/>
      <c r="I62" s="13"/>
      <c r="J62" s="6"/>
      <c r="K62" s="31" t="s">
        <v>39</v>
      </c>
    </row>
    <row r="63" ht="22.5" customHeight="1">
      <c r="A63" s="4">
        <v>45986.0</v>
      </c>
      <c r="B63" s="5" t="s">
        <v>17</v>
      </c>
      <c r="C63" s="5" t="s">
        <v>30</v>
      </c>
      <c r="D63" s="5" t="s">
        <v>31</v>
      </c>
      <c r="E63" s="5" t="s">
        <v>20</v>
      </c>
      <c r="F63" s="6">
        <v>250.0</v>
      </c>
      <c r="G63" s="11"/>
      <c r="H63" s="11"/>
      <c r="I63" s="12"/>
      <c r="J63" s="6"/>
      <c r="K63" s="31" t="s">
        <v>39</v>
      </c>
    </row>
    <row r="64" ht="22.5" customHeight="1">
      <c r="A64" s="4">
        <v>45987.0</v>
      </c>
      <c r="B64" s="5" t="s">
        <v>17</v>
      </c>
      <c r="C64" s="5" t="s">
        <v>30</v>
      </c>
      <c r="D64" s="5" t="s">
        <v>31</v>
      </c>
      <c r="E64" s="5" t="s">
        <v>20</v>
      </c>
      <c r="F64" s="6">
        <v>250.0</v>
      </c>
      <c r="G64" s="8"/>
      <c r="H64" s="8"/>
      <c r="I64" s="13"/>
      <c r="J64" s="6"/>
      <c r="K64" s="31" t="s">
        <v>39</v>
      </c>
    </row>
    <row r="65" ht="22.5" customHeight="1">
      <c r="A65" s="4">
        <v>45988.0</v>
      </c>
      <c r="B65" s="5" t="s">
        <v>17</v>
      </c>
      <c r="C65" s="5" t="s">
        <v>30</v>
      </c>
      <c r="D65" s="5" t="s">
        <v>31</v>
      </c>
      <c r="E65" s="5" t="s">
        <v>20</v>
      </c>
      <c r="F65" s="6">
        <v>250.0</v>
      </c>
      <c r="G65" s="11"/>
      <c r="H65" s="11"/>
      <c r="I65" s="12"/>
      <c r="J65" s="6"/>
      <c r="K65" s="31" t="s">
        <v>39</v>
      </c>
    </row>
    <row r="66" ht="22.5" customHeight="1">
      <c r="A66" s="4">
        <v>45989.0</v>
      </c>
      <c r="B66" s="5" t="s">
        <v>17</v>
      </c>
      <c r="C66" s="5" t="s">
        <v>30</v>
      </c>
      <c r="D66" s="5" t="s">
        <v>31</v>
      </c>
      <c r="E66" s="5" t="s">
        <v>20</v>
      </c>
      <c r="F66" s="6">
        <v>250.0</v>
      </c>
      <c r="G66" s="8"/>
      <c r="H66" s="8"/>
      <c r="I66" s="13"/>
      <c r="J66" s="6"/>
      <c r="K66" s="31" t="s">
        <v>39</v>
      </c>
    </row>
    <row r="67" ht="22.5" customHeight="1">
      <c r="A67" s="4">
        <v>45992.0</v>
      </c>
      <c r="B67" s="5" t="s">
        <v>17</v>
      </c>
      <c r="C67" s="5"/>
      <c r="D67" s="5" t="s">
        <v>29</v>
      </c>
      <c r="E67" s="5" t="s">
        <v>29</v>
      </c>
      <c r="F67" s="6"/>
      <c r="G67" s="11"/>
      <c r="H67" s="11"/>
      <c r="I67" s="12"/>
      <c r="J67" s="6"/>
      <c r="K67" s="31"/>
    </row>
    <row r="68" ht="22.5" customHeight="1">
      <c r="A68" s="4">
        <v>45993.0</v>
      </c>
      <c r="B68" s="5" t="s">
        <v>17</v>
      </c>
      <c r="C68" s="5"/>
      <c r="D68" s="5" t="s">
        <v>29</v>
      </c>
      <c r="E68" s="5" t="s">
        <v>29</v>
      </c>
      <c r="F68" s="6"/>
      <c r="G68" s="8"/>
      <c r="H68" s="8"/>
      <c r="I68" s="13"/>
      <c r="J68" s="6"/>
      <c r="K68" s="31"/>
    </row>
    <row r="69" ht="22.5" customHeight="1">
      <c r="A69" s="4">
        <v>45994.0</v>
      </c>
      <c r="B69" s="5" t="s">
        <v>17</v>
      </c>
      <c r="C69" s="5" t="s">
        <v>30</v>
      </c>
      <c r="D69" s="5" t="s">
        <v>31</v>
      </c>
      <c r="E69" s="5" t="s">
        <v>29</v>
      </c>
      <c r="F69" s="6">
        <v>250.0</v>
      </c>
      <c r="G69" s="11"/>
      <c r="H69" s="11"/>
      <c r="I69" s="12"/>
      <c r="J69" s="6"/>
      <c r="K69" s="31" t="s">
        <v>39</v>
      </c>
    </row>
    <row r="70" ht="22.5" customHeight="1">
      <c r="A70" s="4">
        <v>45995.0</v>
      </c>
      <c r="B70" s="5" t="s">
        <v>17</v>
      </c>
      <c r="C70" s="5" t="s">
        <v>30</v>
      </c>
      <c r="D70" s="5" t="s">
        <v>31</v>
      </c>
      <c r="E70" s="5" t="s">
        <v>20</v>
      </c>
      <c r="F70" s="6">
        <v>250.0</v>
      </c>
      <c r="G70" s="8"/>
      <c r="H70" s="8"/>
      <c r="I70" s="13"/>
      <c r="J70" s="6"/>
      <c r="K70" s="31" t="s">
        <v>39</v>
      </c>
    </row>
    <row r="71" ht="22.5" customHeight="1">
      <c r="A71" s="4">
        <v>45996.0</v>
      </c>
      <c r="B71" s="5" t="s">
        <v>17</v>
      </c>
      <c r="C71" s="5" t="s">
        <v>30</v>
      </c>
      <c r="D71" s="5" t="s">
        <v>31</v>
      </c>
      <c r="E71" s="5" t="s">
        <v>20</v>
      </c>
      <c r="F71" s="6">
        <v>250.0</v>
      </c>
      <c r="G71" s="11"/>
      <c r="H71" s="11"/>
      <c r="I71" s="12"/>
      <c r="J71" s="6"/>
      <c r="K71" s="31" t="s">
        <v>39</v>
      </c>
    </row>
    <row r="72" ht="22.5" customHeight="1">
      <c r="A72" s="4">
        <v>45999.0</v>
      </c>
      <c r="B72" s="5" t="s">
        <v>17</v>
      </c>
      <c r="C72" s="5" t="s">
        <v>40</v>
      </c>
      <c r="D72" s="5" t="s">
        <v>31</v>
      </c>
      <c r="E72" s="5" t="s">
        <v>20</v>
      </c>
      <c r="F72" s="6">
        <v>500.0</v>
      </c>
      <c r="G72" s="8"/>
      <c r="H72" s="8"/>
      <c r="I72" s="13"/>
      <c r="J72" s="6"/>
      <c r="K72" s="20" t="s">
        <v>41</v>
      </c>
    </row>
    <row r="73" ht="22.5" customHeight="1">
      <c r="A73" s="4">
        <v>46000.0</v>
      </c>
      <c r="B73" s="5" t="s">
        <v>17</v>
      </c>
      <c r="C73" s="5" t="s">
        <v>40</v>
      </c>
      <c r="D73" s="5" t="s">
        <v>31</v>
      </c>
      <c r="E73" s="5" t="s">
        <v>20</v>
      </c>
      <c r="F73" s="6">
        <v>400.0</v>
      </c>
      <c r="G73" s="11"/>
      <c r="H73" s="11"/>
      <c r="I73" s="12"/>
      <c r="J73" s="6"/>
      <c r="K73" s="20" t="s">
        <v>41</v>
      </c>
    </row>
    <row r="74" ht="22.5" customHeight="1">
      <c r="A74" s="4">
        <v>46001.0</v>
      </c>
      <c r="B74" s="5" t="s">
        <v>17</v>
      </c>
      <c r="C74" s="5"/>
      <c r="D74" s="5" t="s">
        <v>29</v>
      </c>
      <c r="E74" s="5" t="s">
        <v>29</v>
      </c>
      <c r="F74" s="6"/>
      <c r="G74" s="8"/>
      <c r="H74" s="8"/>
      <c r="I74" s="13"/>
      <c r="J74" s="6"/>
      <c r="K74" s="20"/>
    </row>
    <row r="75" ht="22.5" customHeight="1">
      <c r="A75" s="4">
        <v>46002.0</v>
      </c>
      <c r="B75" s="5" t="s">
        <v>17</v>
      </c>
      <c r="C75" s="5" t="s">
        <v>40</v>
      </c>
      <c r="D75" s="5" t="s">
        <v>31</v>
      </c>
      <c r="E75" s="5" t="s">
        <v>20</v>
      </c>
      <c r="F75" s="6">
        <v>400.0</v>
      </c>
      <c r="G75" s="11"/>
      <c r="H75" s="11"/>
      <c r="I75" s="12"/>
      <c r="J75" s="6"/>
      <c r="K75" s="20" t="s">
        <v>41</v>
      </c>
    </row>
    <row r="76" ht="22.5" customHeight="1">
      <c r="A76" s="4">
        <v>46003.0</v>
      </c>
      <c r="B76" s="5" t="s">
        <v>17</v>
      </c>
      <c r="C76" s="5" t="s">
        <v>40</v>
      </c>
      <c r="D76" s="5" t="s">
        <v>31</v>
      </c>
      <c r="E76" s="5" t="s">
        <v>20</v>
      </c>
      <c r="F76" s="6">
        <v>500.0</v>
      </c>
      <c r="G76" s="8"/>
      <c r="H76" s="8"/>
      <c r="I76" s="13"/>
      <c r="J76" s="6"/>
      <c r="K76" s="20" t="s">
        <v>41</v>
      </c>
    </row>
    <row r="77" ht="22.5" customHeight="1">
      <c r="A77" s="4">
        <v>46006.0</v>
      </c>
      <c r="B77" s="5" t="s">
        <v>17</v>
      </c>
      <c r="C77" s="5" t="s">
        <v>30</v>
      </c>
      <c r="D77" s="5" t="s">
        <v>42</v>
      </c>
      <c r="E77" s="5" t="s">
        <v>20</v>
      </c>
      <c r="F77" s="6"/>
      <c r="G77" s="11"/>
      <c r="H77" s="11"/>
      <c r="I77" s="12"/>
      <c r="J77" s="6"/>
      <c r="K77" s="19" t="s">
        <v>43</v>
      </c>
    </row>
    <row r="78" ht="22.5" customHeight="1">
      <c r="A78" s="4">
        <v>46007.0</v>
      </c>
      <c r="B78" s="5" t="s">
        <v>17</v>
      </c>
      <c r="C78" s="5" t="s">
        <v>30</v>
      </c>
      <c r="D78" s="5" t="s">
        <v>42</v>
      </c>
      <c r="E78" s="5" t="s">
        <v>20</v>
      </c>
      <c r="F78" s="6"/>
      <c r="G78" s="8"/>
      <c r="H78" s="8"/>
      <c r="I78" s="13"/>
      <c r="J78" s="6"/>
      <c r="K78" s="19" t="s">
        <v>43</v>
      </c>
    </row>
    <row r="79" ht="22.5" customHeight="1">
      <c r="A79" s="4">
        <v>46008.0</v>
      </c>
      <c r="B79" s="5" t="s">
        <v>17</v>
      </c>
      <c r="C79" s="5" t="s">
        <v>30</v>
      </c>
      <c r="D79" s="5" t="s">
        <v>42</v>
      </c>
      <c r="E79" s="5" t="s">
        <v>20</v>
      </c>
      <c r="F79" s="6"/>
      <c r="G79" s="11"/>
      <c r="H79" s="11"/>
      <c r="I79" s="12"/>
      <c r="J79" s="6"/>
      <c r="K79" s="19" t="s">
        <v>43</v>
      </c>
    </row>
    <row r="80" ht="22.5" customHeight="1">
      <c r="A80" s="4">
        <v>46009.0</v>
      </c>
      <c r="B80" s="5" t="s">
        <v>17</v>
      </c>
      <c r="C80" s="5" t="s">
        <v>44</v>
      </c>
      <c r="D80" s="5" t="s">
        <v>45</v>
      </c>
      <c r="E80" s="5" t="s">
        <v>20</v>
      </c>
      <c r="F80" s="6">
        <v>1070.0</v>
      </c>
      <c r="G80" s="8"/>
      <c r="H80" s="8"/>
      <c r="I80" s="13"/>
      <c r="J80" s="6"/>
      <c r="K80" s="31" t="s">
        <v>46</v>
      </c>
    </row>
    <row r="81" ht="22.5" customHeight="1">
      <c r="A81" s="4">
        <v>46010.0</v>
      </c>
      <c r="B81" s="5" t="s">
        <v>17</v>
      </c>
      <c r="C81" s="5" t="s">
        <v>44</v>
      </c>
      <c r="D81" s="5" t="s">
        <v>45</v>
      </c>
      <c r="E81" s="5" t="s">
        <v>20</v>
      </c>
      <c r="F81" s="6">
        <v>810.0</v>
      </c>
      <c r="G81" s="11"/>
      <c r="H81" s="11"/>
      <c r="I81" s="12"/>
      <c r="J81" s="6"/>
      <c r="K81" s="31" t="s">
        <v>46</v>
      </c>
    </row>
    <row r="82" ht="22.5" customHeight="1">
      <c r="A82" s="4">
        <v>46013.0</v>
      </c>
      <c r="B82" s="5" t="s">
        <v>17</v>
      </c>
      <c r="C82" s="5" t="s">
        <v>44</v>
      </c>
      <c r="D82" s="5" t="s">
        <v>45</v>
      </c>
      <c r="E82" s="5" t="s">
        <v>20</v>
      </c>
      <c r="F82" s="6">
        <v>752.0</v>
      </c>
      <c r="G82" s="8"/>
      <c r="H82" s="8"/>
      <c r="I82" s="13"/>
      <c r="J82" s="6"/>
      <c r="K82" s="31" t="s">
        <v>46</v>
      </c>
    </row>
    <row r="83" ht="22.5" customHeight="1">
      <c r="A83" s="4">
        <v>46014.0</v>
      </c>
      <c r="B83" s="5" t="s">
        <v>17</v>
      </c>
      <c r="C83" s="5" t="s">
        <v>40</v>
      </c>
      <c r="D83" s="5" t="s">
        <v>47</v>
      </c>
      <c r="E83" s="5" t="s">
        <v>20</v>
      </c>
      <c r="F83" s="6">
        <v>125.0</v>
      </c>
      <c r="G83" s="11"/>
      <c r="H83" s="11"/>
      <c r="I83" s="12"/>
      <c r="J83" s="6"/>
      <c r="K83" s="31" t="s">
        <v>48</v>
      </c>
    </row>
    <row r="84" ht="22.5" customHeight="1">
      <c r="A84" s="4">
        <v>46015.0</v>
      </c>
      <c r="B84" s="5" t="s">
        <v>17</v>
      </c>
      <c r="C84" s="5" t="s">
        <v>40</v>
      </c>
      <c r="D84" s="5" t="s">
        <v>47</v>
      </c>
      <c r="E84" s="5" t="s">
        <v>20</v>
      </c>
      <c r="F84" s="6">
        <v>125.0</v>
      </c>
      <c r="G84" s="8"/>
      <c r="H84" s="8"/>
      <c r="I84" s="13"/>
      <c r="J84" s="6"/>
      <c r="K84" s="31" t="s">
        <v>48</v>
      </c>
    </row>
    <row r="85" ht="22.5" customHeight="1">
      <c r="A85" s="4">
        <v>46016.0</v>
      </c>
      <c r="B85" s="5" t="s">
        <v>17</v>
      </c>
      <c r="C85" s="21"/>
      <c r="D85" s="5" t="s">
        <v>29</v>
      </c>
      <c r="E85" s="5" t="s">
        <v>29</v>
      </c>
      <c r="F85" s="6"/>
      <c r="G85" s="11"/>
      <c r="H85" s="11"/>
      <c r="I85" s="12"/>
      <c r="J85" s="6"/>
      <c r="K85" s="22"/>
    </row>
    <row r="86" ht="22.5" customHeight="1">
      <c r="A86" s="4">
        <v>46017.0</v>
      </c>
      <c r="B86" s="5" t="s">
        <v>17</v>
      </c>
      <c r="C86" s="21"/>
      <c r="D86" s="5" t="s">
        <v>29</v>
      </c>
      <c r="E86" s="5" t="s">
        <v>29</v>
      </c>
      <c r="F86" s="6"/>
      <c r="G86" s="8"/>
      <c r="H86" s="8"/>
      <c r="I86" s="13"/>
      <c r="J86" s="6"/>
      <c r="K86" s="22"/>
    </row>
    <row r="87" ht="22.5" customHeight="1">
      <c r="A87" s="4">
        <v>46020.0</v>
      </c>
      <c r="B87" s="5" t="s">
        <v>17</v>
      </c>
      <c r="C87" s="21"/>
      <c r="D87" s="5" t="s">
        <v>29</v>
      </c>
      <c r="E87" s="5" t="s">
        <v>29</v>
      </c>
      <c r="F87" s="6"/>
      <c r="G87" s="11"/>
      <c r="H87" s="11"/>
      <c r="I87" s="12"/>
      <c r="J87" s="6"/>
      <c r="K87" s="22"/>
    </row>
    <row r="88" ht="22.5" customHeight="1">
      <c r="A88" s="4">
        <v>46021.0</v>
      </c>
      <c r="B88" s="5" t="s">
        <v>17</v>
      </c>
      <c r="C88" s="5" t="s">
        <v>30</v>
      </c>
      <c r="D88" s="5" t="s">
        <v>42</v>
      </c>
      <c r="E88" s="5" t="s">
        <v>20</v>
      </c>
      <c r="F88" s="6">
        <v>125.0</v>
      </c>
      <c r="G88" s="8"/>
      <c r="H88" s="8"/>
      <c r="I88" s="13"/>
      <c r="J88" s="6"/>
      <c r="K88" s="29" t="s">
        <v>49</v>
      </c>
    </row>
    <row r="89" ht="22.5" customHeight="1">
      <c r="A89" s="4">
        <v>46022.0</v>
      </c>
      <c r="B89" s="5" t="s">
        <v>17</v>
      </c>
      <c r="C89" s="5" t="s">
        <v>30</v>
      </c>
      <c r="D89" s="5" t="s">
        <v>50</v>
      </c>
      <c r="E89" s="5" t="s">
        <v>20</v>
      </c>
      <c r="F89" s="6">
        <v>110.0</v>
      </c>
      <c r="G89" s="11"/>
      <c r="H89" s="11"/>
      <c r="I89" s="12"/>
      <c r="J89" s="6"/>
      <c r="K89" s="2" t="s">
        <v>51</v>
      </c>
    </row>
    <row r="90" ht="22.5" customHeight="1">
      <c r="A90" s="4">
        <v>46023.0</v>
      </c>
      <c r="B90" s="5" t="s">
        <v>17</v>
      </c>
      <c r="C90" s="5" t="s">
        <v>30</v>
      </c>
      <c r="D90" s="5" t="s">
        <v>50</v>
      </c>
      <c r="E90" s="5" t="s">
        <v>20</v>
      </c>
      <c r="F90" s="6">
        <v>110.0</v>
      </c>
      <c r="G90" s="8"/>
      <c r="H90" s="8"/>
      <c r="I90" s="13"/>
      <c r="J90" s="6"/>
      <c r="K90" s="2" t="s">
        <v>51</v>
      </c>
    </row>
    <row r="91" ht="22.5" customHeight="1">
      <c r="A91" s="4">
        <v>46024.0</v>
      </c>
      <c r="B91" s="5" t="s">
        <v>17</v>
      </c>
      <c r="C91" s="5" t="s">
        <v>30</v>
      </c>
      <c r="D91" s="5" t="s">
        <v>50</v>
      </c>
      <c r="E91" s="5" t="s">
        <v>20</v>
      </c>
      <c r="F91" s="6">
        <v>110.0</v>
      </c>
      <c r="G91" s="11"/>
      <c r="H91" s="11"/>
      <c r="I91" s="12"/>
      <c r="J91" s="6"/>
      <c r="K91" s="2" t="s">
        <v>51</v>
      </c>
    </row>
    <row r="92" ht="22.5" customHeight="1">
      <c r="A92" s="4">
        <v>46027.0</v>
      </c>
      <c r="B92" s="5" t="s">
        <v>17</v>
      </c>
      <c r="C92" s="5" t="s">
        <v>44</v>
      </c>
      <c r="D92" s="5" t="s">
        <v>45</v>
      </c>
      <c r="E92" s="5" t="s">
        <v>20</v>
      </c>
      <c r="F92" s="6">
        <v>802.0</v>
      </c>
      <c r="G92" s="8"/>
      <c r="H92" s="8"/>
      <c r="I92" s="13"/>
      <c r="J92" s="6"/>
      <c r="K92" s="19" t="s">
        <v>52</v>
      </c>
    </row>
    <row r="93" ht="22.5" customHeight="1">
      <c r="A93" s="4">
        <v>46028.0</v>
      </c>
      <c r="B93" s="5" t="s">
        <v>17</v>
      </c>
      <c r="C93" s="5" t="s">
        <v>44</v>
      </c>
      <c r="D93" s="5" t="s">
        <v>45</v>
      </c>
      <c r="E93" s="5" t="s">
        <v>20</v>
      </c>
      <c r="F93" s="6">
        <v>1060.0</v>
      </c>
      <c r="G93" s="11"/>
      <c r="H93" s="11"/>
      <c r="I93" s="12"/>
      <c r="J93" s="6"/>
      <c r="K93" s="19" t="s">
        <v>52</v>
      </c>
    </row>
    <row r="94" ht="22.5" customHeight="1">
      <c r="A94" s="4">
        <v>46029.0</v>
      </c>
      <c r="B94" s="5" t="s">
        <v>17</v>
      </c>
      <c r="C94" s="5" t="s">
        <v>30</v>
      </c>
      <c r="D94" s="5" t="s">
        <v>42</v>
      </c>
      <c r="E94" s="5" t="s">
        <v>53</v>
      </c>
      <c r="F94" s="6">
        <v>170.0</v>
      </c>
      <c r="G94" s="8"/>
      <c r="H94" s="8"/>
      <c r="I94" s="13"/>
      <c r="J94" s="6"/>
      <c r="K94" s="22"/>
    </row>
    <row r="95" ht="22.5" customHeight="1">
      <c r="A95" s="4">
        <v>46030.0</v>
      </c>
      <c r="B95" s="5" t="s">
        <v>17</v>
      </c>
      <c r="C95" s="5" t="s">
        <v>30</v>
      </c>
      <c r="D95" s="5" t="s">
        <v>42</v>
      </c>
      <c r="E95" s="5" t="s">
        <v>53</v>
      </c>
      <c r="F95" s="6">
        <v>170.0</v>
      </c>
      <c r="G95" s="11"/>
      <c r="H95" s="11"/>
      <c r="I95" s="12"/>
      <c r="J95" s="6"/>
      <c r="K95" s="22"/>
    </row>
    <row r="96" ht="22.5" customHeight="1">
      <c r="A96" s="4"/>
      <c r="B96" s="21"/>
      <c r="C96" s="21"/>
      <c r="D96" s="21"/>
      <c r="E96" s="21"/>
      <c r="F96" s="22"/>
      <c r="G96" s="8"/>
      <c r="H96" s="8"/>
      <c r="I96" s="13"/>
      <c r="J96" s="22"/>
      <c r="K96" s="32"/>
    </row>
    <row r="97" ht="22.5" customHeight="1">
      <c r="A97" s="4"/>
      <c r="B97" s="21"/>
      <c r="C97" s="21"/>
      <c r="D97" s="21"/>
      <c r="E97" s="21"/>
      <c r="F97" s="22"/>
      <c r="G97" s="11"/>
      <c r="H97" s="11"/>
      <c r="I97" s="12"/>
      <c r="J97" s="22"/>
      <c r="K97" s="22"/>
    </row>
    <row r="98" ht="22.5" customHeight="1">
      <c r="A98" s="4"/>
      <c r="B98" s="21"/>
      <c r="C98" s="21"/>
      <c r="D98" s="21"/>
      <c r="E98" s="21"/>
      <c r="F98" s="22"/>
      <c r="G98" s="8"/>
      <c r="H98" s="8"/>
      <c r="I98" s="13"/>
      <c r="J98" s="22"/>
      <c r="K98" s="22"/>
    </row>
    <row r="99" ht="22.5" customHeight="1">
      <c r="A99" s="4"/>
      <c r="B99" s="21"/>
      <c r="C99" s="21"/>
      <c r="D99" s="21"/>
      <c r="E99" s="21"/>
      <c r="F99" s="22"/>
      <c r="G99" s="11"/>
      <c r="H99" s="11"/>
      <c r="I99" s="12"/>
      <c r="J99" s="22"/>
      <c r="K99" s="22"/>
    </row>
    <row r="100" ht="22.5" customHeight="1">
      <c r="A100" s="4"/>
      <c r="B100" s="21"/>
      <c r="C100" s="21"/>
      <c r="D100" s="21"/>
      <c r="E100" s="21"/>
      <c r="F100" s="22"/>
      <c r="G100" s="8"/>
      <c r="H100" s="8"/>
      <c r="I100" s="13"/>
      <c r="J100" s="22"/>
      <c r="K100" s="22"/>
    </row>
    <row r="101" ht="22.5" customHeight="1">
      <c r="A101" s="4"/>
      <c r="B101" s="21"/>
      <c r="C101" s="21"/>
      <c r="D101" s="21"/>
      <c r="E101" s="21"/>
      <c r="F101" s="22"/>
      <c r="G101" s="11"/>
      <c r="H101" s="11"/>
      <c r="I101" s="12"/>
      <c r="J101" s="22"/>
      <c r="K101" s="22"/>
    </row>
    <row r="102" ht="22.5" customHeight="1">
      <c r="A102" s="4"/>
      <c r="B102" s="21"/>
      <c r="C102" s="21"/>
      <c r="D102" s="21"/>
      <c r="E102" s="21"/>
      <c r="F102" s="22"/>
      <c r="G102" s="8"/>
      <c r="H102" s="8"/>
      <c r="I102" s="13"/>
      <c r="J102" s="22"/>
      <c r="K102" s="22"/>
    </row>
    <row r="103" ht="22.5" customHeight="1">
      <c r="A103" s="4"/>
      <c r="B103" s="21"/>
      <c r="C103" s="21"/>
      <c r="D103" s="21"/>
      <c r="E103" s="21"/>
      <c r="F103" s="22"/>
      <c r="G103" s="11"/>
      <c r="H103" s="11"/>
      <c r="I103" s="12"/>
      <c r="J103" s="22"/>
      <c r="K103" s="22"/>
    </row>
    <row r="104" ht="22.5" customHeight="1">
      <c r="A104" s="4"/>
      <c r="B104" s="21"/>
      <c r="C104" s="21"/>
      <c r="D104" s="21"/>
      <c r="E104" s="21"/>
      <c r="F104" s="22"/>
      <c r="G104" s="8"/>
      <c r="H104" s="8"/>
      <c r="I104" s="13"/>
      <c r="J104" s="22"/>
      <c r="K104" s="22"/>
    </row>
    <row r="105" ht="22.5" customHeight="1">
      <c r="A105" s="4"/>
      <c r="B105" s="21"/>
      <c r="C105" s="21"/>
      <c r="D105" s="21"/>
      <c r="E105" s="21"/>
      <c r="F105" s="22"/>
      <c r="G105" s="11"/>
      <c r="H105" s="11"/>
      <c r="I105" s="12"/>
      <c r="J105" s="22"/>
      <c r="K105" s="22"/>
    </row>
    <row r="106" ht="22.5" customHeight="1">
      <c r="A106" s="4"/>
      <c r="B106" s="21"/>
      <c r="C106" s="21"/>
      <c r="D106" s="21"/>
      <c r="E106" s="21"/>
      <c r="F106" s="22"/>
      <c r="G106" s="8"/>
      <c r="H106" s="8"/>
      <c r="I106" s="13"/>
      <c r="J106" s="22"/>
      <c r="K106" s="22"/>
    </row>
    <row r="107" ht="22.5" customHeight="1">
      <c r="A107" s="4"/>
      <c r="B107" s="21"/>
      <c r="C107" s="21"/>
      <c r="D107" s="21"/>
      <c r="E107" s="21"/>
      <c r="F107" s="22"/>
      <c r="G107" s="11"/>
      <c r="H107" s="11"/>
      <c r="I107" s="12"/>
      <c r="J107" s="22"/>
      <c r="K107" s="22"/>
    </row>
    <row r="108" ht="22.5" customHeight="1">
      <c r="A108" s="4"/>
      <c r="B108" s="21"/>
      <c r="C108" s="21"/>
      <c r="D108" s="21"/>
      <c r="E108" s="21"/>
      <c r="F108" s="22"/>
      <c r="G108" s="8"/>
      <c r="H108" s="8"/>
      <c r="I108" s="13"/>
      <c r="J108" s="22"/>
      <c r="K108" s="22"/>
    </row>
    <row r="109" ht="22.5" customHeight="1">
      <c r="A109" s="4"/>
      <c r="B109" s="21"/>
      <c r="C109" s="21"/>
      <c r="D109" s="21"/>
      <c r="E109" s="21"/>
      <c r="F109" s="22"/>
      <c r="G109" s="11"/>
      <c r="H109" s="11"/>
      <c r="I109" s="12"/>
      <c r="J109" s="22"/>
      <c r="K109" s="22"/>
    </row>
    <row r="110" ht="22.5" customHeight="1">
      <c r="A110" s="4"/>
      <c r="B110" s="21"/>
      <c r="C110" s="21"/>
      <c r="D110" s="21"/>
      <c r="E110" s="21"/>
      <c r="F110" s="22"/>
      <c r="G110" s="8"/>
      <c r="H110" s="8"/>
      <c r="I110" s="13"/>
      <c r="J110" s="22"/>
      <c r="K110" s="22"/>
    </row>
    <row r="111" ht="22.5" customHeight="1">
      <c r="A111" s="4"/>
      <c r="B111" s="21"/>
      <c r="C111" s="21"/>
      <c r="D111" s="21"/>
      <c r="E111" s="21"/>
      <c r="F111" s="22"/>
      <c r="G111" s="11"/>
      <c r="H111" s="11"/>
      <c r="I111" s="12"/>
      <c r="J111" s="22"/>
      <c r="K111" s="22"/>
    </row>
    <row r="112" ht="22.5" customHeight="1">
      <c r="A112" s="4"/>
      <c r="B112" s="21"/>
      <c r="C112" s="21"/>
      <c r="D112" s="21"/>
      <c r="E112" s="21"/>
      <c r="F112" s="22"/>
      <c r="G112" s="8"/>
      <c r="H112" s="8"/>
      <c r="I112" s="13"/>
      <c r="J112" s="22"/>
      <c r="K112" s="22"/>
    </row>
    <row r="113" ht="22.5" customHeight="1">
      <c r="A113" s="4"/>
      <c r="B113" s="21"/>
      <c r="C113" s="21"/>
      <c r="D113" s="21"/>
      <c r="E113" s="21"/>
      <c r="F113" s="22"/>
      <c r="G113" s="11"/>
      <c r="H113" s="11"/>
      <c r="I113" s="12"/>
      <c r="J113" s="22"/>
      <c r="K113" s="22"/>
    </row>
    <row r="114" ht="22.5" customHeight="1">
      <c r="A114" s="4"/>
      <c r="B114" s="21"/>
      <c r="C114" s="21"/>
      <c r="D114" s="21"/>
      <c r="E114" s="21"/>
      <c r="F114" s="22"/>
      <c r="G114" s="8"/>
      <c r="H114" s="8"/>
      <c r="I114" s="13"/>
      <c r="J114" s="22"/>
      <c r="K114" s="22"/>
    </row>
    <row r="115" ht="22.5" customHeight="1">
      <c r="A115" s="4"/>
      <c r="B115" s="21"/>
      <c r="C115" s="21"/>
      <c r="D115" s="21"/>
      <c r="E115" s="21"/>
      <c r="F115" s="22"/>
      <c r="G115" s="11"/>
      <c r="H115" s="11"/>
      <c r="I115" s="12"/>
      <c r="J115" s="22"/>
      <c r="K115" s="22"/>
    </row>
    <row r="116" ht="22.5" customHeight="1">
      <c r="A116" s="4"/>
      <c r="B116" s="21"/>
      <c r="C116" s="21"/>
      <c r="D116" s="21"/>
      <c r="E116" s="21"/>
      <c r="F116" s="22"/>
      <c r="G116" s="8"/>
      <c r="H116" s="8"/>
      <c r="I116" s="13"/>
      <c r="J116" s="22"/>
      <c r="K116" s="22"/>
    </row>
    <row r="117" ht="22.5" customHeight="1">
      <c r="A117" s="4"/>
      <c r="B117" s="21"/>
      <c r="C117" s="21"/>
      <c r="D117" s="21"/>
      <c r="E117" s="21"/>
      <c r="F117" s="22"/>
      <c r="G117" s="11"/>
      <c r="H117" s="11"/>
      <c r="I117" s="12"/>
      <c r="J117" s="22"/>
      <c r="K117" s="22"/>
    </row>
    <row r="118" ht="22.5" customHeight="1">
      <c r="A118" s="4"/>
      <c r="B118" s="21"/>
      <c r="C118" s="21"/>
      <c r="D118" s="21"/>
      <c r="E118" s="21"/>
      <c r="F118" s="22"/>
      <c r="G118" s="8"/>
      <c r="H118" s="8"/>
      <c r="I118" s="13"/>
      <c r="J118" s="22"/>
      <c r="K118" s="22"/>
    </row>
    <row r="119" ht="22.5" customHeight="1">
      <c r="A119" s="4"/>
      <c r="B119" s="21"/>
      <c r="C119" s="21"/>
      <c r="D119" s="21"/>
      <c r="E119" s="21"/>
      <c r="F119" s="22"/>
      <c r="G119" s="11"/>
      <c r="H119" s="11"/>
      <c r="I119" s="12"/>
      <c r="J119" s="22"/>
      <c r="K119" s="22"/>
    </row>
    <row r="120" ht="22.5" customHeight="1">
      <c r="A120" s="33"/>
      <c r="B120" s="34"/>
      <c r="C120" s="34"/>
      <c r="D120" s="34"/>
      <c r="E120" s="34"/>
      <c r="F120" s="35"/>
      <c r="G120" s="36"/>
      <c r="H120" s="37"/>
      <c r="I120" s="38"/>
      <c r="J120" s="35"/>
      <c r="K120" s="35"/>
      <c r="L120" s="39"/>
      <c r="M120" s="39"/>
      <c r="N120" s="39"/>
      <c r="O120" s="39"/>
      <c r="P120" s="39"/>
      <c r="Q120" s="39"/>
    </row>
    <row r="121" ht="22.5" customHeight="1">
      <c r="A121" s="33"/>
      <c r="B121" s="34"/>
      <c r="C121" s="34"/>
      <c r="D121" s="34"/>
      <c r="E121" s="34"/>
      <c r="F121" s="35"/>
      <c r="G121" s="40"/>
      <c r="H121" s="41"/>
      <c r="I121" s="38"/>
      <c r="J121" s="35"/>
      <c r="K121" s="35"/>
      <c r="L121" s="39"/>
      <c r="M121" s="39"/>
      <c r="N121" s="39"/>
      <c r="O121" s="39"/>
      <c r="P121" s="39"/>
      <c r="Q121" s="39"/>
    </row>
    <row r="122" ht="22.5" customHeight="1">
      <c r="A122" s="33"/>
      <c r="B122" s="34"/>
      <c r="C122" s="34"/>
      <c r="D122" s="34"/>
      <c r="E122" s="34"/>
      <c r="F122" s="35"/>
      <c r="G122" s="36"/>
      <c r="H122" s="37"/>
      <c r="I122" s="38"/>
      <c r="J122" s="35"/>
      <c r="K122" s="35"/>
      <c r="L122" s="39"/>
      <c r="M122" s="39"/>
      <c r="N122" s="39"/>
      <c r="O122" s="39"/>
      <c r="P122" s="39"/>
      <c r="Q122" s="39"/>
    </row>
    <row r="123" ht="22.5" customHeight="1">
      <c r="A123" s="33"/>
      <c r="B123" s="34"/>
      <c r="C123" s="34"/>
      <c r="D123" s="34"/>
      <c r="E123" s="34"/>
      <c r="F123" s="35"/>
      <c r="G123" s="40"/>
      <c r="H123" s="41"/>
      <c r="I123" s="38"/>
      <c r="J123" s="35"/>
      <c r="K123" s="35"/>
      <c r="L123" s="39"/>
      <c r="M123" s="39"/>
      <c r="N123" s="39"/>
      <c r="O123" s="39"/>
      <c r="P123" s="39"/>
      <c r="Q123" s="39"/>
    </row>
    <row r="124" ht="22.5" customHeight="1">
      <c r="A124" s="33"/>
      <c r="B124" s="34"/>
      <c r="C124" s="34"/>
      <c r="D124" s="34"/>
      <c r="E124" s="34"/>
      <c r="F124" s="35"/>
      <c r="G124" s="36"/>
      <c r="H124" s="37"/>
      <c r="I124" s="38"/>
      <c r="J124" s="35"/>
      <c r="K124" s="35"/>
      <c r="L124" s="39"/>
      <c r="M124" s="39"/>
      <c r="N124" s="39"/>
      <c r="O124" s="39"/>
      <c r="P124" s="39"/>
      <c r="Q124" s="39"/>
    </row>
    <row r="125" ht="22.5" customHeight="1">
      <c r="A125" s="33"/>
      <c r="B125" s="34"/>
      <c r="C125" s="34"/>
      <c r="D125" s="34"/>
      <c r="E125" s="34"/>
      <c r="F125" s="35"/>
      <c r="G125" s="40"/>
      <c r="H125" s="41"/>
      <c r="I125" s="38"/>
      <c r="J125" s="35"/>
      <c r="K125" s="35"/>
      <c r="L125" s="39"/>
      <c r="M125" s="39"/>
      <c r="N125" s="39"/>
      <c r="O125" s="39"/>
      <c r="P125" s="39"/>
      <c r="Q125" s="39"/>
    </row>
    <row r="126" ht="22.5" customHeight="1">
      <c r="A126" s="33"/>
      <c r="B126" s="34"/>
      <c r="C126" s="34"/>
      <c r="D126" s="34"/>
      <c r="E126" s="34"/>
      <c r="F126" s="35"/>
      <c r="G126" s="36"/>
      <c r="H126" s="37"/>
      <c r="I126" s="38"/>
      <c r="J126" s="35"/>
      <c r="K126" s="35"/>
      <c r="L126" s="39"/>
      <c r="M126" s="39"/>
      <c r="N126" s="39"/>
      <c r="O126" s="39"/>
      <c r="P126" s="39"/>
      <c r="Q126" s="39"/>
    </row>
    <row r="127" ht="22.5" customHeight="1">
      <c r="A127" s="33"/>
      <c r="B127" s="34"/>
      <c r="C127" s="34"/>
      <c r="D127" s="34"/>
      <c r="E127" s="34"/>
      <c r="F127" s="35"/>
      <c r="G127" s="40"/>
      <c r="H127" s="41"/>
      <c r="I127" s="38"/>
      <c r="J127" s="35"/>
      <c r="K127" s="35"/>
      <c r="L127" s="39"/>
      <c r="M127" s="39"/>
      <c r="N127" s="39"/>
      <c r="O127" s="39"/>
      <c r="P127" s="39"/>
      <c r="Q127" s="39"/>
    </row>
    <row r="128" ht="22.5" customHeight="1">
      <c r="A128" s="33"/>
      <c r="B128" s="34"/>
      <c r="C128" s="34"/>
      <c r="D128" s="34"/>
      <c r="E128" s="34"/>
      <c r="F128" s="35"/>
      <c r="G128" s="36"/>
      <c r="H128" s="37"/>
      <c r="I128" s="38"/>
      <c r="J128" s="35"/>
      <c r="K128" s="35"/>
      <c r="L128" s="39"/>
      <c r="M128" s="39"/>
      <c r="N128" s="39"/>
      <c r="O128" s="39"/>
      <c r="P128" s="39"/>
      <c r="Q128" s="39"/>
    </row>
    <row r="129" ht="22.5" customHeight="1">
      <c r="A129" s="33"/>
      <c r="B129" s="34"/>
      <c r="C129" s="34"/>
      <c r="D129" s="34"/>
      <c r="E129" s="34"/>
      <c r="F129" s="35"/>
      <c r="G129" s="40"/>
      <c r="H129" s="41"/>
      <c r="I129" s="38"/>
      <c r="J129" s="35"/>
      <c r="K129" s="35"/>
      <c r="L129" s="39"/>
      <c r="M129" s="39"/>
      <c r="N129" s="39"/>
      <c r="O129" s="39"/>
      <c r="P129" s="39"/>
      <c r="Q129" s="39"/>
    </row>
    <row r="130" ht="22.5" customHeight="1">
      <c r="A130" s="33"/>
      <c r="B130" s="34"/>
      <c r="C130" s="34"/>
      <c r="D130" s="34"/>
      <c r="E130" s="34"/>
      <c r="F130" s="35"/>
      <c r="G130" s="36"/>
      <c r="H130" s="37"/>
      <c r="I130" s="38"/>
      <c r="J130" s="35"/>
      <c r="K130" s="35"/>
      <c r="L130" s="39"/>
      <c r="M130" s="39"/>
      <c r="N130" s="39"/>
      <c r="O130" s="39"/>
      <c r="P130" s="39"/>
      <c r="Q130" s="39"/>
    </row>
    <row r="131" ht="22.5" customHeight="1">
      <c r="A131" s="33"/>
      <c r="B131" s="34"/>
      <c r="C131" s="34"/>
      <c r="D131" s="34"/>
      <c r="E131" s="34"/>
      <c r="F131" s="35"/>
      <c r="G131" s="40"/>
      <c r="H131" s="41"/>
      <c r="I131" s="38"/>
      <c r="J131" s="35"/>
      <c r="K131" s="35"/>
      <c r="L131" s="39"/>
      <c r="M131" s="39"/>
      <c r="N131" s="39"/>
      <c r="O131" s="39"/>
      <c r="P131" s="39"/>
      <c r="Q131" s="39"/>
    </row>
    <row r="132" ht="22.5" customHeight="1">
      <c r="A132" s="33"/>
      <c r="B132" s="34"/>
      <c r="C132" s="34"/>
      <c r="D132" s="34"/>
      <c r="E132" s="34"/>
      <c r="F132" s="35"/>
      <c r="G132" s="36"/>
      <c r="H132" s="37"/>
      <c r="I132" s="38"/>
      <c r="J132" s="35"/>
      <c r="K132" s="35"/>
      <c r="L132" s="39"/>
      <c r="M132" s="39"/>
      <c r="N132" s="39"/>
      <c r="O132" s="39"/>
      <c r="P132" s="39"/>
      <c r="Q132" s="39"/>
    </row>
    <row r="133" ht="22.5" customHeight="1">
      <c r="A133" s="33"/>
      <c r="B133" s="34"/>
      <c r="C133" s="34"/>
      <c r="D133" s="34"/>
      <c r="E133" s="34"/>
      <c r="F133" s="35"/>
      <c r="G133" s="40"/>
      <c r="H133" s="41"/>
      <c r="I133" s="38"/>
      <c r="J133" s="35"/>
      <c r="K133" s="35"/>
      <c r="L133" s="39"/>
      <c r="M133" s="39"/>
      <c r="N133" s="39"/>
      <c r="O133" s="39"/>
      <c r="P133" s="39"/>
      <c r="Q133" s="39"/>
    </row>
    <row r="134" ht="22.5" customHeight="1">
      <c r="A134" s="33"/>
      <c r="B134" s="34"/>
      <c r="C134" s="34"/>
      <c r="D134" s="34"/>
      <c r="E134" s="34"/>
      <c r="F134" s="35"/>
      <c r="G134" s="36"/>
      <c r="H134" s="37"/>
      <c r="I134" s="38"/>
      <c r="J134" s="35"/>
      <c r="K134" s="35"/>
      <c r="L134" s="39"/>
      <c r="M134" s="39"/>
      <c r="N134" s="39"/>
      <c r="O134" s="39"/>
      <c r="P134" s="39"/>
      <c r="Q134" s="39"/>
    </row>
    <row r="135" ht="22.5" customHeight="1">
      <c r="A135" s="33"/>
      <c r="B135" s="34"/>
      <c r="C135" s="34"/>
      <c r="D135" s="34"/>
      <c r="E135" s="34"/>
      <c r="F135" s="35"/>
      <c r="G135" s="40"/>
      <c r="H135" s="41"/>
      <c r="I135" s="38"/>
      <c r="J135" s="35"/>
      <c r="K135" s="35"/>
      <c r="L135" s="39"/>
      <c r="M135" s="39"/>
      <c r="N135" s="39"/>
      <c r="O135" s="39"/>
      <c r="P135" s="39"/>
      <c r="Q135" s="39"/>
    </row>
    <row r="136" ht="22.5" customHeight="1">
      <c r="A136" s="33"/>
      <c r="B136" s="34"/>
      <c r="C136" s="34"/>
      <c r="D136" s="34"/>
      <c r="E136" s="34"/>
      <c r="F136" s="35"/>
      <c r="G136" s="36"/>
      <c r="H136" s="37"/>
      <c r="I136" s="38"/>
      <c r="J136" s="35"/>
      <c r="K136" s="35"/>
      <c r="L136" s="39"/>
      <c r="M136" s="39"/>
      <c r="N136" s="39"/>
      <c r="O136" s="39"/>
      <c r="P136" s="39"/>
      <c r="Q136" s="39"/>
    </row>
    <row r="137" ht="22.5" customHeight="1">
      <c r="A137" s="33"/>
      <c r="B137" s="34"/>
      <c r="C137" s="34"/>
      <c r="D137" s="34"/>
      <c r="E137" s="34"/>
      <c r="F137" s="35"/>
      <c r="G137" s="40"/>
      <c r="H137" s="41"/>
      <c r="I137" s="38"/>
      <c r="J137" s="35"/>
      <c r="K137" s="35"/>
      <c r="L137" s="39"/>
      <c r="M137" s="39"/>
      <c r="N137" s="39"/>
      <c r="O137" s="39"/>
      <c r="P137" s="39"/>
      <c r="Q137" s="39"/>
    </row>
    <row r="138" ht="22.5" customHeight="1">
      <c r="A138" s="33"/>
      <c r="B138" s="34"/>
      <c r="C138" s="34"/>
      <c r="D138" s="34"/>
      <c r="E138" s="34"/>
      <c r="F138" s="35"/>
      <c r="G138" s="36"/>
      <c r="H138" s="37"/>
      <c r="I138" s="38"/>
      <c r="J138" s="35"/>
      <c r="K138" s="35"/>
      <c r="L138" s="39"/>
      <c r="M138" s="39"/>
      <c r="N138" s="39"/>
      <c r="O138" s="39"/>
      <c r="P138" s="39"/>
      <c r="Q138" s="39"/>
    </row>
    <row r="139" ht="22.5" customHeight="1">
      <c r="A139" s="33"/>
      <c r="B139" s="34"/>
      <c r="C139" s="34"/>
      <c r="D139" s="34"/>
      <c r="E139" s="34"/>
      <c r="F139" s="35"/>
      <c r="G139" s="40"/>
      <c r="H139" s="41"/>
      <c r="I139" s="38"/>
      <c r="J139" s="35"/>
      <c r="K139" s="35"/>
      <c r="L139" s="39"/>
      <c r="M139" s="39"/>
      <c r="N139" s="39"/>
      <c r="O139" s="39"/>
      <c r="P139" s="39"/>
      <c r="Q139" s="39"/>
    </row>
    <row r="140" ht="22.5" customHeight="1">
      <c r="A140" s="33"/>
      <c r="B140" s="34"/>
      <c r="C140" s="34"/>
      <c r="D140" s="34"/>
      <c r="E140" s="34"/>
      <c r="F140" s="35"/>
      <c r="G140" s="36"/>
      <c r="H140" s="37"/>
      <c r="I140" s="38"/>
      <c r="J140" s="35"/>
      <c r="K140" s="35"/>
      <c r="L140" s="39"/>
      <c r="M140" s="39"/>
      <c r="N140" s="39"/>
      <c r="O140" s="39"/>
      <c r="P140" s="39"/>
      <c r="Q140" s="39"/>
    </row>
    <row r="141" ht="22.5" customHeight="1">
      <c r="A141" s="33"/>
      <c r="B141" s="34"/>
      <c r="C141" s="34"/>
      <c r="D141" s="34"/>
      <c r="E141" s="34"/>
      <c r="F141" s="35"/>
      <c r="G141" s="40"/>
      <c r="H141" s="41"/>
      <c r="I141" s="38"/>
      <c r="J141" s="35"/>
      <c r="K141" s="35"/>
      <c r="L141" s="39"/>
      <c r="M141" s="39"/>
      <c r="N141" s="39"/>
      <c r="O141" s="39"/>
      <c r="P141" s="39"/>
      <c r="Q141" s="39"/>
    </row>
    <row r="142" ht="22.5" customHeight="1">
      <c r="A142" s="33"/>
      <c r="B142" s="34"/>
      <c r="C142" s="34"/>
      <c r="D142" s="34"/>
      <c r="E142" s="34"/>
      <c r="F142" s="35"/>
      <c r="G142" s="36"/>
      <c r="H142" s="37"/>
      <c r="I142" s="38"/>
      <c r="J142" s="35"/>
      <c r="K142" s="35"/>
      <c r="L142" s="39"/>
      <c r="M142" s="39"/>
      <c r="N142" s="39"/>
      <c r="O142" s="39"/>
      <c r="P142" s="39"/>
      <c r="Q142" s="39"/>
    </row>
    <row r="143" ht="22.5" customHeight="1">
      <c r="A143" s="33"/>
      <c r="B143" s="34"/>
      <c r="C143" s="34"/>
      <c r="D143" s="34"/>
      <c r="E143" s="34"/>
      <c r="F143" s="35"/>
      <c r="G143" s="40"/>
      <c r="H143" s="41"/>
      <c r="I143" s="38"/>
      <c r="J143" s="35"/>
      <c r="K143" s="35"/>
      <c r="L143" s="39"/>
      <c r="M143" s="39"/>
      <c r="N143" s="39"/>
      <c r="O143" s="39"/>
      <c r="P143" s="39"/>
      <c r="Q143" s="39"/>
    </row>
    <row r="144" ht="22.5" customHeight="1">
      <c r="A144" s="33"/>
      <c r="B144" s="34"/>
      <c r="C144" s="34"/>
      <c r="D144" s="34"/>
      <c r="E144" s="34"/>
      <c r="F144" s="35"/>
      <c r="G144" s="36"/>
      <c r="H144" s="37"/>
      <c r="I144" s="38"/>
      <c r="J144" s="35"/>
      <c r="K144" s="35"/>
      <c r="L144" s="39"/>
      <c r="M144" s="39"/>
      <c r="N144" s="39"/>
      <c r="O144" s="39"/>
      <c r="P144" s="39"/>
      <c r="Q144" s="39"/>
    </row>
    <row r="145" ht="22.5" customHeight="1">
      <c r="A145" s="33"/>
      <c r="B145" s="34"/>
      <c r="C145" s="34"/>
      <c r="D145" s="34"/>
      <c r="E145" s="34"/>
      <c r="F145" s="35"/>
      <c r="G145" s="40"/>
      <c r="H145" s="41"/>
      <c r="I145" s="38"/>
      <c r="J145" s="35"/>
      <c r="K145" s="35"/>
      <c r="L145" s="39"/>
      <c r="M145" s="39"/>
      <c r="N145" s="39"/>
      <c r="O145" s="39"/>
      <c r="P145" s="39"/>
      <c r="Q145" s="39"/>
    </row>
    <row r="146" ht="22.5" customHeight="1">
      <c r="A146" s="33"/>
      <c r="B146" s="34"/>
      <c r="C146" s="34"/>
      <c r="D146" s="34"/>
      <c r="E146" s="34"/>
      <c r="F146" s="35"/>
      <c r="G146" s="36"/>
      <c r="H146" s="37"/>
      <c r="I146" s="38"/>
      <c r="J146" s="35"/>
      <c r="K146" s="35"/>
      <c r="L146" s="39"/>
      <c r="M146" s="39"/>
      <c r="N146" s="39"/>
      <c r="O146" s="39"/>
      <c r="P146" s="39"/>
      <c r="Q146" s="39"/>
    </row>
    <row r="147" ht="22.5" customHeight="1">
      <c r="A147" s="33"/>
      <c r="B147" s="34"/>
      <c r="C147" s="34"/>
      <c r="D147" s="34"/>
      <c r="E147" s="34"/>
      <c r="F147" s="35"/>
      <c r="G147" s="40"/>
      <c r="H147" s="41"/>
      <c r="I147" s="38"/>
      <c r="J147" s="35"/>
      <c r="K147" s="35"/>
      <c r="L147" s="39"/>
      <c r="M147" s="39"/>
      <c r="N147" s="39"/>
      <c r="O147" s="39"/>
      <c r="P147" s="39"/>
      <c r="Q147" s="39"/>
    </row>
    <row r="148" ht="22.5" customHeight="1">
      <c r="A148" s="33"/>
      <c r="B148" s="34"/>
      <c r="C148" s="34"/>
      <c r="D148" s="34"/>
      <c r="E148" s="34"/>
      <c r="F148" s="35"/>
      <c r="G148" s="36"/>
      <c r="H148" s="37"/>
      <c r="I148" s="38"/>
      <c r="J148" s="35"/>
      <c r="K148" s="35"/>
      <c r="L148" s="39"/>
      <c r="M148" s="39"/>
      <c r="N148" s="39"/>
      <c r="O148" s="39"/>
      <c r="P148" s="39"/>
      <c r="Q148" s="39"/>
    </row>
    <row r="149" ht="22.5" customHeight="1">
      <c r="A149" s="33"/>
      <c r="B149" s="34"/>
      <c r="C149" s="34"/>
      <c r="D149" s="34"/>
      <c r="E149" s="34"/>
      <c r="F149" s="35"/>
      <c r="G149" s="40"/>
      <c r="H149" s="41"/>
      <c r="I149" s="38"/>
      <c r="J149" s="35"/>
      <c r="K149" s="35"/>
      <c r="L149" s="39"/>
      <c r="M149" s="39"/>
      <c r="N149" s="39"/>
      <c r="O149" s="39"/>
      <c r="P149" s="39"/>
      <c r="Q149" s="39"/>
    </row>
    <row r="150" ht="22.5" customHeight="1">
      <c r="A150" s="33"/>
      <c r="B150" s="34"/>
      <c r="C150" s="34"/>
      <c r="D150" s="34"/>
      <c r="E150" s="34"/>
      <c r="F150" s="35"/>
      <c r="G150" s="36"/>
      <c r="H150" s="37"/>
      <c r="I150" s="38"/>
      <c r="J150" s="35"/>
      <c r="K150" s="35"/>
      <c r="L150" s="39"/>
      <c r="M150" s="39"/>
      <c r="N150" s="39"/>
      <c r="O150" s="39"/>
      <c r="P150" s="39"/>
      <c r="Q150" s="39"/>
    </row>
    <row r="151" ht="22.5" customHeight="1">
      <c r="A151" s="33"/>
      <c r="B151" s="34"/>
      <c r="C151" s="34"/>
      <c r="D151" s="34"/>
      <c r="E151" s="34"/>
      <c r="F151" s="35"/>
      <c r="G151" s="40"/>
      <c r="H151" s="41"/>
      <c r="I151" s="38"/>
      <c r="J151" s="35"/>
      <c r="K151" s="35"/>
      <c r="L151" s="39"/>
      <c r="M151" s="39"/>
      <c r="N151" s="39"/>
      <c r="O151" s="39"/>
      <c r="P151" s="39"/>
      <c r="Q151" s="39"/>
    </row>
    <row r="152" ht="22.5" customHeight="1">
      <c r="A152" s="33"/>
      <c r="B152" s="34"/>
      <c r="C152" s="34"/>
      <c r="D152" s="34"/>
      <c r="E152" s="34"/>
      <c r="F152" s="35"/>
      <c r="G152" s="36"/>
      <c r="H152" s="37"/>
      <c r="I152" s="38"/>
      <c r="J152" s="35"/>
      <c r="K152" s="35"/>
      <c r="L152" s="39"/>
      <c r="M152" s="39"/>
      <c r="N152" s="39"/>
      <c r="O152" s="39"/>
      <c r="P152" s="39"/>
      <c r="Q152" s="39"/>
    </row>
    <row r="153" ht="22.5" customHeight="1">
      <c r="A153" s="33"/>
      <c r="B153" s="34"/>
      <c r="C153" s="34"/>
      <c r="D153" s="34"/>
      <c r="E153" s="34"/>
      <c r="F153" s="35"/>
      <c r="G153" s="40"/>
      <c r="H153" s="41"/>
      <c r="I153" s="38"/>
      <c r="J153" s="35"/>
      <c r="K153" s="35"/>
      <c r="L153" s="39"/>
      <c r="M153" s="39"/>
      <c r="N153" s="39"/>
      <c r="O153" s="39"/>
      <c r="P153" s="39"/>
      <c r="Q153" s="39"/>
    </row>
    <row r="154" ht="22.5" customHeight="1">
      <c r="A154" s="33"/>
      <c r="B154" s="34"/>
      <c r="C154" s="34"/>
      <c r="D154" s="34"/>
      <c r="E154" s="34"/>
      <c r="F154" s="35"/>
      <c r="G154" s="36"/>
      <c r="H154" s="37"/>
      <c r="I154" s="38"/>
      <c r="J154" s="35"/>
      <c r="K154" s="35"/>
      <c r="L154" s="39"/>
      <c r="M154" s="39"/>
      <c r="N154" s="39"/>
      <c r="O154" s="39"/>
      <c r="P154" s="39"/>
      <c r="Q154" s="39"/>
    </row>
    <row r="155" ht="22.5" customHeight="1">
      <c r="A155" s="33"/>
      <c r="B155" s="34"/>
      <c r="C155" s="34"/>
      <c r="D155" s="34"/>
      <c r="E155" s="34"/>
      <c r="F155" s="35"/>
      <c r="G155" s="40"/>
      <c r="H155" s="41"/>
      <c r="I155" s="38"/>
      <c r="J155" s="35"/>
      <c r="K155" s="35"/>
      <c r="L155" s="39"/>
      <c r="M155" s="39"/>
      <c r="N155" s="39"/>
      <c r="O155" s="39"/>
      <c r="P155" s="39"/>
      <c r="Q155" s="39"/>
    </row>
    <row r="156" ht="22.5" customHeight="1">
      <c r="A156" s="33"/>
      <c r="B156" s="34"/>
      <c r="C156" s="34"/>
      <c r="D156" s="34"/>
      <c r="E156" s="34"/>
      <c r="F156" s="35"/>
      <c r="G156" s="36"/>
      <c r="H156" s="37"/>
      <c r="I156" s="38"/>
      <c r="J156" s="35"/>
      <c r="K156" s="35"/>
      <c r="L156" s="39"/>
      <c r="M156" s="39"/>
      <c r="N156" s="39"/>
      <c r="O156" s="39"/>
      <c r="P156" s="39"/>
      <c r="Q156" s="39"/>
    </row>
    <row r="157" ht="22.5" customHeight="1">
      <c r="A157" s="33"/>
      <c r="B157" s="34"/>
      <c r="C157" s="34"/>
      <c r="D157" s="34"/>
      <c r="E157" s="34"/>
      <c r="F157" s="35"/>
      <c r="G157" s="40"/>
      <c r="H157" s="41"/>
      <c r="I157" s="38"/>
      <c r="J157" s="35"/>
      <c r="K157" s="35"/>
      <c r="L157" s="39"/>
      <c r="M157" s="39"/>
      <c r="N157" s="39"/>
      <c r="O157" s="39"/>
      <c r="P157" s="39"/>
      <c r="Q157" s="39"/>
    </row>
    <row r="158" ht="22.5" customHeight="1">
      <c r="A158" s="33"/>
      <c r="B158" s="34"/>
      <c r="C158" s="34"/>
      <c r="D158" s="34"/>
      <c r="E158" s="34"/>
      <c r="F158" s="35"/>
      <c r="G158" s="36"/>
      <c r="H158" s="37"/>
      <c r="I158" s="38"/>
      <c r="J158" s="35"/>
      <c r="K158" s="35"/>
      <c r="L158" s="39"/>
      <c r="M158" s="39"/>
      <c r="N158" s="39"/>
      <c r="O158" s="39"/>
      <c r="P158" s="39"/>
      <c r="Q158" s="39"/>
    </row>
    <row r="159" ht="22.5" customHeight="1">
      <c r="A159" s="33"/>
      <c r="B159" s="34"/>
      <c r="C159" s="34"/>
      <c r="D159" s="34"/>
      <c r="E159" s="34"/>
      <c r="F159" s="35"/>
      <c r="G159" s="40"/>
      <c r="H159" s="41"/>
      <c r="I159" s="38"/>
      <c r="J159" s="35"/>
      <c r="K159" s="35"/>
      <c r="L159" s="39"/>
      <c r="M159" s="39"/>
      <c r="N159" s="39"/>
      <c r="O159" s="39"/>
      <c r="P159" s="39"/>
      <c r="Q159" s="39"/>
    </row>
    <row r="160" ht="22.5" customHeight="1">
      <c r="A160" s="33"/>
      <c r="B160" s="34"/>
      <c r="C160" s="34"/>
      <c r="D160" s="34"/>
      <c r="E160" s="34"/>
      <c r="F160" s="35"/>
      <c r="G160" s="36"/>
      <c r="H160" s="37"/>
      <c r="I160" s="38"/>
      <c r="J160" s="35"/>
      <c r="K160" s="35"/>
      <c r="L160" s="39"/>
      <c r="M160" s="39"/>
      <c r="N160" s="39"/>
      <c r="O160" s="39"/>
      <c r="P160" s="39"/>
      <c r="Q160" s="39"/>
    </row>
    <row r="161" ht="22.5" customHeight="1">
      <c r="A161" s="33"/>
      <c r="B161" s="34"/>
      <c r="C161" s="34"/>
      <c r="D161" s="34"/>
      <c r="E161" s="34"/>
      <c r="F161" s="35"/>
      <c r="G161" s="40"/>
      <c r="H161" s="41"/>
      <c r="I161" s="38"/>
      <c r="J161" s="35"/>
      <c r="K161" s="35"/>
      <c r="L161" s="39"/>
      <c r="M161" s="39"/>
      <c r="N161" s="39"/>
      <c r="O161" s="39"/>
      <c r="P161" s="39"/>
      <c r="Q161" s="39"/>
    </row>
    <row r="162" ht="22.5" customHeight="1">
      <c r="A162" s="33"/>
      <c r="B162" s="34"/>
      <c r="C162" s="34"/>
      <c r="D162" s="34"/>
      <c r="E162" s="34"/>
      <c r="F162" s="35"/>
      <c r="G162" s="36"/>
      <c r="H162" s="37"/>
      <c r="I162" s="38"/>
      <c r="J162" s="35"/>
      <c r="K162" s="35"/>
      <c r="L162" s="39"/>
      <c r="M162" s="39"/>
      <c r="N162" s="39"/>
      <c r="O162" s="39"/>
      <c r="P162" s="39"/>
      <c r="Q162" s="39"/>
    </row>
    <row r="163" ht="22.5" customHeight="1">
      <c r="A163" s="33"/>
      <c r="B163" s="34"/>
      <c r="C163" s="34"/>
      <c r="D163" s="34"/>
      <c r="E163" s="34"/>
      <c r="F163" s="35"/>
      <c r="G163" s="40"/>
      <c r="H163" s="41"/>
      <c r="I163" s="38"/>
      <c r="J163" s="35"/>
      <c r="K163" s="35"/>
      <c r="L163" s="39"/>
      <c r="M163" s="39"/>
      <c r="N163" s="39"/>
      <c r="O163" s="39"/>
      <c r="P163" s="39"/>
      <c r="Q163" s="39"/>
    </row>
    <row r="164" ht="22.5" customHeight="1">
      <c r="A164" s="33"/>
      <c r="B164" s="34"/>
      <c r="C164" s="34"/>
      <c r="D164" s="34"/>
      <c r="E164" s="34"/>
      <c r="F164" s="35"/>
      <c r="G164" s="36"/>
      <c r="H164" s="37"/>
      <c r="I164" s="38"/>
      <c r="J164" s="35"/>
      <c r="K164" s="35"/>
      <c r="L164" s="39"/>
      <c r="M164" s="39"/>
      <c r="N164" s="39"/>
      <c r="O164" s="39"/>
      <c r="P164" s="39"/>
      <c r="Q164" s="39"/>
    </row>
    <row r="165" ht="22.5" customHeight="1">
      <c r="A165" s="33"/>
      <c r="B165" s="34"/>
      <c r="C165" s="34"/>
      <c r="D165" s="34"/>
      <c r="E165" s="34"/>
      <c r="F165" s="35"/>
      <c r="G165" s="40"/>
      <c r="H165" s="41"/>
      <c r="I165" s="38"/>
      <c r="J165" s="35"/>
      <c r="K165" s="35"/>
      <c r="L165" s="39"/>
      <c r="M165" s="39"/>
      <c r="N165" s="39"/>
      <c r="O165" s="39"/>
      <c r="P165" s="39"/>
      <c r="Q165" s="39"/>
    </row>
    <row r="166" ht="22.5" customHeight="1">
      <c r="A166" s="33"/>
      <c r="B166" s="34"/>
      <c r="C166" s="34"/>
      <c r="D166" s="34"/>
      <c r="E166" s="34"/>
      <c r="F166" s="35"/>
      <c r="G166" s="36"/>
      <c r="H166" s="37"/>
      <c r="I166" s="38"/>
      <c r="J166" s="35"/>
      <c r="K166" s="35"/>
      <c r="L166" s="39"/>
      <c r="M166" s="39"/>
      <c r="N166" s="39"/>
      <c r="O166" s="39"/>
      <c r="P166" s="39"/>
      <c r="Q166" s="39"/>
    </row>
    <row r="167" ht="22.5" customHeight="1">
      <c r="A167" s="33"/>
      <c r="B167" s="34"/>
      <c r="C167" s="34"/>
      <c r="D167" s="34"/>
      <c r="E167" s="34"/>
      <c r="F167" s="35"/>
      <c r="G167" s="40"/>
      <c r="H167" s="41"/>
      <c r="I167" s="38"/>
      <c r="J167" s="35"/>
      <c r="K167" s="35"/>
      <c r="L167" s="39"/>
      <c r="M167" s="39"/>
      <c r="N167" s="39"/>
      <c r="O167" s="39"/>
      <c r="P167" s="39"/>
      <c r="Q167" s="39"/>
    </row>
    <row r="168" ht="22.5" customHeight="1">
      <c r="A168" s="33"/>
      <c r="B168" s="34"/>
      <c r="C168" s="34"/>
      <c r="D168" s="34"/>
      <c r="E168" s="34"/>
      <c r="F168" s="35"/>
      <c r="G168" s="36"/>
      <c r="H168" s="37"/>
      <c r="I168" s="38"/>
      <c r="J168" s="35"/>
      <c r="K168" s="35"/>
      <c r="L168" s="39"/>
      <c r="M168" s="39"/>
      <c r="N168" s="39"/>
      <c r="O168" s="39"/>
      <c r="P168" s="39"/>
      <c r="Q168" s="39"/>
    </row>
    <row r="169" ht="22.5" customHeight="1">
      <c r="A169" s="33"/>
      <c r="B169" s="34"/>
      <c r="C169" s="34"/>
      <c r="D169" s="34"/>
      <c r="E169" s="34"/>
      <c r="F169" s="35"/>
      <c r="G169" s="40"/>
      <c r="H169" s="41"/>
      <c r="I169" s="38"/>
      <c r="J169" s="35"/>
      <c r="K169" s="35"/>
      <c r="L169" s="39"/>
      <c r="M169" s="39"/>
      <c r="N169" s="39"/>
      <c r="O169" s="39"/>
      <c r="P169" s="39"/>
      <c r="Q169" s="39"/>
    </row>
    <row r="170" ht="22.5" customHeight="1">
      <c r="A170" s="33"/>
      <c r="B170" s="34"/>
      <c r="C170" s="34"/>
      <c r="D170" s="34"/>
      <c r="E170" s="34"/>
      <c r="F170" s="35"/>
      <c r="G170" s="36"/>
      <c r="H170" s="37"/>
      <c r="I170" s="38"/>
      <c r="J170" s="35"/>
      <c r="K170" s="35"/>
      <c r="L170" s="39"/>
      <c r="M170" s="39"/>
      <c r="N170" s="39"/>
      <c r="O170" s="39"/>
      <c r="P170" s="39"/>
      <c r="Q170" s="39"/>
    </row>
    <row r="171" ht="22.5" customHeight="1">
      <c r="A171" s="33"/>
      <c r="B171" s="34"/>
      <c r="C171" s="34"/>
      <c r="D171" s="34"/>
      <c r="E171" s="34"/>
      <c r="F171" s="35"/>
      <c r="G171" s="40"/>
      <c r="H171" s="41"/>
      <c r="I171" s="38"/>
      <c r="J171" s="35"/>
      <c r="K171" s="35"/>
      <c r="L171" s="39"/>
      <c r="M171" s="39"/>
      <c r="N171" s="39"/>
      <c r="O171" s="39"/>
      <c r="P171" s="39"/>
      <c r="Q171" s="39"/>
    </row>
    <row r="172" ht="22.5" customHeight="1">
      <c r="A172" s="33"/>
      <c r="B172" s="34"/>
      <c r="C172" s="34"/>
      <c r="D172" s="34"/>
      <c r="E172" s="34"/>
      <c r="F172" s="35"/>
      <c r="G172" s="36"/>
      <c r="H172" s="37"/>
      <c r="I172" s="38"/>
      <c r="J172" s="35"/>
      <c r="K172" s="35"/>
      <c r="L172" s="39"/>
      <c r="M172" s="39"/>
      <c r="N172" s="39"/>
      <c r="O172" s="39"/>
      <c r="P172" s="39"/>
      <c r="Q172" s="39"/>
    </row>
    <row r="173" ht="22.5" customHeight="1">
      <c r="A173" s="33"/>
      <c r="B173" s="34"/>
      <c r="C173" s="34"/>
      <c r="D173" s="34"/>
      <c r="E173" s="34"/>
      <c r="F173" s="35"/>
      <c r="G173" s="40"/>
      <c r="H173" s="41"/>
      <c r="I173" s="38"/>
      <c r="J173" s="35"/>
      <c r="K173" s="35"/>
      <c r="L173" s="39"/>
      <c r="M173" s="39"/>
      <c r="N173" s="39"/>
      <c r="O173" s="39"/>
      <c r="P173" s="39"/>
      <c r="Q173" s="39"/>
    </row>
    <row r="174" ht="22.5" customHeight="1">
      <c r="A174" s="33"/>
      <c r="B174" s="34"/>
      <c r="C174" s="34"/>
      <c r="D174" s="34"/>
      <c r="E174" s="34"/>
      <c r="F174" s="35"/>
      <c r="G174" s="36"/>
      <c r="H174" s="37"/>
      <c r="I174" s="38"/>
      <c r="J174" s="35"/>
      <c r="K174" s="35"/>
      <c r="L174" s="39"/>
      <c r="M174" s="39"/>
      <c r="N174" s="39"/>
      <c r="O174" s="39"/>
      <c r="P174" s="39"/>
      <c r="Q174" s="39"/>
    </row>
    <row r="175" ht="22.5" customHeight="1">
      <c r="A175" s="33"/>
      <c r="B175" s="34"/>
      <c r="C175" s="34"/>
      <c r="D175" s="34"/>
      <c r="E175" s="34"/>
      <c r="F175" s="35"/>
      <c r="G175" s="40"/>
      <c r="H175" s="41"/>
      <c r="I175" s="38"/>
      <c r="J175" s="35"/>
      <c r="K175" s="35"/>
      <c r="L175" s="39"/>
      <c r="M175" s="39"/>
      <c r="N175" s="39"/>
      <c r="O175" s="39"/>
      <c r="P175" s="39"/>
      <c r="Q175" s="39"/>
    </row>
    <row r="176" ht="22.5" customHeight="1">
      <c r="A176" s="33"/>
      <c r="B176" s="34"/>
      <c r="C176" s="34"/>
      <c r="D176" s="34"/>
      <c r="E176" s="34"/>
      <c r="F176" s="35"/>
      <c r="G176" s="36"/>
      <c r="H176" s="37"/>
      <c r="I176" s="38"/>
      <c r="J176" s="35"/>
      <c r="K176" s="35"/>
      <c r="L176" s="39"/>
      <c r="M176" s="39"/>
      <c r="N176" s="39"/>
      <c r="O176" s="39"/>
      <c r="P176" s="39"/>
      <c r="Q176" s="39"/>
    </row>
    <row r="177" ht="22.5" customHeight="1">
      <c r="A177" s="33"/>
      <c r="B177" s="34"/>
      <c r="C177" s="34"/>
      <c r="D177" s="34"/>
      <c r="E177" s="34"/>
      <c r="F177" s="35"/>
      <c r="G177" s="40"/>
      <c r="H177" s="41"/>
      <c r="I177" s="38"/>
      <c r="J177" s="35"/>
      <c r="K177" s="35"/>
      <c r="L177" s="39"/>
      <c r="M177" s="39"/>
      <c r="N177" s="39"/>
      <c r="O177" s="39"/>
      <c r="P177" s="39"/>
      <c r="Q177" s="39"/>
    </row>
    <row r="178" ht="22.5" customHeight="1">
      <c r="A178" s="33"/>
      <c r="B178" s="34"/>
      <c r="C178" s="34"/>
      <c r="D178" s="34"/>
      <c r="E178" s="34"/>
      <c r="F178" s="35"/>
      <c r="G178" s="36"/>
      <c r="H178" s="37"/>
      <c r="I178" s="38"/>
      <c r="J178" s="35"/>
      <c r="K178" s="35"/>
      <c r="L178" s="39"/>
      <c r="M178" s="39"/>
      <c r="N178" s="39"/>
      <c r="O178" s="39"/>
      <c r="P178" s="39"/>
      <c r="Q178" s="39"/>
    </row>
    <row r="179" ht="22.5" customHeight="1">
      <c r="A179" s="33"/>
      <c r="B179" s="34"/>
      <c r="C179" s="34"/>
      <c r="D179" s="34"/>
      <c r="E179" s="34"/>
      <c r="F179" s="35"/>
      <c r="G179" s="40"/>
      <c r="H179" s="41"/>
      <c r="I179" s="38"/>
      <c r="J179" s="35"/>
      <c r="K179" s="35"/>
      <c r="L179" s="39"/>
      <c r="M179" s="39"/>
      <c r="N179" s="39"/>
      <c r="O179" s="39"/>
      <c r="P179" s="39"/>
      <c r="Q179" s="39"/>
    </row>
    <row r="180" ht="22.5" customHeight="1">
      <c r="A180" s="33"/>
      <c r="B180" s="34"/>
      <c r="C180" s="34"/>
      <c r="D180" s="34"/>
      <c r="E180" s="34"/>
      <c r="F180" s="35"/>
      <c r="G180" s="36"/>
      <c r="H180" s="37"/>
      <c r="I180" s="38"/>
      <c r="J180" s="35"/>
      <c r="K180" s="35"/>
      <c r="L180" s="39"/>
      <c r="M180" s="39"/>
      <c r="N180" s="39"/>
      <c r="O180" s="39"/>
      <c r="P180" s="39"/>
      <c r="Q180" s="39"/>
    </row>
    <row r="181" ht="22.5" customHeight="1">
      <c r="A181" s="33"/>
      <c r="B181" s="34"/>
      <c r="C181" s="34"/>
      <c r="D181" s="34"/>
      <c r="E181" s="34"/>
      <c r="F181" s="35"/>
      <c r="G181" s="40"/>
      <c r="H181" s="41"/>
      <c r="I181" s="38"/>
      <c r="J181" s="35"/>
      <c r="K181" s="35"/>
      <c r="L181" s="39"/>
      <c r="M181" s="39"/>
      <c r="N181" s="39"/>
      <c r="O181" s="39"/>
      <c r="P181" s="39"/>
      <c r="Q181" s="39"/>
    </row>
    <row r="182" ht="22.5" customHeight="1">
      <c r="A182" s="33"/>
      <c r="B182" s="34"/>
      <c r="C182" s="34"/>
      <c r="D182" s="34"/>
      <c r="E182" s="34"/>
      <c r="F182" s="35"/>
      <c r="G182" s="36"/>
      <c r="H182" s="37"/>
      <c r="I182" s="38"/>
      <c r="J182" s="35"/>
      <c r="K182" s="35"/>
      <c r="L182" s="39"/>
      <c r="M182" s="39"/>
      <c r="N182" s="39"/>
      <c r="O182" s="39"/>
      <c r="P182" s="39"/>
      <c r="Q182" s="39"/>
    </row>
    <row r="183" ht="22.5" customHeight="1">
      <c r="A183" s="33"/>
      <c r="B183" s="34"/>
      <c r="C183" s="34"/>
      <c r="D183" s="34"/>
      <c r="E183" s="34"/>
      <c r="F183" s="35"/>
      <c r="G183" s="40"/>
      <c r="H183" s="41"/>
      <c r="I183" s="38"/>
      <c r="J183" s="35"/>
      <c r="K183" s="35"/>
      <c r="L183" s="39"/>
      <c r="M183" s="39"/>
      <c r="N183" s="39"/>
      <c r="O183" s="39"/>
      <c r="P183" s="39"/>
      <c r="Q183" s="39"/>
    </row>
    <row r="184" ht="22.5" customHeight="1">
      <c r="A184" s="33"/>
      <c r="B184" s="34"/>
      <c r="C184" s="34"/>
      <c r="D184" s="34"/>
      <c r="E184" s="34"/>
      <c r="F184" s="35"/>
      <c r="G184" s="36"/>
      <c r="H184" s="37"/>
      <c r="I184" s="38"/>
      <c r="J184" s="35"/>
      <c r="K184" s="35"/>
      <c r="L184" s="39"/>
      <c r="M184" s="39"/>
      <c r="N184" s="39"/>
      <c r="O184" s="39"/>
      <c r="P184" s="39"/>
      <c r="Q184" s="39"/>
    </row>
    <row r="185" ht="22.5" customHeight="1">
      <c r="A185" s="33"/>
      <c r="B185" s="34"/>
      <c r="C185" s="34"/>
      <c r="D185" s="34"/>
      <c r="E185" s="34"/>
      <c r="F185" s="35"/>
      <c r="G185" s="40"/>
      <c r="H185" s="41"/>
      <c r="I185" s="38"/>
      <c r="J185" s="35"/>
      <c r="K185" s="35"/>
      <c r="L185" s="39"/>
      <c r="M185" s="39"/>
      <c r="N185" s="39"/>
      <c r="O185" s="39"/>
      <c r="P185" s="39"/>
      <c r="Q185" s="39"/>
    </row>
    <row r="186" ht="22.5" customHeight="1">
      <c r="A186" s="33"/>
      <c r="B186" s="34"/>
      <c r="C186" s="34"/>
      <c r="D186" s="34"/>
      <c r="E186" s="34"/>
      <c r="F186" s="35"/>
      <c r="G186" s="36"/>
      <c r="H186" s="37"/>
      <c r="I186" s="38"/>
      <c r="J186" s="35"/>
      <c r="K186" s="35"/>
      <c r="L186" s="39"/>
      <c r="M186" s="39"/>
      <c r="N186" s="39"/>
      <c r="O186" s="39"/>
      <c r="P186" s="39"/>
      <c r="Q186" s="39"/>
    </row>
    <row r="187" ht="22.5" customHeight="1">
      <c r="A187" s="33"/>
      <c r="B187" s="34"/>
      <c r="C187" s="34"/>
      <c r="D187" s="34"/>
      <c r="E187" s="34"/>
      <c r="F187" s="35"/>
      <c r="G187" s="40"/>
      <c r="H187" s="41"/>
      <c r="I187" s="38"/>
      <c r="J187" s="35"/>
      <c r="K187" s="35"/>
      <c r="L187" s="39"/>
      <c r="M187" s="39"/>
      <c r="N187" s="39"/>
      <c r="O187" s="39"/>
      <c r="P187" s="39"/>
      <c r="Q187" s="39"/>
    </row>
    <row r="188" ht="22.5" customHeight="1">
      <c r="A188" s="33"/>
      <c r="B188" s="34"/>
      <c r="C188" s="34"/>
      <c r="D188" s="34"/>
      <c r="E188" s="34"/>
      <c r="F188" s="35"/>
      <c r="G188" s="36"/>
      <c r="H188" s="37"/>
      <c r="I188" s="38"/>
      <c r="J188" s="35"/>
      <c r="K188" s="35"/>
      <c r="L188" s="39"/>
      <c r="M188" s="39"/>
      <c r="N188" s="39"/>
      <c r="O188" s="39"/>
      <c r="P188" s="39"/>
      <c r="Q188" s="39"/>
    </row>
    <row r="189" ht="22.5" customHeight="1">
      <c r="A189" s="33"/>
      <c r="B189" s="34"/>
      <c r="C189" s="34"/>
      <c r="D189" s="34"/>
      <c r="E189" s="34"/>
      <c r="F189" s="35"/>
      <c r="G189" s="40"/>
      <c r="H189" s="41"/>
      <c r="I189" s="38"/>
      <c r="J189" s="35"/>
      <c r="K189" s="35"/>
      <c r="L189" s="39"/>
      <c r="M189" s="39"/>
      <c r="N189" s="39"/>
      <c r="O189" s="39"/>
      <c r="P189" s="39"/>
      <c r="Q189" s="39"/>
    </row>
    <row r="190" ht="22.5" customHeight="1">
      <c r="A190" s="33"/>
      <c r="B190" s="34"/>
      <c r="C190" s="34"/>
      <c r="D190" s="34"/>
      <c r="E190" s="34"/>
      <c r="F190" s="35"/>
      <c r="G190" s="36"/>
      <c r="H190" s="37"/>
      <c r="I190" s="38"/>
      <c r="J190" s="35"/>
      <c r="K190" s="35"/>
      <c r="L190" s="39"/>
      <c r="M190" s="39"/>
      <c r="N190" s="39"/>
      <c r="O190" s="39"/>
      <c r="P190" s="39"/>
      <c r="Q190" s="39"/>
    </row>
    <row r="191" ht="22.5" customHeight="1">
      <c r="A191" s="33"/>
      <c r="B191" s="34"/>
      <c r="C191" s="34"/>
      <c r="D191" s="34"/>
      <c r="E191" s="34"/>
      <c r="F191" s="35"/>
      <c r="G191" s="40"/>
      <c r="H191" s="41"/>
      <c r="I191" s="38"/>
      <c r="J191" s="35"/>
      <c r="K191" s="35"/>
      <c r="L191" s="39"/>
      <c r="M191" s="39"/>
      <c r="N191" s="39"/>
      <c r="O191" s="39"/>
      <c r="P191" s="39"/>
      <c r="Q191" s="39"/>
    </row>
    <row r="192" ht="22.5" customHeight="1">
      <c r="A192" s="33"/>
      <c r="B192" s="34"/>
      <c r="C192" s="34"/>
      <c r="D192" s="34"/>
      <c r="E192" s="34"/>
      <c r="F192" s="35"/>
      <c r="G192" s="36"/>
      <c r="H192" s="37"/>
      <c r="I192" s="38"/>
      <c r="J192" s="35"/>
      <c r="K192" s="35"/>
      <c r="L192" s="39"/>
      <c r="M192" s="39"/>
      <c r="N192" s="39"/>
      <c r="O192" s="39"/>
      <c r="P192" s="39"/>
      <c r="Q192" s="39"/>
    </row>
    <row r="193" ht="22.5" customHeight="1">
      <c r="A193" s="33"/>
      <c r="B193" s="34"/>
      <c r="C193" s="34"/>
      <c r="D193" s="34"/>
      <c r="E193" s="34"/>
      <c r="F193" s="35"/>
      <c r="G193" s="40"/>
      <c r="H193" s="41"/>
      <c r="I193" s="38"/>
      <c r="J193" s="35"/>
      <c r="K193" s="35"/>
      <c r="L193" s="39"/>
      <c r="M193" s="39"/>
      <c r="N193" s="39"/>
      <c r="O193" s="39"/>
      <c r="P193" s="39"/>
      <c r="Q193" s="39"/>
    </row>
    <row r="194" ht="22.5" customHeight="1">
      <c r="A194" s="33"/>
      <c r="B194" s="34"/>
      <c r="C194" s="34"/>
      <c r="D194" s="34"/>
      <c r="E194" s="34"/>
      <c r="F194" s="35"/>
      <c r="G194" s="36"/>
      <c r="H194" s="37"/>
      <c r="I194" s="38"/>
      <c r="J194" s="35"/>
      <c r="K194" s="35"/>
      <c r="L194" s="39"/>
      <c r="M194" s="39"/>
      <c r="N194" s="39"/>
      <c r="O194" s="39"/>
      <c r="P194" s="39"/>
      <c r="Q194" s="39"/>
    </row>
    <row r="195" ht="22.5" customHeight="1">
      <c r="A195" s="33"/>
      <c r="B195" s="34"/>
      <c r="C195" s="34"/>
      <c r="D195" s="34"/>
      <c r="E195" s="34"/>
      <c r="F195" s="35"/>
      <c r="G195" s="40"/>
      <c r="H195" s="41"/>
      <c r="I195" s="38"/>
      <c r="J195" s="35"/>
      <c r="K195" s="35"/>
      <c r="L195" s="39"/>
      <c r="M195" s="39"/>
      <c r="N195" s="39"/>
      <c r="O195" s="39"/>
      <c r="P195" s="39"/>
      <c r="Q195" s="39"/>
    </row>
    <row r="196" ht="22.5" customHeight="1">
      <c r="A196" s="33"/>
      <c r="B196" s="34"/>
      <c r="C196" s="34"/>
      <c r="D196" s="34"/>
      <c r="E196" s="34"/>
      <c r="F196" s="35"/>
      <c r="G196" s="36"/>
      <c r="H196" s="37"/>
      <c r="I196" s="38"/>
      <c r="J196" s="35"/>
      <c r="K196" s="35"/>
      <c r="L196" s="39"/>
      <c r="M196" s="39"/>
      <c r="N196" s="39"/>
      <c r="O196" s="39"/>
      <c r="P196" s="39"/>
      <c r="Q196" s="39"/>
    </row>
    <row r="197" ht="22.5" customHeight="1">
      <c r="A197" s="33"/>
      <c r="B197" s="34"/>
      <c r="C197" s="34"/>
      <c r="D197" s="34"/>
      <c r="E197" s="34"/>
      <c r="F197" s="35"/>
      <c r="G197" s="40"/>
      <c r="H197" s="41"/>
      <c r="I197" s="38"/>
      <c r="J197" s="35"/>
      <c r="K197" s="35"/>
      <c r="L197" s="39"/>
      <c r="M197" s="39"/>
      <c r="N197" s="39"/>
      <c r="O197" s="39"/>
      <c r="P197" s="39"/>
      <c r="Q197" s="39"/>
    </row>
    <row r="198" ht="22.5" customHeight="1">
      <c r="A198" s="33"/>
      <c r="B198" s="34"/>
      <c r="C198" s="34"/>
      <c r="D198" s="34"/>
      <c r="E198" s="34"/>
      <c r="F198" s="35"/>
      <c r="G198" s="36"/>
      <c r="H198" s="37"/>
      <c r="I198" s="38"/>
      <c r="J198" s="35"/>
      <c r="K198" s="35"/>
      <c r="L198" s="39"/>
      <c r="M198" s="39"/>
      <c r="N198" s="39"/>
      <c r="O198" s="39"/>
      <c r="P198" s="39"/>
      <c r="Q198" s="39"/>
    </row>
    <row r="199" ht="22.5" customHeight="1">
      <c r="A199" s="33"/>
      <c r="B199" s="34"/>
      <c r="C199" s="34"/>
      <c r="D199" s="34"/>
      <c r="E199" s="34"/>
      <c r="F199" s="35"/>
      <c r="G199" s="40"/>
      <c r="H199" s="41"/>
      <c r="I199" s="38"/>
      <c r="J199" s="35"/>
      <c r="K199" s="35"/>
      <c r="L199" s="39"/>
      <c r="M199" s="39"/>
      <c r="N199" s="39"/>
      <c r="O199" s="39"/>
      <c r="P199" s="39"/>
      <c r="Q199" s="39"/>
    </row>
    <row r="200" ht="22.5" customHeight="1">
      <c r="A200" s="33"/>
      <c r="B200" s="34"/>
      <c r="C200" s="34"/>
      <c r="D200" s="34"/>
      <c r="E200" s="34"/>
      <c r="F200" s="35"/>
      <c r="G200" s="36"/>
      <c r="H200" s="37"/>
      <c r="I200" s="38"/>
      <c r="J200" s="35"/>
      <c r="K200" s="35"/>
      <c r="L200" s="39"/>
      <c r="M200" s="39"/>
      <c r="N200" s="39"/>
      <c r="O200" s="39"/>
      <c r="P200" s="39"/>
      <c r="Q200" s="39"/>
    </row>
    <row r="201" ht="22.5" customHeight="1">
      <c r="A201" s="33"/>
      <c r="B201" s="34"/>
      <c r="C201" s="34"/>
      <c r="D201" s="34"/>
      <c r="E201" s="34"/>
      <c r="F201" s="35"/>
      <c r="G201" s="40"/>
      <c r="H201" s="41"/>
      <c r="I201" s="38"/>
      <c r="J201" s="35"/>
      <c r="K201" s="35"/>
      <c r="L201" s="39"/>
      <c r="M201" s="39"/>
      <c r="N201" s="39"/>
      <c r="O201" s="39"/>
      <c r="P201" s="39"/>
      <c r="Q201" s="39"/>
    </row>
    <row r="202" ht="22.5" customHeight="1">
      <c r="A202" s="33"/>
      <c r="B202" s="34"/>
      <c r="C202" s="34"/>
      <c r="D202" s="34"/>
      <c r="E202" s="34"/>
      <c r="F202" s="35"/>
      <c r="G202" s="36"/>
      <c r="H202" s="37"/>
      <c r="I202" s="38"/>
      <c r="J202" s="35"/>
      <c r="K202" s="35"/>
      <c r="L202" s="39"/>
      <c r="M202" s="39"/>
      <c r="N202" s="39"/>
      <c r="O202" s="39"/>
      <c r="P202" s="39"/>
      <c r="Q202" s="39"/>
    </row>
    <row r="203" ht="22.5" customHeight="1">
      <c r="A203" s="33"/>
      <c r="B203" s="34"/>
      <c r="C203" s="34"/>
      <c r="D203" s="34"/>
      <c r="E203" s="34"/>
      <c r="F203" s="35"/>
      <c r="G203" s="40"/>
      <c r="H203" s="41"/>
      <c r="I203" s="38"/>
      <c r="J203" s="35"/>
      <c r="K203" s="35"/>
      <c r="L203" s="39"/>
      <c r="M203" s="39"/>
      <c r="N203" s="39"/>
      <c r="O203" s="39"/>
      <c r="P203" s="39"/>
      <c r="Q203" s="39"/>
    </row>
    <row r="204" ht="22.5" customHeight="1">
      <c r="A204" s="33"/>
      <c r="B204" s="34"/>
      <c r="C204" s="34"/>
      <c r="D204" s="34"/>
      <c r="E204" s="34"/>
      <c r="F204" s="35"/>
      <c r="G204" s="36"/>
      <c r="H204" s="37"/>
      <c r="I204" s="38"/>
      <c r="J204" s="35"/>
      <c r="K204" s="35"/>
      <c r="L204" s="39"/>
      <c r="M204" s="39"/>
      <c r="N204" s="39"/>
      <c r="O204" s="39"/>
      <c r="P204" s="39"/>
      <c r="Q204" s="39"/>
    </row>
    <row r="205" ht="22.5" customHeight="1">
      <c r="A205" s="33"/>
      <c r="B205" s="34"/>
      <c r="C205" s="34"/>
      <c r="D205" s="34"/>
      <c r="E205" s="34"/>
      <c r="F205" s="35"/>
      <c r="G205" s="40"/>
      <c r="H205" s="41"/>
      <c r="I205" s="38"/>
      <c r="J205" s="35"/>
      <c r="K205" s="35"/>
      <c r="L205" s="39"/>
      <c r="M205" s="39"/>
      <c r="N205" s="39"/>
      <c r="O205" s="39"/>
      <c r="P205" s="39"/>
      <c r="Q205" s="39"/>
    </row>
    <row r="206" ht="22.5" customHeight="1">
      <c r="A206" s="33"/>
      <c r="B206" s="34"/>
      <c r="C206" s="34"/>
      <c r="D206" s="34"/>
      <c r="E206" s="34"/>
      <c r="F206" s="35"/>
      <c r="G206" s="36"/>
      <c r="H206" s="37"/>
      <c r="I206" s="38"/>
      <c r="J206" s="35"/>
      <c r="K206" s="35"/>
      <c r="L206" s="39"/>
      <c r="M206" s="39"/>
      <c r="N206" s="39"/>
      <c r="O206" s="39"/>
      <c r="P206" s="39"/>
      <c r="Q206" s="39"/>
    </row>
    <row r="207" ht="22.5" customHeight="1">
      <c r="A207" s="33"/>
      <c r="B207" s="34"/>
      <c r="C207" s="34"/>
      <c r="D207" s="34"/>
      <c r="E207" s="34"/>
      <c r="F207" s="35"/>
      <c r="G207" s="40"/>
      <c r="H207" s="41"/>
      <c r="I207" s="38"/>
      <c r="J207" s="35"/>
      <c r="K207" s="35"/>
      <c r="L207" s="39"/>
      <c r="M207" s="39"/>
      <c r="N207" s="39"/>
      <c r="O207" s="39"/>
      <c r="P207" s="39"/>
      <c r="Q207" s="39"/>
    </row>
    <row r="208" ht="22.5" customHeight="1">
      <c r="A208" s="33"/>
      <c r="B208" s="34"/>
      <c r="C208" s="34"/>
      <c r="D208" s="34"/>
      <c r="E208" s="34"/>
      <c r="F208" s="35"/>
      <c r="G208" s="36"/>
      <c r="H208" s="37"/>
      <c r="I208" s="38"/>
      <c r="J208" s="35"/>
      <c r="K208" s="35"/>
      <c r="L208" s="39"/>
      <c r="M208" s="39"/>
      <c r="N208" s="39"/>
      <c r="O208" s="39"/>
      <c r="P208" s="39"/>
      <c r="Q208" s="39"/>
    </row>
    <row r="209" ht="22.5" customHeight="1">
      <c r="A209" s="33"/>
      <c r="B209" s="34"/>
      <c r="C209" s="34"/>
      <c r="D209" s="34"/>
      <c r="E209" s="34"/>
      <c r="F209" s="35"/>
      <c r="G209" s="40"/>
      <c r="H209" s="41"/>
      <c r="I209" s="38"/>
      <c r="J209" s="35"/>
      <c r="K209" s="35"/>
      <c r="L209" s="39"/>
      <c r="M209" s="39"/>
      <c r="N209" s="39"/>
      <c r="O209" s="39"/>
      <c r="P209" s="39"/>
      <c r="Q209" s="39"/>
    </row>
    <row r="210" ht="22.5" customHeight="1">
      <c r="A210" s="33"/>
      <c r="B210" s="34"/>
      <c r="C210" s="34"/>
      <c r="D210" s="34"/>
      <c r="E210" s="34"/>
      <c r="F210" s="35"/>
      <c r="G210" s="36"/>
      <c r="H210" s="37"/>
      <c r="I210" s="38"/>
      <c r="J210" s="35"/>
      <c r="K210" s="35"/>
      <c r="L210" s="39"/>
      <c r="M210" s="39"/>
      <c r="N210" s="39"/>
      <c r="O210" s="39"/>
      <c r="P210" s="39"/>
      <c r="Q210" s="39"/>
    </row>
    <row r="211" ht="22.5" customHeight="1">
      <c r="A211" s="33"/>
      <c r="B211" s="34"/>
      <c r="C211" s="34"/>
      <c r="D211" s="34"/>
      <c r="E211" s="34"/>
      <c r="F211" s="35"/>
      <c r="G211" s="40"/>
      <c r="H211" s="41"/>
      <c r="I211" s="38"/>
      <c r="J211" s="35"/>
      <c r="K211" s="35"/>
      <c r="L211" s="39"/>
      <c r="M211" s="39"/>
      <c r="N211" s="39"/>
      <c r="O211" s="39"/>
      <c r="P211" s="39"/>
      <c r="Q211" s="39"/>
    </row>
    <row r="212" ht="22.5" customHeight="1">
      <c r="A212" s="33"/>
      <c r="B212" s="34"/>
      <c r="C212" s="34"/>
      <c r="D212" s="34"/>
      <c r="E212" s="34"/>
      <c r="F212" s="35"/>
      <c r="G212" s="36"/>
      <c r="H212" s="37"/>
      <c r="I212" s="38"/>
      <c r="J212" s="35"/>
      <c r="K212" s="35"/>
      <c r="L212" s="39"/>
      <c r="M212" s="39"/>
      <c r="N212" s="39"/>
      <c r="O212" s="39"/>
      <c r="P212" s="39"/>
      <c r="Q212" s="39"/>
    </row>
    <row r="213" ht="22.5" customHeight="1">
      <c r="A213" s="33"/>
      <c r="B213" s="34"/>
      <c r="C213" s="34"/>
      <c r="D213" s="34"/>
      <c r="E213" s="34"/>
      <c r="F213" s="35"/>
      <c r="G213" s="40"/>
      <c r="H213" s="41"/>
      <c r="I213" s="38"/>
      <c r="J213" s="35"/>
      <c r="K213" s="35"/>
      <c r="L213" s="39"/>
      <c r="M213" s="39"/>
      <c r="N213" s="39"/>
      <c r="O213" s="39"/>
      <c r="P213" s="39"/>
      <c r="Q213" s="39"/>
    </row>
    <row r="214" ht="22.5" customHeight="1">
      <c r="A214" s="33"/>
      <c r="B214" s="34"/>
      <c r="C214" s="34"/>
      <c r="D214" s="34"/>
      <c r="E214" s="34"/>
      <c r="F214" s="35"/>
      <c r="G214" s="36"/>
      <c r="H214" s="37"/>
      <c r="I214" s="38"/>
      <c r="J214" s="35"/>
      <c r="K214" s="35"/>
      <c r="L214" s="39"/>
      <c r="M214" s="39"/>
      <c r="N214" s="39"/>
      <c r="O214" s="39"/>
      <c r="P214" s="39"/>
      <c r="Q214" s="39"/>
    </row>
    <row r="215" ht="22.5" customHeight="1">
      <c r="A215" s="33"/>
      <c r="B215" s="34"/>
      <c r="C215" s="34"/>
      <c r="D215" s="34"/>
      <c r="E215" s="34"/>
      <c r="F215" s="35"/>
      <c r="G215" s="40"/>
      <c r="H215" s="41"/>
      <c r="I215" s="38"/>
      <c r="J215" s="35"/>
      <c r="K215" s="35"/>
      <c r="L215" s="39"/>
      <c r="M215" s="39"/>
      <c r="N215" s="39"/>
      <c r="O215" s="39"/>
      <c r="P215" s="39"/>
      <c r="Q215" s="39"/>
    </row>
    <row r="216" ht="22.5" customHeight="1">
      <c r="A216" s="33"/>
      <c r="B216" s="34"/>
      <c r="C216" s="34"/>
      <c r="D216" s="34"/>
      <c r="E216" s="34"/>
      <c r="F216" s="35"/>
      <c r="G216" s="36"/>
      <c r="H216" s="37"/>
      <c r="I216" s="38"/>
      <c r="J216" s="35"/>
      <c r="K216" s="35"/>
      <c r="L216" s="39"/>
      <c r="M216" s="39"/>
      <c r="N216" s="39"/>
      <c r="O216" s="39"/>
      <c r="P216" s="39"/>
      <c r="Q216" s="39"/>
    </row>
    <row r="217" ht="22.5" customHeight="1">
      <c r="A217" s="33"/>
      <c r="B217" s="34"/>
      <c r="C217" s="34"/>
      <c r="D217" s="34"/>
      <c r="E217" s="34"/>
      <c r="F217" s="35"/>
      <c r="G217" s="40"/>
      <c r="H217" s="41"/>
      <c r="I217" s="38"/>
      <c r="J217" s="35"/>
      <c r="K217" s="35"/>
      <c r="L217" s="39"/>
      <c r="M217" s="39"/>
      <c r="N217" s="39"/>
      <c r="O217" s="39"/>
      <c r="P217" s="39"/>
      <c r="Q217" s="39"/>
    </row>
    <row r="218" ht="22.5" customHeight="1">
      <c r="A218" s="33"/>
      <c r="B218" s="34"/>
      <c r="C218" s="34"/>
      <c r="D218" s="34"/>
      <c r="E218" s="34"/>
      <c r="F218" s="35"/>
      <c r="G218" s="36"/>
      <c r="H218" s="37"/>
      <c r="I218" s="38"/>
      <c r="J218" s="35"/>
      <c r="K218" s="35"/>
      <c r="L218" s="39"/>
      <c r="M218" s="39"/>
      <c r="N218" s="39"/>
      <c r="O218" s="39"/>
      <c r="P218" s="39"/>
      <c r="Q218" s="39"/>
    </row>
    <row r="219" ht="22.5" customHeight="1">
      <c r="A219" s="33"/>
      <c r="B219" s="34"/>
      <c r="C219" s="34"/>
      <c r="D219" s="34"/>
      <c r="E219" s="34"/>
      <c r="F219" s="35"/>
      <c r="G219" s="40"/>
      <c r="H219" s="41"/>
      <c r="I219" s="38"/>
      <c r="J219" s="35"/>
      <c r="K219" s="35"/>
      <c r="L219" s="39"/>
      <c r="M219" s="39"/>
      <c r="N219" s="39"/>
      <c r="O219" s="39"/>
      <c r="P219" s="39"/>
      <c r="Q219" s="39"/>
    </row>
    <row r="220" ht="22.5" customHeight="1">
      <c r="A220" s="33"/>
      <c r="B220" s="34"/>
      <c r="C220" s="34"/>
      <c r="D220" s="34"/>
      <c r="E220" s="34"/>
      <c r="F220" s="35"/>
      <c r="G220" s="36"/>
      <c r="H220" s="37"/>
      <c r="I220" s="38"/>
      <c r="J220" s="35"/>
      <c r="K220" s="35"/>
      <c r="L220" s="39"/>
      <c r="M220" s="39"/>
      <c r="N220" s="39"/>
      <c r="O220" s="39"/>
      <c r="P220" s="39"/>
      <c r="Q220" s="39"/>
    </row>
    <row r="221" ht="22.5" customHeight="1">
      <c r="A221" s="33"/>
      <c r="B221" s="34"/>
      <c r="C221" s="34"/>
      <c r="D221" s="34"/>
      <c r="E221" s="34"/>
      <c r="F221" s="35"/>
      <c r="G221" s="40"/>
      <c r="H221" s="41"/>
      <c r="I221" s="38"/>
      <c r="J221" s="35"/>
      <c r="K221" s="35"/>
      <c r="L221" s="39"/>
      <c r="M221" s="39"/>
      <c r="N221" s="39"/>
      <c r="O221" s="39"/>
      <c r="P221" s="39"/>
      <c r="Q221" s="39"/>
    </row>
    <row r="222" ht="22.5" customHeight="1">
      <c r="A222" s="33"/>
      <c r="B222" s="34"/>
      <c r="C222" s="34"/>
      <c r="D222" s="34"/>
      <c r="E222" s="34"/>
      <c r="F222" s="35"/>
      <c r="G222" s="36"/>
      <c r="H222" s="37"/>
      <c r="I222" s="38"/>
      <c r="J222" s="35"/>
      <c r="K222" s="35"/>
      <c r="L222" s="39"/>
      <c r="M222" s="39"/>
      <c r="N222" s="39"/>
      <c r="O222" s="39"/>
      <c r="P222" s="39"/>
      <c r="Q222" s="39"/>
    </row>
    <row r="223" ht="22.5" customHeight="1">
      <c r="A223" s="33"/>
      <c r="B223" s="34"/>
      <c r="C223" s="34"/>
      <c r="D223" s="34"/>
      <c r="E223" s="34"/>
      <c r="F223" s="35"/>
      <c r="G223" s="40"/>
      <c r="H223" s="41"/>
      <c r="I223" s="38"/>
      <c r="J223" s="35"/>
      <c r="K223" s="35"/>
      <c r="L223" s="39"/>
      <c r="M223" s="39"/>
      <c r="N223" s="39"/>
      <c r="O223" s="39"/>
      <c r="P223" s="39"/>
      <c r="Q223" s="39"/>
    </row>
    <row r="224" ht="22.5" customHeight="1">
      <c r="A224" s="33"/>
      <c r="B224" s="34"/>
      <c r="C224" s="34"/>
      <c r="D224" s="34"/>
      <c r="E224" s="34"/>
      <c r="F224" s="35"/>
      <c r="G224" s="36"/>
      <c r="H224" s="37"/>
      <c r="I224" s="38"/>
      <c r="J224" s="35"/>
      <c r="K224" s="35"/>
      <c r="L224" s="39"/>
      <c r="M224" s="39"/>
      <c r="N224" s="39"/>
      <c r="O224" s="39"/>
      <c r="P224" s="39"/>
      <c r="Q224" s="39"/>
    </row>
    <row r="225" ht="22.5" customHeight="1">
      <c r="A225" s="33"/>
      <c r="B225" s="34"/>
      <c r="C225" s="34"/>
      <c r="D225" s="34"/>
      <c r="E225" s="34"/>
      <c r="F225" s="35"/>
      <c r="G225" s="40"/>
      <c r="H225" s="41"/>
      <c r="I225" s="38"/>
      <c r="J225" s="35"/>
      <c r="K225" s="35"/>
      <c r="L225" s="39"/>
      <c r="M225" s="39"/>
      <c r="N225" s="39"/>
      <c r="O225" s="39"/>
      <c r="P225" s="39"/>
      <c r="Q225" s="39"/>
    </row>
    <row r="226" ht="22.5" customHeight="1">
      <c r="A226" s="33"/>
      <c r="B226" s="34"/>
      <c r="C226" s="34"/>
      <c r="D226" s="34"/>
      <c r="E226" s="34"/>
      <c r="F226" s="35"/>
      <c r="G226" s="36"/>
      <c r="H226" s="37"/>
      <c r="I226" s="38"/>
      <c r="J226" s="35"/>
      <c r="K226" s="35"/>
      <c r="L226" s="39"/>
      <c r="M226" s="39"/>
      <c r="N226" s="39"/>
      <c r="O226" s="39"/>
      <c r="P226" s="39"/>
      <c r="Q226" s="39"/>
    </row>
    <row r="227" ht="22.5" customHeight="1">
      <c r="A227" s="33"/>
      <c r="B227" s="34"/>
      <c r="C227" s="34"/>
      <c r="D227" s="34"/>
      <c r="E227" s="34"/>
      <c r="F227" s="35"/>
      <c r="G227" s="40"/>
      <c r="H227" s="41"/>
      <c r="I227" s="38"/>
      <c r="J227" s="35"/>
      <c r="K227" s="35"/>
      <c r="L227" s="39"/>
      <c r="M227" s="39"/>
      <c r="N227" s="39"/>
      <c r="O227" s="39"/>
      <c r="P227" s="39"/>
      <c r="Q227" s="39"/>
    </row>
    <row r="228" ht="22.5" customHeight="1">
      <c r="A228" s="33"/>
      <c r="B228" s="34"/>
      <c r="C228" s="34"/>
      <c r="D228" s="34"/>
      <c r="E228" s="34"/>
      <c r="F228" s="35"/>
      <c r="G228" s="36"/>
      <c r="H228" s="37"/>
      <c r="I228" s="38"/>
      <c r="J228" s="35"/>
      <c r="K228" s="35"/>
      <c r="L228" s="39"/>
      <c r="M228" s="39"/>
      <c r="N228" s="39"/>
      <c r="O228" s="39"/>
      <c r="P228" s="39"/>
      <c r="Q228" s="39"/>
    </row>
    <row r="229" ht="22.5" customHeight="1">
      <c r="A229" s="33"/>
      <c r="B229" s="34"/>
      <c r="C229" s="34"/>
      <c r="D229" s="34"/>
      <c r="E229" s="34"/>
      <c r="F229" s="35"/>
      <c r="G229" s="40"/>
      <c r="H229" s="41"/>
      <c r="I229" s="38"/>
      <c r="J229" s="35"/>
      <c r="K229" s="35"/>
      <c r="L229" s="39"/>
      <c r="M229" s="39"/>
      <c r="N229" s="39"/>
      <c r="O229" s="39"/>
      <c r="P229" s="39"/>
      <c r="Q229" s="39"/>
    </row>
    <row r="230" ht="22.5" customHeight="1">
      <c r="A230" s="33"/>
      <c r="B230" s="34"/>
      <c r="C230" s="34"/>
      <c r="D230" s="34"/>
      <c r="E230" s="34"/>
      <c r="F230" s="35"/>
      <c r="G230" s="36"/>
      <c r="H230" s="37"/>
      <c r="I230" s="38"/>
      <c r="J230" s="35"/>
      <c r="K230" s="35"/>
      <c r="L230" s="39"/>
      <c r="M230" s="39"/>
      <c r="N230" s="39"/>
      <c r="O230" s="39"/>
      <c r="P230" s="39"/>
      <c r="Q230" s="39"/>
    </row>
    <row r="231" ht="22.5" customHeight="1">
      <c r="A231" s="33"/>
      <c r="B231" s="34"/>
      <c r="C231" s="34"/>
      <c r="D231" s="34"/>
      <c r="E231" s="34"/>
      <c r="F231" s="35"/>
      <c r="G231" s="40"/>
      <c r="H231" s="41"/>
      <c r="I231" s="38"/>
      <c r="J231" s="35"/>
      <c r="K231" s="35"/>
      <c r="L231" s="39"/>
      <c r="M231" s="39"/>
      <c r="N231" s="39"/>
      <c r="O231" s="39"/>
      <c r="P231" s="39"/>
      <c r="Q231" s="39"/>
    </row>
    <row r="232" ht="22.5" customHeight="1">
      <c r="A232" s="33"/>
      <c r="B232" s="34"/>
      <c r="C232" s="34"/>
      <c r="D232" s="34"/>
      <c r="E232" s="34"/>
      <c r="F232" s="35"/>
      <c r="G232" s="36"/>
      <c r="H232" s="37"/>
      <c r="I232" s="38"/>
      <c r="J232" s="35"/>
      <c r="K232" s="35"/>
      <c r="L232" s="39"/>
      <c r="M232" s="39"/>
      <c r="N232" s="39"/>
      <c r="O232" s="39"/>
      <c r="P232" s="39"/>
      <c r="Q232" s="39"/>
    </row>
    <row r="233" ht="22.5" customHeight="1">
      <c r="A233" s="33"/>
      <c r="B233" s="34"/>
      <c r="C233" s="34"/>
      <c r="D233" s="34"/>
      <c r="E233" s="34"/>
      <c r="F233" s="35"/>
      <c r="G233" s="40"/>
      <c r="H233" s="41"/>
      <c r="I233" s="38"/>
      <c r="J233" s="35"/>
      <c r="K233" s="35"/>
      <c r="L233" s="39"/>
      <c r="M233" s="39"/>
      <c r="N233" s="39"/>
      <c r="O233" s="39"/>
      <c r="P233" s="39"/>
      <c r="Q233" s="39"/>
    </row>
    <row r="234" ht="22.5" customHeight="1">
      <c r="A234" s="33"/>
      <c r="B234" s="34"/>
      <c r="C234" s="34"/>
      <c r="D234" s="34"/>
      <c r="E234" s="34"/>
      <c r="F234" s="35"/>
      <c r="G234" s="36"/>
      <c r="H234" s="37"/>
      <c r="I234" s="38"/>
      <c r="J234" s="35"/>
      <c r="K234" s="35"/>
      <c r="L234" s="39"/>
      <c r="M234" s="39"/>
      <c r="N234" s="39"/>
      <c r="O234" s="39"/>
      <c r="P234" s="39"/>
      <c r="Q234" s="39"/>
    </row>
    <row r="235" ht="22.5" customHeight="1">
      <c r="A235" s="33"/>
      <c r="B235" s="34"/>
      <c r="C235" s="34"/>
      <c r="D235" s="34"/>
      <c r="E235" s="34"/>
      <c r="F235" s="35"/>
      <c r="G235" s="40"/>
      <c r="H235" s="41"/>
      <c r="I235" s="38"/>
      <c r="J235" s="35"/>
      <c r="K235" s="35"/>
      <c r="L235" s="39"/>
      <c r="M235" s="39"/>
      <c r="N235" s="39"/>
      <c r="O235" s="39"/>
      <c r="P235" s="39"/>
      <c r="Q235" s="39"/>
    </row>
    <row r="236" ht="22.5" customHeight="1">
      <c r="A236" s="33"/>
      <c r="B236" s="34"/>
      <c r="C236" s="34"/>
      <c r="D236" s="34"/>
      <c r="E236" s="34"/>
      <c r="F236" s="35"/>
      <c r="G236" s="36"/>
      <c r="H236" s="37"/>
      <c r="I236" s="38"/>
      <c r="J236" s="35"/>
      <c r="K236" s="35"/>
      <c r="L236" s="39"/>
      <c r="M236" s="39"/>
      <c r="N236" s="39"/>
      <c r="O236" s="39"/>
      <c r="P236" s="39"/>
      <c r="Q236" s="39"/>
    </row>
    <row r="237" ht="22.5" customHeight="1">
      <c r="A237" s="33"/>
      <c r="B237" s="34"/>
      <c r="C237" s="34"/>
      <c r="D237" s="34"/>
      <c r="E237" s="34"/>
      <c r="F237" s="35"/>
      <c r="G237" s="40"/>
      <c r="H237" s="41"/>
      <c r="I237" s="38"/>
      <c r="J237" s="35"/>
      <c r="K237" s="35"/>
      <c r="L237" s="39"/>
      <c r="M237" s="39"/>
      <c r="N237" s="39"/>
      <c r="O237" s="39"/>
      <c r="P237" s="39"/>
      <c r="Q237" s="39"/>
    </row>
    <row r="238" ht="22.5" customHeight="1">
      <c r="A238" s="33"/>
      <c r="B238" s="34"/>
      <c r="C238" s="34"/>
      <c r="D238" s="34"/>
      <c r="E238" s="34"/>
      <c r="F238" s="35"/>
      <c r="G238" s="36"/>
      <c r="H238" s="37"/>
      <c r="I238" s="38"/>
      <c r="J238" s="35"/>
      <c r="K238" s="35"/>
      <c r="L238" s="39"/>
      <c r="M238" s="39"/>
      <c r="N238" s="39"/>
      <c r="O238" s="39"/>
      <c r="P238" s="39"/>
      <c r="Q238" s="39"/>
    </row>
    <row r="239" ht="22.5" customHeight="1">
      <c r="A239" s="33"/>
      <c r="B239" s="34"/>
      <c r="C239" s="34"/>
      <c r="D239" s="34"/>
      <c r="E239" s="34"/>
      <c r="F239" s="35"/>
      <c r="G239" s="40"/>
      <c r="H239" s="41"/>
      <c r="I239" s="38"/>
      <c r="J239" s="35"/>
      <c r="K239" s="35"/>
      <c r="L239" s="39"/>
      <c r="M239" s="39"/>
      <c r="N239" s="39"/>
      <c r="O239" s="39"/>
      <c r="P239" s="39"/>
      <c r="Q239" s="39"/>
    </row>
    <row r="240" ht="22.5" customHeight="1">
      <c r="A240" s="33"/>
      <c r="B240" s="34"/>
      <c r="C240" s="34"/>
      <c r="D240" s="34"/>
      <c r="E240" s="34"/>
      <c r="F240" s="35"/>
      <c r="G240" s="36"/>
      <c r="H240" s="37"/>
      <c r="I240" s="38"/>
      <c r="J240" s="35"/>
      <c r="K240" s="35"/>
      <c r="L240" s="39"/>
      <c r="M240" s="39"/>
      <c r="N240" s="39"/>
      <c r="O240" s="39"/>
      <c r="P240" s="39"/>
      <c r="Q240" s="39"/>
    </row>
    <row r="241" ht="22.5" customHeight="1">
      <c r="A241" s="33"/>
      <c r="B241" s="34"/>
      <c r="C241" s="34"/>
      <c r="D241" s="34"/>
      <c r="E241" s="34"/>
      <c r="F241" s="35"/>
      <c r="G241" s="40"/>
      <c r="H241" s="41"/>
      <c r="I241" s="38"/>
      <c r="J241" s="35"/>
      <c r="K241" s="35"/>
      <c r="L241" s="39"/>
      <c r="M241" s="39"/>
      <c r="N241" s="39"/>
      <c r="O241" s="39"/>
      <c r="P241" s="39"/>
      <c r="Q241" s="39"/>
    </row>
    <row r="242" ht="22.5" customHeight="1">
      <c r="A242" s="33"/>
      <c r="B242" s="34"/>
      <c r="C242" s="34"/>
      <c r="D242" s="34"/>
      <c r="E242" s="34"/>
      <c r="F242" s="35"/>
      <c r="G242" s="36"/>
      <c r="H242" s="37"/>
      <c r="I242" s="38"/>
      <c r="J242" s="35"/>
      <c r="K242" s="35"/>
      <c r="L242" s="39"/>
      <c r="M242" s="39"/>
      <c r="N242" s="39"/>
      <c r="O242" s="39"/>
      <c r="P242" s="39"/>
      <c r="Q242" s="39"/>
    </row>
    <row r="243" ht="22.5" customHeight="1">
      <c r="A243" s="33"/>
      <c r="B243" s="34"/>
      <c r="C243" s="34"/>
      <c r="D243" s="34"/>
      <c r="E243" s="34"/>
      <c r="F243" s="35"/>
      <c r="G243" s="40"/>
      <c r="H243" s="41"/>
      <c r="I243" s="38"/>
      <c r="J243" s="35"/>
      <c r="K243" s="35"/>
      <c r="L243" s="39"/>
      <c r="M243" s="39"/>
      <c r="N243" s="39"/>
      <c r="O243" s="39"/>
      <c r="P243" s="39"/>
      <c r="Q243" s="39"/>
    </row>
    <row r="244" ht="22.5" customHeight="1">
      <c r="A244" s="33"/>
      <c r="B244" s="34"/>
      <c r="C244" s="34"/>
      <c r="D244" s="34"/>
      <c r="E244" s="34"/>
      <c r="F244" s="35"/>
      <c r="G244" s="36"/>
      <c r="H244" s="37"/>
      <c r="I244" s="38"/>
      <c r="J244" s="35"/>
      <c r="K244" s="35"/>
      <c r="L244" s="39"/>
      <c r="M244" s="39"/>
      <c r="N244" s="39"/>
      <c r="O244" s="39"/>
      <c r="P244" s="39"/>
      <c r="Q244" s="39"/>
    </row>
    <row r="245" ht="22.5" customHeight="1">
      <c r="A245" s="33"/>
      <c r="B245" s="34"/>
      <c r="C245" s="34"/>
      <c r="D245" s="34"/>
      <c r="E245" s="34"/>
      <c r="F245" s="35"/>
      <c r="G245" s="40"/>
      <c r="H245" s="41"/>
      <c r="I245" s="38"/>
      <c r="J245" s="35"/>
      <c r="K245" s="35"/>
      <c r="L245" s="39"/>
      <c r="M245" s="39"/>
      <c r="N245" s="39"/>
      <c r="O245" s="39"/>
      <c r="P245" s="39"/>
      <c r="Q245" s="39"/>
    </row>
    <row r="246" ht="22.5" customHeight="1">
      <c r="A246" s="33"/>
      <c r="B246" s="34"/>
      <c r="C246" s="34"/>
      <c r="D246" s="34"/>
      <c r="E246" s="34"/>
      <c r="F246" s="35"/>
      <c r="G246" s="36"/>
      <c r="H246" s="37"/>
      <c r="I246" s="38"/>
      <c r="J246" s="35"/>
      <c r="K246" s="35"/>
      <c r="L246" s="39"/>
      <c r="M246" s="39"/>
      <c r="N246" s="39"/>
      <c r="O246" s="39"/>
      <c r="P246" s="39"/>
      <c r="Q246" s="39"/>
    </row>
    <row r="247" ht="22.5" customHeight="1">
      <c r="A247" s="33"/>
      <c r="B247" s="34"/>
      <c r="C247" s="34"/>
      <c r="D247" s="34"/>
      <c r="E247" s="34"/>
      <c r="F247" s="35"/>
      <c r="G247" s="40"/>
      <c r="H247" s="41"/>
      <c r="I247" s="38"/>
      <c r="J247" s="35"/>
      <c r="K247" s="35"/>
      <c r="L247" s="39"/>
      <c r="M247" s="39"/>
      <c r="N247" s="39"/>
      <c r="O247" s="39"/>
      <c r="P247" s="39"/>
      <c r="Q247" s="39"/>
    </row>
    <row r="248" ht="22.5" customHeight="1">
      <c r="A248" s="33"/>
      <c r="B248" s="34"/>
      <c r="C248" s="34"/>
      <c r="D248" s="34"/>
      <c r="E248" s="34"/>
      <c r="F248" s="35"/>
      <c r="G248" s="36"/>
      <c r="H248" s="37"/>
      <c r="I248" s="38"/>
      <c r="J248" s="35"/>
      <c r="K248" s="35"/>
      <c r="L248" s="39"/>
      <c r="M248" s="39"/>
      <c r="N248" s="39"/>
      <c r="O248" s="39"/>
      <c r="P248" s="39"/>
      <c r="Q248" s="39"/>
    </row>
    <row r="249" ht="22.5" customHeight="1">
      <c r="A249" s="33"/>
      <c r="B249" s="34"/>
      <c r="C249" s="34"/>
      <c r="D249" s="34"/>
      <c r="E249" s="34"/>
      <c r="F249" s="35"/>
      <c r="G249" s="40"/>
      <c r="H249" s="41"/>
      <c r="I249" s="38"/>
      <c r="J249" s="35"/>
      <c r="K249" s="35"/>
      <c r="L249" s="39"/>
      <c r="M249" s="39"/>
      <c r="N249" s="39"/>
      <c r="O249" s="39"/>
      <c r="P249" s="39"/>
      <c r="Q249" s="39"/>
    </row>
    <row r="250" ht="22.5" customHeight="1">
      <c r="A250" s="33"/>
      <c r="B250" s="34"/>
      <c r="C250" s="34"/>
      <c r="D250" s="34"/>
      <c r="E250" s="34"/>
      <c r="F250" s="35"/>
      <c r="G250" s="36"/>
      <c r="H250" s="37"/>
      <c r="I250" s="38"/>
      <c r="J250" s="35"/>
      <c r="K250" s="35"/>
      <c r="L250" s="39"/>
      <c r="M250" s="39"/>
      <c r="N250" s="39"/>
      <c r="O250" s="39"/>
      <c r="P250" s="39"/>
      <c r="Q250" s="39"/>
    </row>
    <row r="251" ht="22.5" customHeight="1">
      <c r="A251" s="33"/>
      <c r="B251" s="34"/>
      <c r="C251" s="34"/>
      <c r="D251" s="34"/>
      <c r="E251" s="34"/>
      <c r="F251" s="35"/>
      <c r="G251" s="40"/>
      <c r="H251" s="41"/>
      <c r="I251" s="38"/>
      <c r="J251" s="35"/>
      <c r="K251" s="35"/>
      <c r="L251" s="39"/>
      <c r="M251" s="39"/>
      <c r="N251" s="39"/>
      <c r="O251" s="39"/>
      <c r="P251" s="39"/>
      <c r="Q251" s="39"/>
    </row>
    <row r="252" ht="22.5" customHeight="1">
      <c r="A252" s="33"/>
      <c r="B252" s="34"/>
      <c r="C252" s="34"/>
      <c r="D252" s="34"/>
      <c r="E252" s="34"/>
      <c r="F252" s="35"/>
      <c r="G252" s="36"/>
      <c r="H252" s="37"/>
      <c r="I252" s="38"/>
      <c r="J252" s="35"/>
      <c r="K252" s="35"/>
      <c r="L252" s="39"/>
      <c r="M252" s="39"/>
      <c r="N252" s="39"/>
      <c r="O252" s="39"/>
      <c r="P252" s="39"/>
      <c r="Q252" s="39"/>
    </row>
    <row r="253" ht="22.5" customHeight="1">
      <c r="A253" s="33"/>
      <c r="B253" s="34"/>
      <c r="C253" s="34"/>
      <c r="D253" s="34"/>
      <c r="E253" s="34"/>
      <c r="F253" s="35"/>
      <c r="G253" s="40"/>
      <c r="H253" s="41"/>
      <c r="I253" s="38"/>
      <c r="J253" s="35"/>
      <c r="K253" s="35"/>
      <c r="L253" s="39"/>
      <c r="M253" s="39"/>
      <c r="N253" s="39"/>
      <c r="O253" s="39"/>
      <c r="P253" s="39"/>
      <c r="Q253" s="39"/>
    </row>
    <row r="254" ht="22.5" customHeight="1">
      <c r="A254" s="33"/>
      <c r="B254" s="34"/>
      <c r="C254" s="34"/>
      <c r="D254" s="34"/>
      <c r="E254" s="34"/>
      <c r="F254" s="35"/>
      <c r="G254" s="36"/>
      <c r="H254" s="37"/>
      <c r="I254" s="38"/>
      <c r="J254" s="35"/>
      <c r="K254" s="35"/>
      <c r="L254" s="39"/>
      <c r="M254" s="39"/>
      <c r="N254" s="39"/>
      <c r="O254" s="39"/>
      <c r="P254" s="39"/>
      <c r="Q254" s="39"/>
    </row>
    <row r="255" ht="22.5" customHeight="1">
      <c r="A255" s="33"/>
      <c r="B255" s="34"/>
      <c r="C255" s="34"/>
      <c r="D255" s="34"/>
      <c r="E255" s="34"/>
      <c r="F255" s="35"/>
      <c r="G255" s="40"/>
      <c r="H255" s="41"/>
      <c r="I255" s="38"/>
      <c r="J255" s="35"/>
      <c r="K255" s="35"/>
      <c r="L255" s="39"/>
      <c r="M255" s="39"/>
      <c r="N255" s="39"/>
      <c r="O255" s="39"/>
      <c r="P255" s="39"/>
      <c r="Q255" s="39"/>
    </row>
    <row r="256" ht="22.5" customHeight="1">
      <c r="A256" s="33"/>
      <c r="B256" s="34"/>
      <c r="C256" s="34"/>
      <c r="D256" s="34"/>
      <c r="E256" s="34"/>
      <c r="F256" s="35"/>
      <c r="G256" s="36"/>
      <c r="H256" s="37"/>
      <c r="I256" s="38"/>
      <c r="J256" s="35"/>
      <c r="K256" s="35"/>
      <c r="L256" s="39"/>
      <c r="M256" s="39"/>
      <c r="N256" s="39"/>
      <c r="O256" s="39"/>
      <c r="P256" s="39"/>
      <c r="Q256" s="39"/>
    </row>
    <row r="257" ht="22.5" customHeight="1">
      <c r="A257" s="33"/>
      <c r="B257" s="34"/>
      <c r="C257" s="34"/>
      <c r="D257" s="34"/>
      <c r="E257" s="34"/>
      <c r="F257" s="35"/>
      <c r="G257" s="40"/>
      <c r="H257" s="41"/>
      <c r="I257" s="38"/>
      <c r="J257" s="35"/>
      <c r="K257" s="35"/>
      <c r="L257" s="39"/>
      <c r="M257" s="39"/>
      <c r="N257" s="39"/>
      <c r="O257" s="39"/>
      <c r="P257" s="39"/>
      <c r="Q257" s="39"/>
    </row>
    <row r="258" ht="22.5" customHeight="1">
      <c r="A258" s="33"/>
      <c r="B258" s="34"/>
      <c r="C258" s="34"/>
      <c r="D258" s="34"/>
      <c r="E258" s="34"/>
      <c r="F258" s="35"/>
      <c r="G258" s="36"/>
      <c r="H258" s="37"/>
      <c r="I258" s="38"/>
      <c r="J258" s="35"/>
      <c r="K258" s="35"/>
      <c r="L258" s="39"/>
      <c r="M258" s="39"/>
      <c r="N258" s="39"/>
      <c r="O258" s="39"/>
      <c r="P258" s="39"/>
      <c r="Q258" s="39"/>
    </row>
    <row r="259" ht="22.5" customHeight="1">
      <c r="A259" s="33"/>
      <c r="B259" s="34"/>
      <c r="C259" s="34"/>
      <c r="D259" s="34"/>
      <c r="E259" s="34"/>
      <c r="F259" s="35"/>
      <c r="G259" s="40"/>
      <c r="H259" s="41"/>
      <c r="I259" s="38"/>
      <c r="J259" s="35"/>
      <c r="K259" s="35"/>
      <c r="L259" s="39"/>
      <c r="M259" s="39"/>
      <c r="N259" s="39"/>
      <c r="O259" s="39"/>
      <c r="P259" s="39"/>
      <c r="Q259" s="39"/>
    </row>
    <row r="260" ht="22.5" customHeight="1">
      <c r="A260" s="33"/>
      <c r="B260" s="34"/>
      <c r="C260" s="34"/>
      <c r="D260" s="34"/>
      <c r="E260" s="34"/>
      <c r="F260" s="35"/>
      <c r="G260" s="36"/>
      <c r="H260" s="37"/>
      <c r="I260" s="38"/>
      <c r="J260" s="35"/>
      <c r="K260" s="35"/>
      <c r="L260" s="39"/>
      <c r="M260" s="39"/>
      <c r="N260" s="39"/>
      <c r="O260" s="39"/>
      <c r="P260" s="39"/>
      <c r="Q260" s="39"/>
    </row>
    <row r="261" ht="22.5" customHeight="1">
      <c r="A261" s="33"/>
      <c r="B261" s="34"/>
      <c r="C261" s="34"/>
      <c r="D261" s="34"/>
      <c r="E261" s="34"/>
      <c r="F261" s="35"/>
      <c r="G261" s="40"/>
      <c r="H261" s="41"/>
      <c r="I261" s="38"/>
      <c r="J261" s="35"/>
      <c r="K261" s="35"/>
      <c r="L261" s="39"/>
      <c r="M261" s="39"/>
      <c r="N261" s="39"/>
      <c r="O261" s="39"/>
      <c r="P261" s="39"/>
      <c r="Q261" s="39"/>
    </row>
    <row r="262" ht="22.5" customHeight="1">
      <c r="A262" s="33"/>
      <c r="B262" s="34"/>
      <c r="C262" s="34"/>
      <c r="D262" s="34"/>
      <c r="E262" s="34"/>
      <c r="F262" s="35"/>
      <c r="G262" s="36"/>
      <c r="H262" s="37"/>
      <c r="I262" s="38"/>
      <c r="J262" s="35"/>
      <c r="K262" s="35"/>
      <c r="L262" s="39"/>
      <c r="M262" s="39"/>
      <c r="N262" s="39"/>
      <c r="O262" s="39"/>
      <c r="P262" s="39"/>
      <c r="Q262" s="39"/>
    </row>
    <row r="263" ht="22.5" customHeight="1">
      <c r="A263" s="33"/>
      <c r="B263" s="34"/>
      <c r="C263" s="34"/>
      <c r="D263" s="34"/>
      <c r="E263" s="34"/>
      <c r="F263" s="35"/>
      <c r="G263" s="40"/>
      <c r="H263" s="41"/>
      <c r="I263" s="38"/>
      <c r="J263" s="35"/>
      <c r="K263" s="35"/>
      <c r="L263" s="39"/>
      <c r="M263" s="39"/>
      <c r="N263" s="39"/>
      <c r="O263" s="39"/>
      <c r="P263" s="39"/>
      <c r="Q263" s="39"/>
    </row>
    <row r="264" ht="22.5" customHeight="1">
      <c r="A264" s="33"/>
      <c r="B264" s="34"/>
      <c r="C264" s="34"/>
      <c r="D264" s="34"/>
      <c r="E264" s="34"/>
      <c r="F264" s="35"/>
      <c r="G264" s="36"/>
      <c r="H264" s="37"/>
      <c r="I264" s="38"/>
      <c r="J264" s="35"/>
      <c r="K264" s="35"/>
      <c r="L264" s="39"/>
      <c r="M264" s="39"/>
      <c r="N264" s="39"/>
      <c r="O264" s="39"/>
      <c r="P264" s="39"/>
      <c r="Q264" s="39"/>
    </row>
    <row r="265" ht="22.5" customHeight="1">
      <c r="A265" s="33"/>
      <c r="B265" s="34"/>
      <c r="C265" s="34"/>
      <c r="D265" s="34"/>
      <c r="E265" s="34"/>
      <c r="F265" s="35"/>
      <c r="G265" s="40"/>
      <c r="H265" s="41"/>
      <c r="I265" s="38"/>
      <c r="J265" s="35"/>
      <c r="K265" s="35"/>
      <c r="L265" s="39"/>
      <c r="M265" s="39"/>
      <c r="N265" s="39"/>
      <c r="O265" s="39"/>
      <c r="P265" s="39"/>
      <c r="Q265" s="39"/>
    </row>
    <row r="266" ht="22.5" customHeight="1">
      <c r="A266" s="33"/>
      <c r="B266" s="34"/>
      <c r="C266" s="34"/>
      <c r="D266" s="34"/>
      <c r="E266" s="34"/>
      <c r="F266" s="35"/>
      <c r="G266" s="36"/>
      <c r="H266" s="37"/>
      <c r="I266" s="38"/>
      <c r="J266" s="35"/>
      <c r="K266" s="35"/>
      <c r="L266" s="39"/>
      <c r="M266" s="39"/>
      <c r="N266" s="39"/>
      <c r="O266" s="39"/>
      <c r="P266" s="39"/>
      <c r="Q266" s="39"/>
    </row>
    <row r="267" ht="22.5" customHeight="1">
      <c r="A267" s="33"/>
      <c r="B267" s="34"/>
      <c r="C267" s="34"/>
      <c r="D267" s="34"/>
      <c r="E267" s="34"/>
      <c r="F267" s="35"/>
      <c r="G267" s="40"/>
      <c r="H267" s="41"/>
      <c r="I267" s="38"/>
      <c r="J267" s="35"/>
      <c r="K267" s="35"/>
      <c r="L267" s="39"/>
      <c r="M267" s="39"/>
      <c r="N267" s="39"/>
      <c r="O267" s="39"/>
      <c r="P267" s="39"/>
      <c r="Q267" s="39"/>
    </row>
    <row r="268" ht="22.5" customHeight="1">
      <c r="A268" s="33"/>
      <c r="B268" s="34"/>
      <c r="C268" s="34"/>
      <c r="D268" s="34"/>
      <c r="E268" s="34"/>
      <c r="F268" s="35"/>
      <c r="G268" s="36"/>
      <c r="H268" s="37"/>
      <c r="I268" s="38"/>
      <c r="J268" s="35"/>
      <c r="K268" s="35"/>
      <c r="L268" s="39"/>
      <c r="M268" s="39"/>
      <c r="N268" s="39"/>
      <c r="O268" s="39"/>
      <c r="P268" s="39"/>
      <c r="Q268" s="39"/>
    </row>
    <row r="269" ht="22.5" customHeight="1">
      <c r="A269" s="33"/>
      <c r="B269" s="34"/>
      <c r="C269" s="34"/>
      <c r="D269" s="34"/>
      <c r="E269" s="34"/>
      <c r="F269" s="35"/>
      <c r="G269" s="40"/>
      <c r="H269" s="41"/>
      <c r="I269" s="38"/>
      <c r="J269" s="35"/>
      <c r="K269" s="35"/>
      <c r="L269" s="39"/>
      <c r="M269" s="39"/>
      <c r="N269" s="39"/>
      <c r="O269" s="39"/>
      <c r="P269" s="39"/>
      <c r="Q269" s="39"/>
    </row>
    <row r="270" ht="22.5" customHeight="1">
      <c r="A270" s="33"/>
      <c r="B270" s="34"/>
      <c r="C270" s="34"/>
      <c r="D270" s="34"/>
      <c r="E270" s="34"/>
      <c r="F270" s="35"/>
      <c r="G270" s="36"/>
      <c r="H270" s="37"/>
      <c r="I270" s="38"/>
      <c r="J270" s="35"/>
      <c r="K270" s="35"/>
      <c r="L270" s="39"/>
      <c r="M270" s="39"/>
      <c r="N270" s="39"/>
      <c r="O270" s="39"/>
      <c r="P270" s="39"/>
      <c r="Q270" s="39"/>
    </row>
    <row r="271" ht="22.5" customHeight="1">
      <c r="A271" s="33"/>
      <c r="B271" s="34"/>
      <c r="C271" s="34"/>
      <c r="D271" s="34"/>
      <c r="E271" s="34"/>
      <c r="F271" s="35"/>
      <c r="G271" s="40"/>
      <c r="H271" s="41"/>
      <c r="I271" s="38"/>
      <c r="J271" s="35"/>
      <c r="K271" s="35"/>
      <c r="L271" s="39"/>
      <c r="M271" s="39"/>
      <c r="N271" s="39"/>
      <c r="O271" s="39"/>
      <c r="P271" s="39"/>
      <c r="Q271" s="39"/>
    </row>
    <row r="272" ht="22.5" customHeight="1">
      <c r="A272" s="33"/>
      <c r="B272" s="34"/>
      <c r="C272" s="34"/>
      <c r="D272" s="34"/>
      <c r="E272" s="34"/>
      <c r="F272" s="35"/>
      <c r="G272" s="36"/>
      <c r="H272" s="37"/>
      <c r="I272" s="38"/>
      <c r="J272" s="35"/>
      <c r="K272" s="35"/>
      <c r="L272" s="39"/>
      <c r="M272" s="39"/>
      <c r="N272" s="39"/>
      <c r="O272" s="39"/>
      <c r="P272" s="39"/>
      <c r="Q272" s="39"/>
    </row>
    <row r="273" ht="22.5" customHeight="1">
      <c r="A273" s="33"/>
      <c r="B273" s="34"/>
      <c r="C273" s="34"/>
      <c r="D273" s="34"/>
      <c r="E273" s="34"/>
      <c r="F273" s="35"/>
      <c r="G273" s="40"/>
      <c r="H273" s="41"/>
      <c r="I273" s="38"/>
      <c r="J273" s="35"/>
      <c r="K273" s="35"/>
      <c r="L273" s="39"/>
      <c r="M273" s="39"/>
      <c r="N273" s="39"/>
      <c r="O273" s="39"/>
      <c r="P273" s="39"/>
      <c r="Q273" s="39"/>
    </row>
    <row r="274" ht="22.5" customHeight="1">
      <c r="A274" s="33"/>
      <c r="B274" s="34"/>
      <c r="C274" s="34"/>
      <c r="D274" s="34"/>
      <c r="E274" s="34"/>
      <c r="F274" s="35"/>
      <c r="G274" s="36"/>
      <c r="H274" s="37"/>
      <c r="I274" s="38"/>
      <c r="J274" s="35"/>
      <c r="K274" s="35"/>
      <c r="L274" s="39"/>
      <c r="M274" s="39"/>
      <c r="N274" s="39"/>
      <c r="O274" s="39"/>
      <c r="P274" s="39"/>
      <c r="Q274" s="39"/>
    </row>
    <row r="275" ht="22.5" customHeight="1">
      <c r="A275" s="33"/>
      <c r="B275" s="34"/>
      <c r="C275" s="34"/>
      <c r="D275" s="34"/>
      <c r="E275" s="34"/>
      <c r="F275" s="35"/>
      <c r="G275" s="40"/>
      <c r="H275" s="41"/>
      <c r="I275" s="38"/>
      <c r="J275" s="35"/>
      <c r="K275" s="35"/>
      <c r="L275" s="39"/>
      <c r="M275" s="39"/>
      <c r="N275" s="39"/>
      <c r="O275" s="39"/>
      <c r="P275" s="39"/>
      <c r="Q275" s="39"/>
    </row>
    <row r="276" ht="22.5" customHeight="1">
      <c r="A276" s="33"/>
      <c r="B276" s="34"/>
      <c r="C276" s="34"/>
      <c r="D276" s="34"/>
      <c r="E276" s="34"/>
      <c r="F276" s="35"/>
      <c r="G276" s="36"/>
      <c r="H276" s="37"/>
      <c r="I276" s="38"/>
      <c r="J276" s="35"/>
      <c r="K276" s="35"/>
      <c r="L276" s="39"/>
      <c r="M276" s="39"/>
      <c r="N276" s="39"/>
      <c r="O276" s="39"/>
      <c r="P276" s="39"/>
      <c r="Q276" s="39"/>
    </row>
    <row r="277" ht="22.5" customHeight="1">
      <c r="A277" s="33"/>
      <c r="B277" s="34"/>
      <c r="C277" s="34"/>
      <c r="D277" s="34"/>
      <c r="E277" s="34"/>
      <c r="F277" s="35"/>
      <c r="G277" s="40"/>
      <c r="H277" s="41"/>
      <c r="I277" s="38"/>
      <c r="J277" s="35"/>
      <c r="K277" s="35"/>
      <c r="L277" s="39"/>
      <c r="M277" s="39"/>
      <c r="N277" s="39"/>
      <c r="O277" s="39"/>
      <c r="P277" s="39"/>
      <c r="Q277" s="39"/>
    </row>
    <row r="278" ht="22.5" customHeight="1">
      <c r="A278" s="33"/>
      <c r="B278" s="34"/>
      <c r="C278" s="34"/>
      <c r="D278" s="34"/>
      <c r="E278" s="34"/>
      <c r="F278" s="35"/>
      <c r="G278" s="36"/>
      <c r="H278" s="37"/>
      <c r="I278" s="38"/>
      <c r="J278" s="35"/>
      <c r="K278" s="35"/>
      <c r="L278" s="39"/>
      <c r="M278" s="39"/>
      <c r="N278" s="39"/>
      <c r="O278" s="39"/>
      <c r="P278" s="39"/>
      <c r="Q278" s="39"/>
    </row>
    <row r="279" ht="22.5" customHeight="1">
      <c r="A279" s="33"/>
      <c r="B279" s="34"/>
      <c r="C279" s="34"/>
      <c r="D279" s="34"/>
      <c r="E279" s="34"/>
      <c r="F279" s="35"/>
      <c r="G279" s="40"/>
      <c r="H279" s="41"/>
      <c r="I279" s="38"/>
      <c r="J279" s="35"/>
      <c r="K279" s="35"/>
      <c r="L279" s="39"/>
      <c r="M279" s="39"/>
      <c r="N279" s="39"/>
      <c r="O279" s="39"/>
      <c r="P279" s="39"/>
      <c r="Q279" s="39"/>
    </row>
    <row r="280" ht="22.5" customHeight="1">
      <c r="A280" s="33"/>
      <c r="B280" s="34"/>
      <c r="C280" s="34"/>
      <c r="D280" s="34"/>
      <c r="E280" s="34"/>
      <c r="F280" s="35"/>
      <c r="G280" s="36"/>
      <c r="H280" s="37"/>
      <c r="I280" s="38"/>
      <c r="J280" s="35"/>
      <c r="K280" s="35"/>
      <c r="L280" s="39"/>
      <c r="M280" s="39"/>
      <c r="N280" s="39"/>
      <c r="O280" s="39"/>
      <c r="P280" s="39"/>
      <c r="Q280" s="39"/>
    </row>
    <row r="281" ht="22.5" customHeight="1">
      <c r="A281" s="33"/>
      <c r="B281" s="34"/>
      <c r="C281" s="34"/>
      <c r="D281" s="34"/>
      <c r="E281" s="34"/>
      <c r="F281" s="35"/>
      <c r="G281" s="40"/>
      <c r="H281" s="41"/>
      <c r="I281" s="38"/>
      <c r="J281" s="35"/>
      <c r="K281" s="35"/>
      <c r="L281" s="39"/>
      <c r="M281" s="39"/>
      <c r="N281" s="39"/>
      <c r="O281" s="39"/>
      <c r="P281" s="39"/>
      <c r="Q281" s="39"/>
    </row>
    <row r="282" ht="22.5" customHeight="1">
      <c r="A282" s="33"/>
      <c r="B282" s="34"/>
      <c r="C282" s="34"/>
      <c r="D282" s="34"/>
      <c r="E282" s="34"/>
      <c r="F282" s="35"/>
      <c r="G282" s="36"/>
      <c r="H282" s="37"/>
      <c r="I282" s="38"/>
      <c r="J282" s="35"/>
      <c r="K282" s="35"/>
      <c r="L282" s="39"/>
      <c r="M282" s="39"/>
      <c r="N282" s="39"/>
      <c r="O282" s="39"/>
      <c r="P282" s="39"/>
      <c r="Q282" s="39"/>
    </row>
    <row r="283" ht="22.5" customHeight="1">
      <c r="A283" s="33"/>
      <c r="B283" s="34"/>
      <c r="C283" s="34"/>
      <c r="D283" s="34"/>
      <c r="E283" s="34"/>
      <c r="F283" s="35"/>
      <c r="G283" s="40"/>
      <c r="H283" s="41"/>
      <c r="I283" s="38"/>
      <c r="J283" s="35"/>
      <c r="K283" s="35"/>
      <c r="L283" s="39"/>
      <c r="M283" s="39"/>
      <c r="N283" s="39"/>
      <c r="O283" s="39"/>
      <c r="P283" s="39"/>
      <c r="Q283" s="39"/>
    </row>
    <row r="284" ht="22.5" customHeight="1">
      <c r="A284" s="33"/>
      <c r="B284" s="34"/>
      <c r="C284" s="34"/>
      <c r="D284" s="34"/>
      <c r="E284" s="34"/>
      <c r="F284" s="35"/>
      <c r="G284" s="36"/>
      <c r="H284" s="37"/>
      <c r="I284" s="38"/>
      <c r="J284" s="35"/>
      <c r="K284" s="35"/>
      <c r="L284" s="39"/>
      <c r="M284" s="39"/>
      <c r="N284" s="39"/>
      <c r="O284" s="39"/>
      <c r="P284" s="39"/>
      <c r="Q284" s="39"/>
    </row>
    <row r="285" ht="22.5" customHeight="1">
      <c r="A285" s="33"/>
      <c r="B285" s="34"/>
      <c r="C285" s="34"/>
      <c r="D285" s="34"/>
      <c r="E285" s="34"/>
      <c r="F285" s="35"/>
      <c r="G285" s="40"/>
      <c r="H285" s="41"/>
      <c r="I285" s="38"/>
      <c r="J285" s="35"/>
      <c r="K285" s="35"/>
      <c r="L285" s="39"/>
      <c r="M285" s="39"/>
      <c r="N285" s="39"/>
      <c r="O285" s="39"/>
      <c r="P285" s="39"/>
      <c r="Q285" s="39"/>
    </row>
    <row r="286" ht="22.5" customHeight="1">
      <c r="A286" s="33"/>
      <c r="B286" s="34"/>
      <c r="C286" s="34"/>
      <c r="D286" s="34"/>
      <c r="E286" s="34"/>
      <c r="F286" s="35"/>
      <c r="G286" s="36"/>
      <c r="H286" s="37"/>
      <c r="I286" s="38"/>
      <c r="J286" s="35"/>
      <c r="K286" s="35"/>
      <c r="L286" s="39"/>
      <c r="M286" s="39"/>
      <c r="N286" s="39"/>
      <c r="O286" s="39"/>
      <c r="P286" s="39"/>
      <c r="Q286" s="39"/>
    </row>
    <row r="287" ht="22.5" customHeight="1">
      <c r="A287" s="33"/>
      <c r="B287" s="34"/>
      <c r="C287" s="34"/>
      <c r="D287" s="34"/>
      <c r="E287" s="34"/>
      <c r="F287" s="35"/>
      <c r="G287" s="40"/>
      <c r="H287" s="41"/>
      <c r="I287" s="38"/>
      <c r="J287" s="35"/>
      <c r="K287" s="35"/>
      <c r="L287" s="39"/>
      <c r="M287" s="39"/>
      <c r="N287" s="39"/>
      <c r="O287" s="39"/>
      <c r="P287" s="39"/>
      <c r="Q287" s="39"/>
    </row>
    <row r="288" ht="22.5" customHeight="1">
      <c r="A288" s="33"/>
      <c r="B288" s="34"/>
      <c r="C288" s="34"/>
      <c r="D288" s="34"/>
      <c r="E288" s="34"/>
      <c r="F288" s="35"/>
      <c r="G288" s="36"/>
      <c r="H288" s="37"/>
      <c r="I288" s="38"/>
      <c r="J288" s="35"/>
      <c r="K288" s="35"/>
      <c r="L288" s="39"/>
      <c r="M288" s="39"/>
      <c r="N288" s="39"/>
      <c r="O288" s="39"/>
      <c r="P288" s="39"/>
      <c r="Q288" s="39"/>
    </row>
    <row r="289" ht="22.5" customHeight="1">
      <c r="A289" s="33"/>
      <c r="B289" s="34"/>
      <c r="C289" s="34"/>
      <c r="D289" s="34"/>
      <c r="E289" s="34"/>
      <c r="F289" s="35"/>
      <c r="G289" s="40"/>
      <c r="H289" s="41"/>
      <c r="I289" s="38"/>
      <c r="J289" s="35"/>
      <c r="K289" s="35"/>
      <c r="L289" s="39"/>
      <c r="M289" s="39"/>
      <c r="N289" s="39"/>
      <c r="O289" s="39"/>
      <c r="P289" s="39"/>
      <c r="Q289" s="39"/>
    </row>
    <row r="290" ht="22.5" customHeight="1">
      <c r="A290" s="33"/>
      <c r="B290" s="34"/>
      <c r="C290" s="34"/>
      <c r="D290" s="34"/>
      <c r="E290" s="34"/>
      <c r="F290" s="35"/>
      <c r="G290" s="36"/>
      <c r="H290" s="37"/>
      <c r="I290" s="38"/>
      <c r="J290" s="35"/>
      <c r="K290" s="35"/>
      <c r="L290" s="39"/>
      <c r="M290" s="39"/>
      <c r="N290" s="39"/>
      <c r="O290" s="39"/>
      <c r="P290" s="39"/>
      <c r="Q290" s="39"/>
    </row>
    <row r="291" ht="22.5" customHeight="1">
      <c r="A291" s="33"/>
      <c r="B291" s="34"/>
      <c r="C291" s="34"/>
      <c r="D291" s="34"/>
      <c r="E291" s="34"/>
      <c r="F291" s="35"/>
      <c r="G291" s="40"/>
      <c r="H291" s="41"/>
      <c r="I291" s="38"/>
      <c r="J291" s="35"/>
      <c r="K291" s="35"/>
      <c r="L291" s="39"/>
      <c r="M291" s="39"/>
      <c r="N291" s="39"/>
      <c r="O291" s="39"/>
      <c r="P291" s="39"/>
      <c r="Q291" s="39"/>
    </row>
    <row r="292" ht="22.5" customHeight="1">
      <c r="A292" s="33"/>
      <c r="B292" s="34"/>
      <c r="C292" s="34"/>
      <c r="D292" s="34"/>
      <c r="E292" s="34"/>
      <c r="F292" s="35"/>
      <c r="G292" s="36"/>
      <c r="H292" s="37"/>
      <c r="I292" s="38"/>
      <c r="J292" s="35"/>
      <c r="K292" s="35"/>
      <c r="L292" s="39"/>
      <c r="M292" s="39"/>
      <c r="N292" s="39"/>
      <c r="O292" s="39"/>
      <c r="P292" s="39"/>
      <c r="Q292" s="39"/>
    </row>
    <row r="293" ht="22.5" customHeight="1">
      <c r="A293" s="33"/>
      <c r="B293" s="34"/>
      <c r="C293" s="34"/>
      <c r="D293" s="34"/>
      <c r="E293" s="34"/>
      <c r="F293" s="35"/>
      <c r="G293" s="40"/>
      <c r="H293" s="41"/>
      <c r="I293" s="38"/>
      <c r="J293" s="35"/>
      <c r="K293" s="35"/>
      <c r="L293" s="39"/>
      <c r="M293" s="39"/>
      <c r="N293" s="39"/>
      <c r="O293" s="39"/>
      <c r="P293" s="39"/>
      <c r="Q293" s="39"/>
    </row>
    <row r="294" ht="22.5" customHeight="1">
      <c r="A294" s="33"/>
      <c r="B294" s="34"/>
      <c r="C294" s="34"/>
      <c r="D294" s="34"/>
      <c r="E294" s="34"/>
      <c r="F294" s="35"/>
      <c r="G294" s="36"/>
      <c r="H294" s="37"/>
      <c r="I294" s="38"/>
      <c r="J294" s="35"/>
      <c r="K294" s="35"/>
      <c r="L294" s="39"/>
      <c r="M294" s="39"/>
      <c r="N294" s="39"/>
      <c r="O294" s="39"/>
      <c r="P294" s="39"/>
      <c r="Q294" s="39"/>
    </row>
    <row r="295" ht="22.5" customHeight="1">
      <c r="A295" s="33"/>
      <c r="B295" s="34"/>
      <c r="C295" s="34"/>
      <c r="D295" s="34"/>
      <c r="E295" s="34"/>
      <c r="F295" s="35"/>
      <c r="G295" s="40"/>
      <c r="H295" s="41"/>
      <c r="I295" s="38"/>
      <c r="J295" s="35"/>
      <c r="K295" s="35"/>
      <c r="L295" s="39"/>
      <c r="M295" s="39"/>
      <c r="N295" s="39"/>
      <c r="O295" s="39"/>
      <c r="P295" s="39"/>
      <c r="Q295" s="39"/>
    </row>
    <row r="296" ht="22.5" customHeight="1">
      <c r="A296" s="33"/>
      <c r="B296" s="34"/>
      <c r="C296" s="34"/>
      <c r="D296" s="34"/>
      <c r="E296" s="34"/>
      <c r="F296" s="35"/>
      <c r="G296" s="36"/>
      <c r="H296" s="37"/>
      <c r="I296" s="38"/>
      <c r="J296" s="35"/>
      <c r="K296" s="35"/>
      <c r="L296" s="39"/>
      <c r="M296" s="39"/>
      <c r="N296" s="39"/>
      <c r="O296" s="39"/>
      <c r="P296" s="39"/>
      <c r="Q296" s="39"/>
    </row>
    <row r="297" ht="22.5" customHeight="1">
      <c r="A297" s="33"/>
      <c r="B297" s="34"/>
      <c r="C297" s="34"/>
      <c r="D297" s="34"/>
      <c r="E297" s="34"/>
      <c r="F297" s="35"/>
      <c r="G297" s="40"/>
      <c r="H297" s="41"/>
      <c r="I297" s="38"/>
      <c r="J297" s="35"/>
      <c r="K297" s="35"/>
      <c r="L297" s="39"/>
      <c r="M297" s="39"/>
      <c r="N297" s="39"/>
      <c r="O297" s="39"/>
      <c r="P297" s="39"/>
      <c r="Q297" s="39"/>
    </row>
    <row r="298" ht="22.5" customHeight="1">
      <c r="A298" s="33"/>
      <c r="B298" s="34"/>
      <c r="C298" s="34"/>
      <c r="D298" s="34"/>
      <c r="E298" s="34"/>
      <c r="F298" s="35"/>
      <c r="G298" s="36"/>
      <c r="H298" s="37"/>
      <c r="I298" s="38"/>
      <c r="J298" s="35"/>
      <c r="K298" s="35"/>
      <c r="L298" s="39"/>
      <c r="M298" s="39"/>
      <c r="N298" s="39"/>
      <c r="O298" s="39"/>
      <c r="P298" s="39"/>
      <c r="Q298" s="39"/>
    </row>
    <row r="299" ht="22.5" customHeight="1">
      <c r="A299" s="33"/>
      <c r="B299" s="34"/>
      <c r="C299" s="34"/>
      <c r="D299" s="34"/>
      <c r="E299" s="34"/>
      <c r="F299" s="35"/>
      <c r="G299" s="40"/>
      <c r="H299" s="41"/>
      <c r="I299" s="38"/>
      <c r="J299" s="35"/>
      <c r="K299" s="35"/>
      <c r="L299" s="39"/>
      <c r="M299" s="39"/>
      <c r="N299" s="39"/>
      <c r="O299" s="39"/>
      <c r="P299" s="39"/>
      <c r="Q299" s="39"/>
    </row>
    <row r="300" ht="22.5" customHeight="1">
      <c r="A300" s="33"/>
      <c r="B300" s="34"/>
      <c r="C300" s="34"/>
      <c r="D300" s="34"/>
      <c r="E300" s="34"/>
      <c r="F300" s="35"/>
      <c r="G300" s="36"/>
      <c r="H300" s="37"/>
      <c r="I300" s="38"/>
      <c r="J300" s="35"/>
      <c r="K300" s="35"/>
      <c r="L300" s="39"/>
      <c r="M300" s="39"/>
      <c r="N300" s="39"/>
      <c r="O300" s="39"/>
      <c r="P300" s="39"/>
      <c r="Q300" s="39"/>
    </row>
    <row r="301" ht="22.5" customHeight="1">
      <c r="A301" s="33"/>
      <c r="B301" s="34"/>
      <c r="C301" s="34"/>
      <c r="D301" s="34"/>
      <c r="E301" s="34"/>
      <c r="F301" s="35"/>
      <c r="G301" s="40"/>
      <c r="H301" s="41"/>
      <c r="I301" s="38"/>
      <c r="J301" s="35"/>
      <c r="K301" s="35"/>
      <c r="L301" s="39"/>
      <c r="M301" s="39"/>
      <c r="N301" s="39"/>
      <c r="O301" s="39"/>
      <c r="P301" s="39"/>
      <c r="Q301" s="39"/>
    </row>
    <row r="302" ht="22.5" customHeight="1">
      <c r="A302" s="33"/>
      <c r="B302" s="34"/>
      <c r="C302" s="34"/>
      <c r="D302" s="34"/>
      <c r="E302" s="34"/>
      <c r="F302" s="35"/>
      <c r="G302" s="36"/>
      <c r="H302" s="37"/>
      <c r="I302" s="38"/>
      <c r="J302" s="35"/>
      <c r="K302" s="35"/>
      <c r="L302" s="39"/>
      <c r="M302" s="39"/>
      <c r="N302" s="39"/>
      <c r="O302" s="39"/>
      <c r="P302" s="39"/>
      <c r="Q302" s="39"/>
    </row>
    <row r="303" ht="22.5" customHeight="1">
      <c r="A303" s="33"/>
      <c r="B303" s="34"/>
      <c r="C303" s="34"/>
      <c r="D303" s="34"/>
      <c r="E303" s="34"/>
      <c r="F303" s="35"/>
      <c r="G303" s="40"/>
      <c r="H303" s="41"/>
      <c r="I303" s="38"/>
      <c r="J303" s="35"/>
      <c r="K303" s="35"/>
      <c r="L303" s="39"/>
      <c r="M303" s="39"/>
      <c r="N303" s="39"/>
      <c r="O303" s="39"/>
      <c r="P303" s="39"/>
      <c r="Q303" s="39"/>
    </row>
    <row r="304" ht="22.5" customHeight="1">
      <c r="A304" s="33"/>
      <c r="B304" s="34"/>
      <c r="C304" s="34"/>
      <c r="D304" s="34"/>
      <c r="E304" s="34"/>
      <c r="F304" s="35"/>
      <c r="G304" s="36"/>
      <c r="H304" s="37"/>
      <c r="I304" s="38"/>
      <c r="J304" s="35"/>
      <c r="K304" s="35"/>
      <c r="L304" s="39"/>
      <c r="M304" s="39"/>
      <c r="N304" s="39"/>
      <c r="O304" s="39"/>
      <c r="P304" s="39"/>
      <c r="Q304" s="39"/>
    </row>
    <row r="305" ht="22.5" customHeight="1">
      <c r="A305" s="33"/>
      <c r="B305" s="34"/>
      <c r="C305" s="34"/>
      <c r="D305" s="34"/>
      <c r="E305" s="34"/>
      <c r="F305" s="35"/>
      <c r="G305" s="40"/>
      <c r="H305" s="41"/>
      <c r="I305" s="38"/>
      <c r="J305" s="35"/>
      <c r="K305" s="35"/>
      <c r="L305" s="39"/>
      <c r="M305" s="39"/>
      <c r="N305" s="39"/>
      <c r="O305" s="39"/>
      <c r="P305" s="39"/>
      <c r="Q305" s="39"/>
    </row>
    <row r="306" ht="22.5" customHeight="1">
      <c r="A306" s="33"/>
      <c r="B306" s="34"/>
      <c r="C306" s="34"/>
      <c r="D306" s="34"/>
      <c r="E306" s="34"/>
      <c r="F306" s="35"/>
      <c r="G306" s="36"/>
      <c r="H306" s="37"/>
      <c r="I306" s="38"/>
      <c r="J306" s="35"/>
      <c r="K306" s="35"/>
      <c r="L306" s="39"/>
      <c r="M306" s="39"/>
      <c r="N306" s="39"/>
      <c r="O306" s="39"/>
      <c r="P306" s="39"/>
      <c r="Q306" s="39"/>
    </row>
    <row r="307" ht="22.5" customHeight="1">
      <c r="A307" s="33"/>
      <c r="B307" s="34"/>
      <c r="C307" s="34"/>
      <c r="D307" s="34"/>
      <c r="E307" s="34"/>
      <c r="F307" s="35"/>
      <c r="G307" s="40"/>
      <c r="H307" s="41"/>
      <c r="I307" s="38"/>
      <c r="J307" s="35"/>
      <c r="K307" s="35"/>
      <c r="L307" s="39"/>
      <c r="M307" s="39"/>
      <c r="N307" s="39"/>
      <c r="O307" s="39"/>
      <c r="P307" s="39"/>
      <c r="Q307" s="39"/>
    </row>
    <row r="308" ht="22.5" customHeight="1">
      <c r="A308" s="33"/>
      <c r="B308" s="34"/>
      <c r="C308" s="34"/>
      <c r="D308" s="34"/>
      <c r="E308" s="34"/>
      <c r="F308" s="35"/>
      <c r="G308" s="36"/>
      <c r="H308" s="37"/>
      <c r="I308" s="38"/>
      <c r="J308" s="35"/>
      <c r="K308" s="35"/>
      <c r="L308" s="39"/>
      <c r="M308" s="39"/>
      <c r="N308" s="39"/>
      <c r="O308" s="39"/>
      <c r="P308" s="39"/>
      <c r="Q308" s="39"/>
    </row>
    <row r="309" ht="22.5" customHeight="1">
      <c r="A309" s="33"/>
      <c r="B309" s="34"/>
      <c r="C309" s="34"/>
      <c r="D309" s="34"/>
      <c r="E309" s="34"/>
      <c r="F309" s="35"/>
      <c r="G309" s="40"/>
      <c r="H309" s="41"/>
      <c r="I309" s="38"/>
      <c r="J309" s="35"/>
      <c r="K309" s="35"/>
      <c r="L309" s="39"/>
      <c r="M309" s="39"/>
      <c r="N309" s="39"/>
      <c r="O309" s="39"/>
      <c r="P309" s="39"/>
      <c r="Q309" s="39"/>
    </row>
    <row r="310" ht="22.5" customHeight="1">
      <c r="A310" s="33"/>
      <c r="B310" s="34"/>
      <c r="C310" s="34"/>
      <c r="D310" s="34"/>
      <c r="E310" s="34"/>
      <c r="F310" s="35"/>
      <c r="G310" s="36"/>
      <c r="H310" s="37"/>
      <c r="I310" s="38"/>
      <c r="J310" s="35"/>
      <c r="K310" s="35"/>
      <c r="L310" s="39"/>
      <c r="M310" s="39"/>
      <c r="N310" s="39"/>
      <c r="O310" s="39"/>
      <c r="P310" s="39"/>
      <c r="Q310" s="39"/>
    </row>
    <row r="311" ht="22.5" customHeight="1">
      <c r="A311" s="33"/>
      <c r="B311" s="34"/>
      <c r="C311" s="34"/>
      <c r="D311" s="34"/>
      <c r="E311" s="34"/>
      <c r="F311" s="35"/>
      <c r="G311" s="40"/>
      <c r="H311" s="41"/>
      <c r="I311" s="38"/>
      <c r="J311" s="35"/>
      <c r="K311" s="35"/>
      <c r="L311" s="39"/>
      <c r="M311" s="39"/>
      <c r="N311" s="39"/>
      <c r="O311" s="39"/>
      <c r="P311" s="39"/>
      <c r="Q311" s="39"/>
    </row>
    <row r="312" ht="22.5" customHeight="1">
      <c r="A312" s="33"/>
      <c r="B312" s="34"/>
      <c r="C312" s="34"/>
      <c r="D312" s="34"/>
      <c r="E312" s="34"/>
      <c r="F312" s="35"/>
      <c r="G312" s="36"/>
      <c r="H312" s="37"/>
      <c r="I312" s="38"/>
      <c r="J312" s="35"/>
      <c r="K312" s="35"/>
      <c r="L312" s="39"/>
      <c r="M312" s="39"/>
      <c r="N312" s="39"/>
      <c r="O312" s="39"/>
      <c r="P312" s="39"/>
      <c r="Q312" s="39"/>
    </row>
    <row r="313" ht="22.5" customHeight="1">
      <c r="A313" s="33"/>
      <c r="B313" s="34"/>
      <c r="C313" s="34"/>
      <c r="D313" s="34"/>
      <c r="E313" s="34"/>
      <c r="F313" s="35"/>
      <c r="G313" s="40"/>
      <c r="H313" s="41"/>
      <c r="I313" s="38"/>
      <c r="J313" s="35"/>
      <c r="K313" s="35"/>
      <c r="L313" s="39"/>
      <c r="M313" s="39"/>
      <c r="N313" s="39"/>
      <c r="O313" s="39"/>
      <c r="P313" s="39"/>
      <c r="Q313" s="39"/>
    </row>
    <row r="314" ht="22.5" customHeight="1">
      <c r="A314" s="33"/>
      <c r="B314" s="34"/>
      <c r="C314" s="34"/>
      <c r="D314" s="34"/>
      <c r="E314" s="34"/>
      <c r="F314" s="35"/>
      <c r="G314" s="36"/>
      <c r="H314" s="37"/>
      <c r="I314" s="38"/>
      <c r="J314" s="35"/>
      <c r="K314" s="35"/>
      <c r="L314" s="39"/>
      <c r="M314" s="39"/>
      <c r="N314" s="39"/>
      <c r="O314" s="39"/>
      <c r="P314" s="39"/>
      <c r="Q314" s="39"/>
    </row>
    <row r="315" ht="22.5" customHeight="1">
      <c r="A315" s="33"/>
      <c r="B315" s="34"/>
      <c r="C315" s="34"/>
      <c r="D315" s="34"/>
      <c r="E315" s="34"/>
      <c r="F315" s="35"/>
      <c r="G315" s="40"/>
      <c r="H315" s="41"/>
      <c r="I315" s="38"/>
      <c r="J315" s="35"/>
      <c r="K315" s="35"/>
      <c r="L315" s="39"/>
      <c r="M315" s="39"/>
      <c r="N315" s="39"/>
      <c r="O315" s="39"/>
      <c r="P315" s="39"/>
      <c r="Q315" s="39"/>
    </row>
    <row r="316" ht="22.5" customHeight="1">
      <c r="A316" s="33"/>
      <c r="B316" s="34"/>
      <c r="C316" s="34"/>
      <c r="D316" s="34"/>
      <c r="E316" s="34"/>
      <c r="F316" s="35"/>
      <c r="G316" s="36"/>
      <c r="H316" s="37"/>
      <c r="I316" s="38"/>
      <c r="J316" s="35"/>
      <c r="K316" s="35"/>
      <c r="L316" s="39"/>
      <c r="M316" s="39"/>
      <c r="N316" s="39"/>
      <c r="O316" s="39"/>
      <c r="P316" s="39"/>
      <c r="Q316" s="39"/>
    </row>
    <row r="317" ht="22.5" customHeight="1">
      <c r="A317" s="33"/>
      <c r="B317" s="34"/>
      <c r="C317" s="34"/>
      <c r="D317" s="34"/>
      <c r="E317" s="34"/>
      <c r="F317" s="35"/>
      <c r="G317" s="40"/>
      <c r="H317" s="41"/>
      <c r="I317" s="38"/>
      <c r="J317" s="35"/>
      <c r="K317" s="35"/>
      <c r="L317" s="39"/>
      <c r="M317" s="39"/>
      <c r="N317" s="39"/>
      <c r="O317" s="39"/>
      <c r="P317" s="39"/>
      <c r="Q317" s="39"/>
    </row>
    <row r="318" ht="22.5" customHeight="1">
      <c r="A318" s="33"/>
      <c r="B318" s="34"/>
      <c r="C318" s="34"/>
      <c r="D318" s="34"/>
      <c r="E318" s="34"/>
      <c r="F318" s="35"/>
      <c r="G318" s="36"/>
      <c r="H318" s="37"/>
      <c r="I318" s="38"/>
      <c r="J318" s="35"/>
      <c r="K318" s="35"/>
      <c r="L318" s="39"/>
      <c r="M318" s="39"/>
      <c r="N318" s="39"/>
      <c r="O318" s="39"/>
      <c r="P318" s="39"/>
      <c r="Q318" s="39"/>
    </row>
    <row r="319" ht="22.5" customHeight="1">
      <c r="A319" s="33"/>
      <c r="B319" s="34"/>
      <c r="C319" s="34"/>
      <c r="D319" s="34"/>
      <c r="E319" s="34"/>
      <c r="F319" s="35"/>
      <c r="G319" s="40"/>
      <c r="H319" s="41"/>
      <c r="I319" s="38"/>
      <c r="J319" s="35"/>
      <c r="K319" s="35"/>
      <c r="L319" s="39"/>
      <c r="M319" s="39"/>
      <c r="N319" s="39"/>
      <c r="O319" s="39"/>
      <c r="P319" s="39"/>
      <c r="Q319" s="39"/>
    </row>
    <row r="320" ht="22.5" customHeight="1">
      <c r="A320" s="33"/>
      <c r="B320" s="34"/>
      <c r="C320" s="34"/>
      <c r="D320" s="34"/>
      <c r="E320" s="34"/>
      <c r="F320" s="35"/>
      <c r="G320" s="36"/>
      <c r="H320" s="37"/>
      <c r="I320" s="38"/>
      <c r="J320" s="35"/>
      <c r="K320" s="35"/>
      <c r="L320" s="39"/>
      <c r="M320" s="39"/>
      <c r="N320" s="39"/>
      <c r="O320" s="39"/>
      <c r="P320" s="39"/>
      <c r="Q320" s="39"/>
    </row>
    <row r="321" ht="22.5" customHeight="1">
      <c r="A321" s="33"/>
      <c r="B321" s="34"/>
      <c r="C321" s="34"/>
      <c r="D321" s="34"/>
      <c r="E321" s="34"/>
      <c r="F321" s="35"/>
      <c r="G321" s="40"/>
      <c r="H321" s="41"/>
      <c r="I321" s="38"/>
      <c r="J321" s="35"/>
      <c r="K321" s="35"/>
      <c r="L321" s="39"/>
      <c r="M321" s="39"/>
      <c r="N321" s="39"/>
      <c r="O321" s="39"/>
      <c r="P321" s="39"/>
      <c r="Q321" s="39"/>
    </row>
    <row r="322" ht="22.5" customHeight="1">
      <c r="A322" s="33"/>
      <c r="B322" s="34"/>
      <c r="C322" s="34"/>
      <c r="D322" s="34"/>
      <c r="E322" s="34"/>
      <c r="F322" s="35"/>
      <c r="G322" s="36"/>
      <c r="H322" s="37"/>
      <c r="I322" s="38"/>
      <c r="J322" s="35"/>
      <c r="K322" s="35"/>
      <c r="L322" s="39"/>
      <c r="M322" s="39"/>
      <c r="N322" s="39"/>
      <c r="O322" s="39"/>
      <c r="P322" s="39"/>
      <c r="Q322" s="39"/>
    </row>
    <row r="323" ht="22.5" customHeight="1">
      <c r="A323" s="33"/>
      <c r="B323" s="34"/>
      <c r="C323" s="34"/>
      <c r="D323" s="34"/>
      <c r="E323" s="34"/>
      <c r="F323" s="35"/>
      <c r="G323" s="40"/>
      <c r="H323" s="41"/>
      <c r="I323" s="38"/>
      <c r="J323" s="35"/>
      <c r="K323" s="35"/>
      <c r="L323" s="39"/>
      <c r="M323" s="39"/>
      <c r="N323" s="39"/>
      <c r="O323" s="39"/>
      <c r="P323" s="39"/>
      <c r="Q323" s="39"/>
    </row>
    <row r="324" ht="22.5" customHeight="1">
      <c r="A324" s="33"/>
      <c r="B324" s="34"/>
      <c r="C324" s="34"/>
      <c r="D324" s="34"/>
      <c r="E324" s="34"/>
      <c r="F324" s="35"/>
      <c r="G324" s="36"/>
      <c r="H324" s="37"/>
      <c r="I324" s="38"/>
      <c r="J324" s="35"/>
      <c r="K324" s="35"/>
      <c r="L324" s="39"/>
      <c r="M324" s="39"/>
      <c r="N324" s="39"/>
      <c r="O324" s="39"/>
      <c r="P324" s="39"/>
      <c r="Q324" s="39"/>
    </row>
    <row r="325" ht="22.5" customHeight="1">
      <c r="A325" s="33"/>
      <c r="B325" s="34"/>
      <c r="C325" s="34"/>
      <c r="D325" s="34"/>
      <c r="E325" s="34"/>
      <c r="F325" s="35"/>
      <c r="G325" s="40"/>
      <c r="H325" s="41"/>
      <c r="I325" s="38"/>
      <c r="J325" s="35"/>
      <c r="K325" s="35"/>
      <c r="L325" s="39"/>
      <c r="M325" s="39"/>
      <c r="N325" s="39"/>
      <c r="O325" s="39"/>
      <c r="P325" s="39"/>
      <c r="Q325" s="39"/>
    </row>
    <row r="326" ht="22.5" customHeight="1">
      <c r="A326" s="33"/>
      <c r="B326" s="34"/>
      <c r="C326" s="34"/>
      <c r="D326" s="34"/>
      <c r="E326" s="34"/>
      <c r="F326" s="35"/>
      <c r="G326" s="36"/>
      <c r="H326" s="37"/>
      <c r="I326" s="38"/>
      <c r="J326" s="35"/>
      <c r="K326" s="35"/>
      <c r="L326" s="39"/>
      <c r="M326" s="39"/>
      <c r="N326" s="39"/>
      <c r="O326" s="39"/>
      <c r="P326" s="39"/>
      <c r="Q326" s="39"/>
    </row>
    <row r="327" ht="22.5" customHeight="1">
      <c r="A327" s="33"/>
      <c r="B327" s="34"/>
      <c r="C327" s="34"/>
      <c r="D327" s="34"/>
      <c r="E327" s="34"/>
      <c r="F327" s="35"/>
      <c r="G327" s="40"/>
      <c r="H327" s="41"/>
      <c r="I327" s="38"/>
      <c r="J327" s="35"/>
      <c r="K327" s="35"/>
      <c r="L327" s="39"/>
      <c r="M327" s="39"/>
      <c r="N327" s="39"/>
      <c r="O327" s="39"/>
      <c r="P327" s="39"/>
      <c r="Q327" s="39"/>
    </row>
    <row r="328" ht="22.5" customHeight="1">
      <c r="A328" s="33"/>
      <c r="B328" s="34"/>
      <c r="C328" s="34"/>
      <c r="D328" s="34"/>
      <c r="E328" s="34"/>
      <c r="F328" s="35"/>
      <c r="G328" s="36"/>
      <c r="H328" s="37"/>
      <c r="I328" s="38"/>
      <c r="J328" s="35"/>
      <c r="K328" s="35"/>
      <c r="L328" s="39"/>
      <c r="M328" s="39"/>
      <c r="N328" s="39"/>
      <c r="O328" s="39"/>
      <c r="P328" s="39"/>
      <c r="Q328" s="39"/>
    </row>
    <row r="329" ht="22.5" customHeight="1">
      <c r="A329" s="33"/>
      <c r="B329" s="34"/>
      <c r="C329" s="34"/>
      <c r="D329" s="34"/>
      <c r="E329" s="34"/>
      <c r="F329" s="35"/>
      <c r="G329" s="40"/>
      <c r="H329" s="41"/>
      <c r="I329" s="38"/>
      <c r="J329" s="35"/>
      <c r="K329" s="35"/>
      <c r="L329" s="39"/>
      <c r="M329" s="39"/>
      <c r="N329" s="39"/>
      <c r="O329" s="39"/>
      <c r="P329" s="39"/>
      <c r="Q329" s="39"/>
    </row>
    <row r="330" ht="22.5" customHeight="1">
      <c r="A330" s="33"/>
      <c r="B330" s="34"/>
      <c r="C330" s="34"/>
      <c r="D330" s="34"/>
      <c r="E330" s="34"/>
      <c r="F330" s="35"/>
      <c r="G330" s="36"/>
      <c r="H330" s="37"/>
      <c r="I330" s="38"/>
      <c r="J330" s="35"/>
      <c r="K330" s="35"/>
      <c r="L330" s="39"/>
      <c r="M330" s="39"/>
      <c r="N330" s="39"/>
      <c r="O330" s="39"/>
      <c r="P330" s="39"/>
      <c r="Q330" s="39"/>
    </row>
    <row r="331" ht="22.5" customHeight="1">
      <c r="A331" s="33"/>
      <c r="B331" s="34"/>
      <c r="C331" s="34"/>
      <c r="D331" s="34"/>
      <c r="E331" s="34"/>
      <c r="F331" s="35"/>
      <c r="G331" s="40"/>
      <c r="H331" s="41"/>
      <c r="I331" s="38"/>
      <c r="J331" s="35"/>
      <c r="K331" s="35"/>
      <c r="L331" s="39"/>
      <c r="M331" s="39"/>
      <c r="N331" s="39"/>
      <c r="O331" s="39"/>
      <c r="P331" s="39"/>
      <c r="Q331" s="39"/>
    </row>
    <row r="332" ht="22.5" customHeight="1">
      <c r="A332" s="33"/>
      <c r="B332" s="34"/>
      <c r="C332" s="34"/>
      <c r="D332" s="34"/>
      <c r="E332" s="34"/>
      <c r="F332" s="35"/>
      <c r="G332" s="36"/>
      <c r="H332" s="37"/>
      <c r="I332" s="38"/>
      <c r="J332" s="35"/>
      <c r="K332" s="35"/>
      <c r="L332" s="39"/>
      <c r="M332" s="39"/>
      <c r="N332" s="39"/>
      <c r="O332" s="39"/>
      <c r="P332" s="39"/>
      <c r="Q332" s="39"/>
    </row>
    <row r="333" ht="22.5" customHeight="1">
      <c r="A333" s="33"/>
      <c r="B333" s="34"/>
      <c r="C333" s="34"/>
      <c r="D333" s="34"/>
      <c r="E333" s="34"/>
      <c r="F333" s="35"/>
      <c r="G333" s="40"/>
      <c r="H333" s="41"/>
      <c r="I333" s="38"/>
      <c r="J333" s="35"/>
      <c r="K333" s="35"/>
      <c r="L333" s="39"/>
      <c r="M333" s="39"/>
      <c r="N333" s="39"/>
      <c r="O333" s="39"/>
      <c r="P333" s="39"/>
      <c r="Q333" s="39"/>
    </row>
    <row r="334" ht="22.5" customHeight="1">
      <c r="A334" s="33"/>
      <c r="B334" s="34"/>
      <c r="C334" s="34"/>
      <c r="D334" s="34"/>
      <c r="E334" s="34"/>
      <c r="F334" s="35"/>
      <c r="G334" s="36"/>
      <c r="H334" s="37"/>
      <c r="I334" s="38"/>
      <c r="J334" s="35"/>
      <c r="K334" s="35"/>
      <c r="L334" s="39"/>
      <c r="M334" s="39"/>
      <c r="N334" s="39"/>
      <c r="O334" s="39"/>
      <c r="P334" s="39"/>
      <c r="Q334" s="39"/>
    </row>
    <row r="335" ht="22.5" customHeight="1">
      <c r="A335" s="33"/>
      <c r="B335" s="34"/>
      <c r="C335" s="34"/>
      <c r="D335" s="34"/>
      <c r="E335" s="34"/>
      <c r="F335" s="35"/>
      <c r="G335" s="40"/>
      <c r="H335" s="41"/>
      <c r="I335" s="38"/>
      <c r="J335" s="35"/>
      <c r="K335" s="35"/>
      <c r="L335" s="39"/>
      <c r="M335" s="39"/>
      <c r="N335" s="39"/>
      <c r="O335" s="39"/>
      <c r="P335" s="39"/>
      <c r="Q335" s="39"/>
    </row>
    <row r="336" ht="22.5" customHeight="1">
      <c r="A336" s="33"/>
      <c r="B336" s="34"/>
      <c r="C336" s="34"/>
      <c r="D336" s="34"/>
      <c r="E336" s="34"/>
      <c r="F336" s="35"/>
      <c r="G336" s="36"/>
      <c r="H336" s="37"/>
      <c r="I336" s="38"/>
      <c r="J336" s="35"/>
      <c r="K336" s="35"/>
      <c r="L336" s="39"/>
      <c r="M336" s="39"/>
      <c r="N336" s="39"/>
      <c r="O336" s="39"/>
      <c r="P336" s="39"/>
      <c r="Q336" s="39"/>
    </row>
    <row r="337" ht="22.5" customHeight="1">
      <c r="A337" s="33"/>
      <c r="B337" s="34"/>
      <c r="C337" s="34"/>
      <c r="D337" s="34"/>
      <c r="E337" s="34"/>
      <c r="F337" s="35"/>
      <c r="G337" s="40"/>
      <c r="H337" s="41"/>
      <c r="I337" s="38"/>
      <c r="J337" s="35"/>
      <c r="K337" s="35"/>
      <c r="L337" s="39"/>
      <c r="M337" s="39"/>
      <c r="N337" s="39"/>
      <c r="O337" s="39"/>
      <c r="P337" s="39"/>
      <c r="Q337" s="39"/>
    </row>
    <row r="338" ht="22.5" customHeight="1">
      <c r="A338" s="33"/>
      <c r="B338" s="34"/>
      <c r="C338" s="34"/>
      <c r="D338" s="34"/>
      <c r="E338" s="34"/>
      <c r="F338" s="35"/>
      <c r="G338" s="36"/>
      <c r="H338" s="37"/>
      <c r="I338" s="38"/>
      <c r="J338" s="35"/>
      <c r="K338" s="35"/>
      <c r="L338" s="39"/>
      <c r="M338" s="39"/>
      <c r="N338" s="39"/>
      <c r="O338" s="39"/>
      <c r="P338" s="39"/>
      <c r="Q338" s="39"/>
    </row>
    <row r="339" ht="22.5" customHeight="1">
      <c r="A339" s="33"/>
      <c r="B339" s="34"/>
      <c r="C339" s="34"/>
      <c r="D339" s="34"/>
      <c r="E339" s="34"/>
      <c r="F339" s="35"/>
      <c r="G339" s="40"/>
      <c r="H339" s="41"/>
      <c r="I339" s="38"/>
      <c r="J339" s="35"/>
      <c r="K339" s="35"/>
      <c r="L339" s="39"/>
      <c r="M339" s="39"/>
      <c r="N339" s="39"/>
      <c r="O339" s="39"/>
      <c r="P339" s="39"/>
      <c r="Q339" s="39"/>
    </row>
    <row r="340" ht="22.5" customHeight="1">
      <c r="A340" s="33"/>
      <c r="B340" s="34"/>
      <c r="C340" s="34"/>
      <c r="D340" s="34"/>
      <c r="E340" s="34"/>
      <c r="F340" s="35"/>
      <c r="G340" s="36"/>
      <c r="H340" s="37"/>
      <c r="I340" s="38"/>
      <c r="J340" s="35"/>
      <c r="K340" s="35"/>
      <c r="L340" s="39"/>
      <c r="M340" s="39"/>
      <c r="N340" s="39"/>
      <c r="O340" s="39"/>
      <c r="P340" s="39"/>
      <c r="Q340" s="39"/>
    </row>
    <row r="341" ht="22.5" customHeight="1">
      <c r="A341" s="33"/>
      <c r="B341" s="34"/>
      <c r="C341" s="34"/>
      <c r="D341" s="34"/>
      <c r="E341" s="34"/>
      <c r="F341" s="35"/>
      <c r="G341" s="40"/>
      <c r="H341" s="41"/>
      <c r="I341" s="38"/>
      <c r="J341" s="35"/>
      <c r="K341" s="35"/>
      <c r="L341" s="39"/>
      <c r="M341" s="39"/>
      <c r="N341" s="39"/>
      <c r="O341" s="39"/>
      <c r="P341" s="39"/>
      <c r="Q341" s="39"/>
    </row>
    <row r="342" ht="22.5" customHeight="1">
      <c r="A342" s="33"/>
      <c r="B342" s="34"/>
      <c r="C342" s="34"/>
      <c r="D342" s="34"/>
      <c r="E342" s="34"/>
      <c r="F342" s="35"/>
      <c r="G342" s="36"/>
      <c r="H342" s="37"/>
      <c r="I342" s="38"/>
      <c r="J342" s="35"/>
      <c r="K342" s="35"/>
      <c r="L342" s="39"/>
      <c r="M342" s="39"/>
      <c r="N342" s="39"/>
      <c r="O342" s="39"/>
      <c r="P342" s="39"/>
      <c r="Q342" s="39"/>
    </row>
    <row r="343" ht="22.5" customHeight="1">
      <c r="A343" s="33"/>
      <c r="B343" s="34"/>
      <c r="C343" s="34"/>
      <c r="D343" s="34"/>
      <c r="E343" s="34"/>
      <c r="F343" s="35"/>
      <c r="G343" s="40"/>
      <c r="H343" s="41"/>
      <c r="I343" s="38"/>
      <c r="J343" s="35"/>
      <c r="K343" s="35"/>
      <c r="L343" s="39"/>
      <c r="M343" s="39"/>
      <c r="N343" s="39"/>
      <c r="O343" s="39"/>
      <c r="P343" s="39"/>
      <c r="Q343" s="39"/>
    </row>
    <row r="344" ht="22.5" customHeight="1">
      <c r="A344" s="33"/>
      <c r="B344" s="34"/>
      <c r="C344" s="34"/>
      <c r="D344" s="34"/>
      <c r="E344" s="34"/>
      <c r="F344" s="35"/>
      <c r="G344" s="36"/>
      <c r="H344" s="37"/>
      <c r="I344" s="38"/>
      <c r="J344" s="35"/>
      <c r="K344" s="35"/>
      <c r="L344" s="39"/>
      <c r="M344" s="39"/>
      <c r="N344" s="39"/>
      <c r="O344" s="39"/>
      <c r="P344" s="39"/>
      <c r="Q344" s="39"/>
    </row>
    <row r="345" ht="22.5" customHeight="1">
      <c r="A345" s="33"/>
      <c r="B345" s="34"/>
      <c r="C345" s="34"/>
      <c r="D345" s="34"/>
      <c r="E345" s="34"/>
      <c r="F345" s="35"/>
      <c r="G345" s="40"/>
      <c r="H345" s="41"/>
      <c r="I345" s="38"/>
      <c r="J345" s="35"/>
      <c r="K345" s="35"/>
      <c r="L345" s="39"/>
      <c r="M345" s="39"/>
      <c r="N345" s="39"/>
      <c r="O345" s="39"/>
      <c r="P345" s="39"/>
      <c r="Q345" s="39"/>
    </row>
    <row r="346" ht="22.5" customHeight="1">
      <c r="A346" s="33"/>
      <c r="B346" s="34"/>
      <c r="C346" s="34"/>
      <c r="D346" s="34"/>
      <c r="E346" s="34"/>
      <c r="F346" s="35"/>
      <c r="G346" s="36"/>
      <c r="H346" s="37"/>
      <c r="I346" s="38"/>
      <c r="J346" s="35"/>
      <c r="K346" s="35"/>
      <c r="L346" s="39"/>
      <c r="M346" s="39"/>
      <c r="N346" s="39"/>
      <c r="O346" s="39"/>
      <c r="P346" s="39"/>
      <c r="Q346" s="39"/>
    </row>
    <row r="347" ht="22.5" customHeight="1">
      <c r="A347" s="33"/>
      <c r="B347" s="34"/>
      <c r="C347" s="34"/>
      <c r="D347" s="34"/>
      <c r="E347" s="34"/>
      <c r="F347" s="35"/>
      <c r="G347" s="40"/>
      <c r="H347" s="41"/>
      <c r="I347" s="38"/>
      <c r="J347" s="35"/>
      <c r="K347" s="35"/>
      <c r="L347" s="39"/>
      <c r="M347" s="39"/>
      <c r="N347" s="39"/>
      <c r="O347" s="39"/>
      <c r="P347" s="39"/>
      <c r="Q347" s="39"/>
    </row>
    <row r="348" ht="22.5" customHeight="1">
      <c r="A348" s="33"/>
      <c r="B348" s="34"/>
      <c r="C348" s="34"/>
      <c r="D348" s="34"/>
      <c r="E348" s="34"/>
      <c r="F348" s="35"/>
      <c r="G348" s="36"/>
      <c r="H348" s="37"/>
      <c r="I348" s="38"/>
      <c r="J348" s="35"/>
      <c r="K348" s="35"/>
      <c r="L348" s="39"/>
      <c r="M348" s="39"/>
      <c r="N348" s="39"/>
      <c r="O348" s="39"/>
      <c r="P348" s="39"/>
      <c r="Q348" s="39"/>
    </row>
    <row r="349" ht="22.5" customHeight="1">
      <c r="A349" s="33"/>
      <c r="B349" s="34"/>
      <c r="C349" s="34"/>
      <c r="D349" s="34"/>
      <c r="E349" s="34"/>
      <c r="F349" s="35"/>
      <c r="G349" s="40"/>
      <c r="H349" s="41"/>
      <c r="I349" s="38"/>
      <c r="J349" s="35"/>
      <c r="K349" s="35"/>
      <c r="L349" s="39"/>
      <c r="M349" s="39"/>
      <c r="N349" s="39"/>
      <c r="O349" s="39"/>
      <c r="P349" s="39"/>
      <c r="Q349" s="39"/>
    </row>
    <row r="350" ht="22.5" customHeight="1">
      <c r="A350" s="33"/>
      <c r="B350" s="34"/>
      <c r="C350" s="34"/>
      <c r="D350" s="34"/>
      <c r="E350" s="34"/>
      <c r="F350" s="35"/>
      <c r="G350" s="36"/>
      <c r="H350" s="37"/>
      <c r="I350" s="38"/>
      <c r="J350" s="35"/>
      <c r="K350" s="35"/>
      <c r="L350" s="39"/>
      <c r="M350" s="39"/>
      <c r="N350" s="39"/>
      <c r="O350" s="39"/>
      <c r="P350" s="39"/>
      <c r="Q350" s="39"/>
    </row>
    <row r="351" ht="22.5" customHeight="1">
      <c r="A351" s="33"/>
      <c r="B351" s="34"/>
      <c r="C351" s="34"/>
      <c r="D351" s="34"/>
      <c r="E351" s="34"/>
      <c r="F351" s="35"/>
      <c r="G351" s="40"/>
      <c r="H351" s="41"/>
      <c r="I351" s="38"/>
      <c r="J351" s="35"/>
      <c r="K351" s="35"/>
      <c r="L351" s="39"/>
      <c r="M351" s="39"/>
      <c r="N351" s="39"/>
      <c r="O351" s="39"/>
      <c r="P351" s="39"/>
      <c r="Q351" s="39"/>
    </row>
    <row r="352" ht="22.5" customHeight="1">
      <c r="A352" s="33"/>
      <c r="B352" s="34"/>
      <c r="C352" s="34"/>
      <c r="D352" s="34"/>
      <c r="E352" s="34"/>
      <c r="F352" s="35"/>
      <c r="G352" s="36"/>
      <c r="H352" s="37"/>
      <c r="I352" s="38"/>
      <c r="J352" s="35"/>
      <c r="K352" s="35"/>
      <c r="L352" s="39"/>
      <c r="M352" s="39"/>
      <c r="N352" s="39"/>
      <c r="O352" s="39"/>
      <c r="P352" s="39"/>
      <c r="Q352" s="39"/>
    </row>
    <row r="353" ht="22.5" customHeight="1">
      <c r="A353" s="33"/>
      <c r="B353" s="34"/>
      <c r="C353" s="34"/>
      <c r="D353" s="34"/>
      <c r="E353" s="34"/>
      <c r="F353" s="35"/>
      <c r="G353" s="40"/>
      <c r="H353" s="41"/>
      <c r="I353" s="38"/>
      <c r="J353" s="35"/>
      <c r="K353" s="35"/>
      <c r="L353" s="39"/>
      <c r="M353" s="39"/>
      <c r="N353" s="39"/>
      <c r="O353" s="39"/>
      <c r="P353" s="39"/>
      <c r="Q353" s="39"/>
    </row>
    <row r="354" ht="22.5" customHeight="1">
      <c r="A354" s="33"/>
      <c r="B354" s="34"/>
      <c r="C354" s="34"/>
      <c r="D354" s="34"/>
      <c r="E354" s="34"/>
      <c r="F354" s="35"/>
      <c r="G354" s="36"/>
      <c r="H354" s="37"/>
      <c r="I354" s="38"/>
      <c r="J354" s="35"/>
      <c r="K354" s="35"/>
      <c r="L354" s="39"/>
      <c r="M354" s="39"/>
      <c r="N354" s="39"/>
      <c r="O354" s="39"/>
      <c r="P354" s="39"/>
      <c r="Q354" s="39"/>
    </row>
    <row r="355" ht="22.5" customHeight="1">
      <c r="A355" s="33"/>
      <c r="B355" s="34"/>
      <c r="C355" s="34"/>
      <c r="D355" s="34"/>
      <c r="E355" s="34"/>
      <c r="F355" s="35"/>
      <c r="G355" s="40"/>
      <c r="H355" s="41"/>
      <c r="I355" s="38"/>
      <c r="J355" s="35"/>
      <c r="K355" s="35"/>
      <c r="L355" s="39"/>
      <c r="M355" s="39"/>
      <c r="N355" s="39"/>
      <c r="O355" s="39"/>
      <c r="P355" s="39"/>
      <c r="Q355" s="39"/>
    </row>
    <row r="356" ht="22.5" customHeight="1">
      <c r="A356" s="33"/>
      <c r="B356" s="34"/>
      <c r="C356" s="34"/>
      <c r="D356" s="34"/>
      <c r="E356" s="34"/>
      <c r="F356" s="35"/>
      <c r="G356" s="36"/>
      <c r="H356" s="37"/>
      <c r="I356" s="38"/>
      <c r="J356" s="35"/>
      <c r="K356" s="35"/>
      <c r="L356" s="39"/>
      <c r="M356" s="39"/>
      <c r="N356" s="39"/>
      <c r="O356" s="39"/>
      <c r="P356" s="39"/>
      <c r="Q356" s="39"/>
    </row>
    <row r="357" ht="22.5" customHeight="1">
      <c r="A357" s="33"/>
      <c r="B357" s="34"/>
      <c r="C357" s="34"/>
      <c r="D357" s="34"/>
      <c r="E357" s="34"/>
      <c r="F357" s="35"/>
      <c r="G357" s="40"/>
      <c r="H357" s="41"/>
      <c r="I357" s="38"/>
      <c r="J357" s="35"/>
      <c r="K357" s="35"/>
      <c r="L357" s="39"/>
      <c r="M357" s="39"/>
      <c r="N357" s="39"/>
      <c r="O357" s="39"/>
      <c r="P357" s="39"/>
      <c r="Q357" s="39"/>
    </row>
    <row r="358" ht="22.5" customHeight="1">
      <c r="A358" s="33"/>
      <c r="B358" s="34"/>
      <c r="C358" s="34"/>
      <c r="D358" s="34"/>
      <c r="E358" s="34"/>
      <c r="F358" s="35"/>
      <c r="G358" s="36"/>
      <c r="H358" s="37"/>
      <c r="I358" s="38"/>
      <c r="J358" s="35"/>
      <c r="K358" s="35"/>
      <c r="L358" s="39"/>
      <c r="M358" s="39"/>
      <c r="N358" s="39"/>
      <c r="O358" s="39"/>
      <c r="P358" s="39"/>
      <c r="Q358" s="39"/>
    </row>
    <row r="359" ht="22.5" customHeight="1">
      <c r="A359" s="33"/>
      <c r="B359" s="34"/>
      <c r="C359" s="34"/>
      <c r="D359" s="34"/>
      <c r="E359" s="34"/>
      <c r="F359" s="35"/>
      <c r="G359" s="40"/>
      <c r="H359" s="41"/>
      <c r="I359" s="38"/>
      <c r="J359" s="35"/>
      <c r="K359" s="35"/>
      <c r="L359" s="39"/>
      <c r="M359" s="39"/>
      <c r="N359" s="39"/>
      <c r="O359" s="39"/>
      <c r="P359" s="39"/>
      <c r="Q359" s="39"/>
    </row>
    <row r="360" ht="22.5" customHeight="1">
      <c r="A360" s="33"/>
      <c r="B360" s="34"/>
      <c r="C360" s="34"/>
      <c r="D360" s="34"/>
      <c r="E360" s="34"/>
      <c r="F360" s="35"/>
      <c r="G360" s="36"/>
      <c r="H360" s="37"/>
      <c r="I360" s="38"/>
      <c r="J360" s="35"/>
      <c r="K360" s="35"/>
      <c r="L360" s="39"/>
      <c r="M360" s="39"/>
      <c r="N360" s="39"/>
      <c r="O360" s="39"/>
      <c r="P360" s="39"/>
      <c r="Q360" s="39"/>
    </row>
    <row r="361" ht="22.5" customHeight="1">
      <c r="A361" s="33"/>
      <c r="B361" s="34"/>
      <c r="C361" s="34"/>
      <c r="D361" s="34"/>
      <c r="E361" s="34"/>
      <c r="F361" s="35"/>
      <c r="G361" s="40"/>
      <c r="H361" s="41"/>
      <c r="I361" s="38"/>
      <c r="J361" s="35"/>
      <c r="K361" s="35"/>
      <c r="L361" s="39"/>
      <c r="M361" s="39"/>
      <c r="N361" s="39"/>
      <c r="O361" s="39"/>
      <c r="P361" s="39"/>
      <c r="Q361" s="39"/>
    </row>
    <row r="362" ht="22.5" customHeight="1">
      <c r="A362" s="33"/>
      <c r="B362" s="34"/>
      <c r="C362" s="34"/>
      <c r="D362" s="34"/>
      <c r="E362" s="34"/>
      <c r="F362" s="35"/>
      <c r="G362" s="36"/>
      <c r="H362" s="37"/>
      <c r="I362" s="38"/>
      <c r="J362" s="35"/>
      <c r="K362" s="35"/>
      <c r="L362" s="39"/>
      <c r="M362" s="39"/>
      <c r="N362" s="39"/>
      <c r="O362" s="39"/>
      <c r="P362" s="39"/>
      <c r="Q362" s="39"/>
    </row>
    <row r="363" ht="22.5" customHeight="1">
      <c r="A363" s="33"/>
      <c r="B363" s="34"/>
      <c r="C363" s="34"/>
      <c r="D363" s="34"/>
      <c r="E363" s="34"/>
      <c r="F363" s="35"/>
      <c r="G363" s="40"/>
      <c r="H363" s="41"/>
      <c r="I363" s="38"/>
      <c r="J363" s="35"/>
      <c r="K363" s="35"/>
      <c r="L363" s="39"/>
      <c r="M363" s="39"/>
      <c r="N363" s="39"/>
      <c r="O363" s="39"/>
      <c r="P363" s="39"/>
      <c r="Q363" s="39"/>
    </row>
    <row r="364" ht="22.5" customHeight="1">
      <c r="A364" s="33"/>
      <c r="B364" s="34"/>
      <c r="C364" s="34"/>
      <c r="D364" s="34"/>
      <c r="E364" s="34"/>
      <c r="F364" s="35"/>
      <c r="G364" s="36"/>
      <c r="H364" s="37"/>
      <c r="I364" s="38"/>
      <c r="J364" s="35"/>
      <c r="K364" s="35"/>
      <c r="L364" s="39"/>
      <c r="M364" s="39"/>
      <c r="N364" s="39"/>
      <c r="O364" s="39"/>
      <c r="P364" s="39"/>
      <c r="Q364" s="39"/>
    </row>
    <row r="365" ht="22.5" customHeight="1">
      <c r="A365" s="33"/>
      <c r="B365" s="34"/>
      <c r="C365" s="34"/>
      <c r="D365" s="34"/>
      <c r="E365" s="34"/>
      <c r="F365" s="35"/>
      <c r="G365" s="40"/>
      <c r="H365" s="41"/>
      <c r="I365" s="38"/>
      <c r="J365" s="35"/>
      <c r="K365" s="35"/>
      <c r="L365" s="39"/>
      <c r="M365" s="39"/>
      <c r="N365" s="39"/>
      <c r="O365" s="39"/>
      <c r="P365" s="39"/>
      <c r="Q365" s="39"/>
    </row>
    <row r="366" ht="22.5" customHeight="1">
      <c r="A366" s="33"/>
      <c r="B366" s="34"/>
      <c r="C366" s="34"/>
      <c r="D366" s="34"/>
      <c r="E366" s="34"/>
      <c r="F366" s="35"/>
      <c r="G366" s="36"/>
      <c r="H366" s="37"/>
      <c r="I366" s="38"/>
      <c r="J366" s="35"/>
      <c r="K366" s="35"/>
      <c r="L366" s="39"/>
      <c r="M366" s="39"/>
      <c r="N366" s="39"/>
      <c r="O366" s="39"/>
      <c r="P366" s="39"/>
      <c r="Q366" s="39"/>
    </row>
    <row r="367" ht="22.5" customHeight="1">
      <c r="A367" s="33"/>
      <c r="B367" s="34"/>
      <c r="C367" s="34"/>
      <c r="D367" s="34"/>
      <c r="E367" s="34"/>
      <c r="F367" s="35"/>
      <c r="G367" s="40"/>
      <c r="H367" s="41"/>
      <c r="I367" s="38"/>
      <c r="J367" s="35"/>
      <c r="K367" s="35"/>
      <c r="L367" s="39"/>
      <c r="M367" s="39"/>
      <c r="N367" s="39"/>
      <c r="O367" s="39"/>
      <c r="P367" s="39"/>
      <c r="Q367" s="39"/>
    </row>
    <row r="368" ht="22.5" customHeight="1">
      <c r="A368" s="33"/>
      <c r="B368" s="34"/>
      <c r="C368" s="34"/>
      <c r="D368" s="34"/>
      <c r="E368" s="34"/>
      <c r="F368" s="35"/>
      <c r="G368" s="36"/>
      <c r="H368" s="37"/>
      <c r="I368" s="38"/>
      <c r="J368" s="35"/>
      <c r="K368" s="35"/>
      <c r="L368" s="39"/>
      <c r="M368" s="39"/>
      <c r="N368" s="39"/>
      <c r="O368" s="39"/>
      <c r="P368" s="39"/>
      <c r="Q368" s="39"/>
    </row>
    <row r="369" ht="22.5" customHeight="1">
      <c r="A369" s="33"/>
      <c r="B369" s="34"/>
      <c r="C369" s="34"/>
      <c r="D369" s="34"/>
      <c r="E369" s="34"/>
      <c r="F369" s="35"/>
      <c r="G369" s="40"/>
      <c r="H369" s="41"/>
      <c r="I369" s="38"/>
      <c r="J369" s="35"/>
      <c r="K369" s="35"/>
      <c r="L369" s="39"/>
      <c r="M369" s="39"/>
      <c r="N369" s="39"/>
      <c r="O369" s="39"/>
      <c r="P369" s="39"/>
      <c r="Q369" s="39"/>
    </row>
    <row r="370" ht="22.5" customHeight="1">
      <c r="A370" s="33"/>
      <c r="B370" s="34"/>
      <c r="C370" s="34"/>
      <c r="D370" s="34"/>
      <c r="E370" s="34"/>
      <c r="F370" s="35"/>
      <c r="G370" s="36"/>
      <c r="H370" s="37"/>
      <c r="I370" s="38"/>
      <c r="J370" s="35"/>
      <c r="K370" s="35"/>
      <c r="L370" s="39"/>
      <c r="M370" s="39"/>
      <c r="N370" s="39"/>
      <c r="O370" s="39"/>
      <c r="P370" s="39"/>
      <c r="Q370" s="39"/>
    </row>
    <row r="371" ht="22.5" customHeight="1">
      <c r="A371" s="33"/>
      <c r="B371" s="34"/>
      <c r="C371" s="34"/>
      <c r="D371" s="34"/>
      <c r="E371" s="34"/>
      <c r="F371" s="35"/>
      <c r="G371" s="40"/>
      <c r="H371" s="41"/>
      <c r="I371" s="38"/>
      <c r="J371" s="35"/>
      <c r="K371" s="35"/>
      <c r="L371" s="39"/>
      <c r="M371" s="39"/>
      <c r="N371" s="39"/>
      <c r="O371" s="39"/>
      <c r="P371" s="39"/>
      <c r="Q371" s="39"/>
    </row>
    <row r="372" ht="22.5" customHeight="1">
      <c r="A372" s="33"/>
      <c r="B372" s="34"/>
      <c r="C372" s="34"/>
      <c r="D372" s="34"/>
      <c r="E372" s="34"/>
      <c r="F372" s="35"/>
      <c r="G372" s="36"/>
      <c r="H372" s="37"/>
      <c r="I372" s="38"/>
      <c r="J372" s="35"/>
      <c r="K372" s="35"/>
      <c r="L372" s="39"/>
      <c r="M372" s="39"/>
      <c r="N372" s="39"/>
      <c r="O372" s="39"/>
      <c r="P372" s="39"/>
      <c r="Q372" s="39"/>
    </row>
    <row r="373" ht="22.5" customHeight="1">
      <c r="A373" s="33"/>
      <c r="B373" s="34"/>
      <c r="C373" s="34"/>
      <c r="D373" s="34"/>
      <c r="E373" s="34"/>
      <c r="F373" s="35"/>
      <c r="G373" s="40"/>
      <c r="H373" s="41"/>
      <c r="I373" s="38"/>
      <c r="J373" s="35"/>
      <c r="K373" s="35"/>
      <c r="L373" s="39"/>
      <c r="M373" s="39"/>
      <c r="N373" s="39"/>
      <c r="O373" s="39"/>
      <c r="P373" s="39"/>
      <c r="Q373" s="39"/>
    </row>
    <row r="374" ht="22.5" customHeight="1">
      <c r="A374" s="33"/>
      <c r="B374" s="34"/>
      <c r="C374" s="34"/>
      <c r="D374" s="34"/>
      <c r="E374" s="34"/>
      <c r="F374" s="35"/>
      <c r="G374" s="36"/>
      <c r="H374" s="37"/>
      <c r="I374" s="38"/>
      <c r="J374" s="35"/>
      <c r="K374" s="35"/>
      <c r="L374" s="39"/>
      <c r="M374" s="39"/>
      <c r="N374" s="39"/>
      <c r="O374" s="39"/>
      <c r="P374" s="39"/>
      <c r="Q374" s="39"/>
    </row>
    <row r="375" ht="22.5" customHeight="1">
      <c r="A375" s="33"/>
      <c r="B375" s="34"/>
      <c r="C375" s="34"/>
      <c r="D375" s="34"/>
      <c r="E375" s="34"/>
      <c r="F375" s="35"/>
      <c r="G375" s="40"/>
      <c r="H375" s="41"/>
      <c r="I375" s="38"/>
      <c r="J375" s="35"/>
      <c r="K375" s="35"/>
      <c r="L375" s="39"/>
      <c r="M375" s="39"/>
      <c r="N375" s="39"/>
      <c r="O375" s="39"/>
      <c r="P375" s="39"/>
      <c r="Q375" s="39"/>
    </row>
    <row r="376" ht="22.5" customHeight="1">
      <c r="A376" s="33"/>
      <c r="B376" s="34"/>
      <c r="C376" s="34"/>
      <c r="D376" s="34"/>
      <c r="E376" s="34"/>
      <c r="F376" s="35"/>
      <c r="G376" s="36"/>
      <c r="H376" s="37"/>
      <c r="I376" s="38"/>
      <c r="J376" s="35"/>
      <c r="K376" s="35"/>
      <c r="L376" s="39"/>
      <c r="M376" s="39"/>
      <c r="N376" s="39"/>
      <c r="O376" s="39"/>
      <c r="P376" s="39"/>
      <c r="Q376" s="39"/>
    </row>
    <row r="377" ht="22.5" customHeight="1">
      <c r="A377" s="33"/>
      <c r="B377" s="34"/>
      <c r="C377" s="34"/>
      <c r="D377" s="34"/>
      <c r="E377" s="34"/>
      <c r="F377" s="35"/>
      <c r="G377" s="40"/>
      <c r="H377" s="41"/>
      <c r="I377" s="38"/>
      <c r="J377" s="35"/>
      <c r="K377" s="35"/>
      <c r="L377" s="39"/>
      <c r="M377" s="39"/>
      <c r="N377" s="39"/>
      <c r="O377" s="39"/>
      <c r="P377" s="39"/>
      <c r="Q377" s="39"/>
    </row>
    <row r="378" ht="22.5" customHeight="1">
      <c r="A378" s="33"/>
      <c r="B378" s="34"/>
      <c r="C378" s="34"/>
      <c r="D378" s="34"/>
      <c r="E378" s="34"/>
      <c r="F378" s="35"/>
      <c r="G378" s="36"/>
      <c r="H378" s="37"/>
      <c r="I378" s="38"/>
      <c r="J378" s="35"/>
      <c r="K378" s="35"/>
      <c r="L378" s="39"/>
      <c r="M378" s="39"/>
      <c r="N378" s="39"/>
      <c r="O378" s="39"/>
      <c r="P378" s="39"/>
      <c r="Q378" s="39"/>
    </row>
    <row r="379" ht="22.5" customHeight="1">
      <c r="A379" s="33"/>
      <c r="B379" s="34"/>
      <c r="C379" s="34"/>
      <c r="D379" s="34"/>
      <c r="E379" s="34"/>
      <c r="F379" s="35"/>
      <c r="G379" s="40"/>
      <c r="H379" s="41"/>
      <c r="I379" s="38"/>
      <c r="J379" s="35"/>
      <c r="K379" s="35"/>
      <c r="L379" s="39"/>
      <c r="M379" s="39"/>
      <c r="N379" s="39"/>
      <c r="O379" s="39"/>
      <c r="P379" s="39"/>
      <c r="Q379" s="39"/>
    </row>
    <row r="380" ht="22.5" customHeight="1">
      <c r="A380" s="33"/>
      <c r="B380" s="34"/>
      <c r="C380" s="34"/>
      <c r="D380" s="34"/>
      <c r="E380" s="34"/>
      <c r="F380" s="35"/>
      <c r="G380" s="36"/>
      <c r="H380" s="37"/>
      <c r="I380" s="38"/>
      <c r="J380" s="35"/>
      <c r="K380" s="35"/>
      <c r="L380" s="39"/>
      <c r="M380" s="39"/>
      <c r="N380" s="39"/>
      <c r="O380" s="39"/>
      <c r="P380" s="39"/>
      <c r="Q380" s="39"/>
    </row>
    <row r="381" ht="22.5" customHeight="1">
      <c r="A381" s="33"/>
      <c r="B381" s="34"/>
      <c r="C381" s="34"/>
      <c r="D381" s="34"/>
      <c r="E381" s="34"/>
      <c r="F381" s="35"/>
      <c r="G381" s="40"/>
      <c r="H381" s="41"/>
      <c r="I381" s="38"/>
      <c r="J381" s="35"/>
      <c r="K381" s="35"/>
      <c r="L381" s="39"/>
      <c r="M381" s="39"/>
      <c r="N381" s="39"/>
      <c r="O381" s="39"/>
      <c r="P381" s="39"/>
      <c r="Q381" s="39"/>
    </row>
    <row r="382" ht="22.5" customHeight="1">
      <c r="A382" s="33"/>
      <c r="B382" s="34"/>
      <c r="C382" s="34"/>
      <c r="D382" s="34"/>
      <c r="E382" s="34"/>
      <c r="F382" s="35"/>
      <c r="G382" s="36"/>
      <c r="H382" s="37"/>
      <c r="I382" s="38"/>
      <c r="J382" s="35"/>
      <c r="K382" s="35"/>
      <c r="L382" s="39"/>
      <c r="M382" s="39"/>
      <c r="N382" s="39"/>
      <c r="O382" s="39"/>
      <c r="P382" s="39"/>
      <c r="Q382" s="39"/>
    </row>
    <row r="383" ht="22.5" customHeight="1">
      <c r="A383" s="33"/>
      <c r="B383" s="34"/>
      <c r="C383" s="34"/>
      <c r="D383" s="34"/>
      <c r="E383" s="34"/>
      <c r="F383" s="35"/>
      <c r="G383" s="40"/>
      <c r="H383" s="41"/>
      <c r="I383" s="38"/>
      <c r="J383" s="35"/>
      <c r="K383" s="35"/>
      <c r="L383" s="39"/>
      <c r="M383" s="39"/>
      <c r="N383" s="39"/>
      <c r="O383" s="39"/>
      <c r="P383" s="39"/>
      <c r="Q383" s="39"/>
    </row>
    <row r="384" ht="22.5" customHeight="1">
      <c r="A384" s="33"/>
      <c r="B384" s="34"/>
      <c r="C384" s="34"/>
      <c r="D384" s="34"/>
      <c r="E384" s="34"/>
      <c r="F384" s="35"/>
      <c r="G384" s="36"/>
      <c r="H384" s="37"/>
      <c r="I384" s="38"/>
      <c r="J384" s="35"/>
      <c r="K384" s="35"/>
      <c r="L384" s="39"/>
      <c r="M384" s="39"/>
      <c r="N384" s="39"/>
      <c r="O384" s="39"/>
      <c r="P384" s="39"/>
      <c r="Q384" s="39"/>
    </row>
    <row r="385" ht="22.5" customHeight="1">
      <c r="A385" s="33"/>
      <c r="B385" s="34"/>
      <c r="C385" s="34"/>
      <c r="D385" s="34"/>
      <c r="E385" s="34"/>
      <c r="F385" s="35"/>
      <c r="G385" s="40"/>
      <c r="H385" s="41"/>
      <c r="I385" s="38"/>
      <c r="J385" s="35"/>
      <c r="K385" s="35"/>
      <c r="L385" s="39"/>
      <c r="M385" s="39"/>
      <c r="N385" s="39"/>
      <c r="O385" s="39"/>
      <c r="P385" s="39"/>
      <c r="Q385" s="39"/>
    </row>
    <row r="386" ht="22.5" customHeight="1">
      <c r="A386" s="33"/>
      <c r="B386" s="34"/>
      <c r="C386" s="34"/>
      <c r="D386" s="34"/>
      <c r="E386" s="34"/>
      <c r="F386" s="35"/>
      <c r="G386" s="36"/>
      <c r="H386" s="37"/>
      <c r="I386" s="38"/>
      <c r="J386" s="35"/>
      <c r="K386" s="35"/>
      <c r="L386" s="39"/>
      <c r="M386" s="39"/>
      <c r="N386" s="39"/>
      <c r="O386" s="39"/>
      <c r="P386" s="39"/>
      <c r="Q386" s="39"/>
    </row>
    <row r="387" ht="22.5" customHeight="1">
      <c r="A387" s="33"/>
      <c r="B387" s="34"/>
      <c r="C387" s="34"/>
      <c r="D387" s="34"/>
      <c r="E387" s="34"/>
      <c r="F387" s="35"/>
      <c r="G387" s="40"/>
      <c r="H387" s="41"/>
      <c r="I387" s="38"/>
      <c r="J387" s="35"/>
      <c r="K387" s="35"/>
      <c r="L387" s="39"/>
      <c r="M387" s="39"/>
      <c r="N387" s="39"/>
      <c r="O387" s="39"/>
      <c r="P387" s="39"/>
      <c r="Q387" s="39"/>
    </row>
    <row r="388" ht="22.5" customHeight="1">
      <c r="A388" s="33"/>
      <c r="B388" s="34"/>
      <c r="C388" s="34"/>
      <c r="D388" s="34"/>
      <c r="E388" s="34"/>
      <c r="F388" s="35"/>
      <c r="G388" s="36"/>
      <c r="H388" s="37"/>
      <c r="I388" s="38"/>
      <c r="J388" s="35"/>
      <c r="K388" s="35"/>
      <c r="L388" s="39"/>
      <c r="M388" s="39"/>
      <c r="N388" s="39"/>
      <c r="O388" s="39"/>
      <c r="P388" s="39"/>
      <c r="Q388" s="39"/>
    </row>
    <row r="389" ht="22.5" customHeight="1">
      <c r="A389" s="33"/>
      <c r="B389" s="34"/>
      <c r="C389" s="34"/>
      <c r="D389" s="34"/>
      <c r="E389" s="34"/>
      <c r="F389" s="35"/>
      <c r="G389" s="40"/>
      <c r="H389" s="41"/>
      <c r="I389" s="38"/>
      <c r="J389" s="35"/>
      <c r="K389" s="35"/>
      <c r="L389" s="39"/>
      <c r="M389" s="39"/>
      <c r="N389" s="39"/>
      <c r="O389" s="39"/>
      <c r="P389" s="39"/>
      <c r="Q389" s="39"/>
    </row>
    <row r="390" ht="22.5" customHeight="1">
      <c r="A390" s="33"/>
      <c r="B390" s="34"/>
      <c r="C390" s="34"/>
      <c r="D390" s="34"/>
      <c r="E390" s="34"/>
      <c r="F390" s="35"/>
      <c r="G390" s="36"/>
      <c r="H390" s="37"/>
      <c r="I390" s="38"/>
      <c r="J390" s="35"/>
      <c r="K390" s="35"/>
      <c r="L390" s="39"/>
      <c r="M390" s="39"/>
      <c r="N390" s="39"/>
      <c r="O390" s="39"/>
      <c r="P390" s="39"/>
      <c r="Q390" s="39"/>
    </row>
    <row r="391" ht="22.5" customHeight="1">
      <c r="A391" s="33"/>
      <c r="B391" s="34"/>
      <c r="C391" s="34"/>
      <c r="D391" s="34"/>
      <c r="E391" s="34"/>
      <c r="F391" s="35"/>
      <c r="G391" s="40"/>
      <c r="H391" s="41"/>
      <c r="I391" s="38"/>
      <c r="J391" s="35"/>
      <c r="K391" s="35"/>
      <c r="L391" s="39"/>
      <c r="M391" s="39"/>
      <c r="N391" s="39"/>
      <c r="O391" s="39"/>
      <c r="P391" s="39"/>
      <c r="Q391" s="39"/>
    </row>
    <row r="392" ht="22.5" customHeight="1">
      <c r="A392" s="33"/>
      <c r="B392" s="34"/>
      <c r="C392" s="34"/>
      <c r="D392" s="34"/>
      <c r="E392" s="34"/>
      <c r="F392" s="35"/>
      <c r="G392" s="36"/>
      <c r="H392" s="37"/>
      <c r="I392" s="38"/>
      <c r="J392" s="35"/>
      <c r="K392" s="35"/>
      <c r="L392" s="39"/>
      <c r="M392" s="39"/>
      <c r="N392" s="39"/>
      <c r="O392" s="39"/>
      <c r="P392" s="39"/>
      <c r="Q392" s="39"/>
    </row>
    <row r="393" ht="22.5" customHeight="1">
      <c r="A393" s="33"/>
      <c r="B393" s="34"/>
      <c r="C393" s="34"/>
      <c r="D393" s="34"/>
      <c r="E393" s="34"/>
      <c r="F393" s="35"/>
      <c r="G393" s="40"/>
      <c r="H393" s="41"/>
      <c r="I393" s="38"/>
      <c r="J393" s="35"/>
      <c r="K393" s="35"/>
      <c r="L393" s="39"/>
      <c r="M393" s="39"/>
      <c r="N393" s="39"/>
      <c r="O393" s="39"/>
      <c r="P393" s="39"/>
      <c r="Q393" s="39"/>
    </row>
    <row r="394" ht="22.5" customHeight="1">
      <c r="A394" s="33"/>
      <c r="B394" s="34"/>
      <c r="C394" s="34"/>
      <c r="D394" s="34"/>
      <c r="E394" s="34"/>
      <c r="F394" s="35"/>
      <c r="G394" s="36"/>
      <c r="H394" s="37"/>
      <c r="I394" s="38"/>
      <c r="J394" s="35"/>
      <c r="K394" s="35"/>
      <c r="L394" s="39"/>
      <c r="M394" s="39"/>
      <c r="N394" s="39"/>
      <c r="O394" s="39"/>
      <c r="P394" s="39"/>
      <c r="Q394" s="39"/>
    </row>
    <row r="395" ht="22.5" customHeight="1">
      <c r="A395" s="33"/>
      <c r="B395" s="34"/>
      <c r="C395" s="34"/>
      <c r="D395" s="34"/>
      <c r="E395" s="34"/>
      <c r="F395" s="35"/>
      <c r="G395" s="40"/>
      <c r="H395" s="41"/>
      <c r="I395" s="38"/>
      <c r="J395" s="35"/>
      <c r="K395" s="35"/>
      <c r="L395" s="39"/>
      <c r="M395" s="39"/>
      <c r="N395" s="39"/>
      <c r="O395" s="39"/>
      <c r="P395" s="39"/>
      <c r="Q395" s="39"/>
    </row>
    <row r="396" ht="22.5" customHeight="1">
      <c r="A396" s="33"/>
      <c r="B396" s="34"/>
      <c r="C396" s="34"/>
      <c r="D396" s="34"/>
      <c r="E396" s="34"/>
      <c r="F396" s="35"/>
      <c r="G396" s="36"/>
      <c r="H396" s="37"/>
      <c r="I396" s="38"/>
      <c r="J396" s="35"/>
      <c r="K396" s="35"/>
      <c r="L396" s="39"/>
      <c r="M396" s="39"/>
      <c r="N396" s="39"/>
      <c r="O396" s="39"/>
      <c r="P396" s="39"/>
      <c r="Q396" s="39"/>
    </row>
    <row r="397" ht="22.5" customHeight="1">
      <c r="A397" s="33"/>
      <c r="B397" s="34"/>
      <c r="C397" s="34"/>
      <c r="D397" s="34"/>
      <c r="E397" s="34"/>
      <c r="F397" s="35"/>
      <c r="G397" s="40"/>
      <c r="H397" s="41"/>
      <c r="I397" s="38"/>
      <c r="J397" s="35"/>
      <c r="K397" s="35"/>
      <c r="L397" s="39"/>
      <c r="M397" s="39"/>
      <c r="N397" s="39"/>
      <c r="O397" s="39"/>
      <c r="P397" s="39"/>
      <c r="Q397" s="39"/>
    </row>
    <row r="398" ht="22.5" customHeight="1">
      <c r="A398" s="33"/>
      <c r="B398" s="34"/>
      <c r="C398" s="34"/>
      <c r="D398" s="34"/>
      <c r="E398" s="34"/>
      <c r="F398" s="35"/>
      <c r="G398" s="36"/>
      <c r="H398" s="37"/>
      <c r="I398" s="38"/>
      <c r="J398" s="35"/>
      <c r="K398" s="35"/>
      <c r="L398" s="39"/>
      <c r="M398" s="39"/>
      <c r="N398" s="39"/>
      <c r="O398" s="39"/>
      <c r="P398" s="39"/>
      <c r="Q398" s="39"/>
    </row>
    <row r="399" ht="22.5" customHeight="1">
      <c r="A399" s="33"/>
      <c r="B399" s="34"/>
      <c r="C399" s="34"/>
      <c r="D399" s="34"/>
      <c r="E399" s="34"/>
      <c r="F399" s="35"/>
      <c r="G399" s="40"/>
      <c r="H399" s="41"/>
      <c r="I399" s="38"/>
      <c r="J399" s="35"/>
      <c r="K399" s="35"/>
      <c r="L399" s="39"/>
      <c r="M399" s="39"/>
      <c r="N399" s="39"/>
      <c r="O399" s="39"/>
      <c r="P399" s="39"/>
      <c r="Q399" s="39"/>
    </row>
    <row r="400" ht="22.5" customHeight="1">
      <c r="A400" s="33"/>
      <c r="B400" s="34"/>
      <c r="C400" s="34"/>
      <c r="D400" s="34"/>
      <c r="E400" s="34"/>
      <c r="F400" s="35"/>
      <c r="G400" s="36"/>
      <c r="H400" s="37"/>
      <c r="I400" s="38"/>
      <c r="J400" s="35"/>
      <c r="K400" s="35"/>
      <c r="L400" s="39"/>
      <c r="M400" s="39"/>
      <c r="N400" s="39"/>
      <c r="O400" s="39"/>
      <c r="P400" s="39"/>
      <c r="Q400" s="39"/>
    </row>
    <row r="401" ht="22.5" customHeight="1">
      <c r="A401" s="33"/>
      <c r="B401" s="34"/>
      <c r="C401" s="34"/>
      <c r="D401" s="34"/>
      <c r="E401" s="34"/>
      <c r="F401" s="35"/>
      <c r="G401" s="40"/>
      <c r="H401" s="41"/>
      <c r="I401" s="38"/>
      <c r="J401" s="35"/>
      <c r="K401" s="35"/>
      <c r="L401" s="39"/>
      <c r="M401" s="39"/>
      <c r="N401" s="39"/>
      <c r="O401" s="39"/>
      <c r="P401" s="39"/>
      <c r="Q401" s="39"/>
    </row>
    <row r="402" ht="22.5" customHeight="1">
      <c r="A402" s="33"/>
      <c r="B402" s="34"/>
      <c r="C402" s="34"/>
      <c r="D402" s="34"/>
      <c r="E402" s="34"/>
      <c r="F402" s="35"/>
      <c r="G402" s="36"/>
      <c r="H402" s="37"/>
      <c r="I402" s="38"/>
      <c r="J402" s="35"/>
      <c r="K402" s="35"/>
      <c r="L402" s="39"/>
      <c r="M402" s="39"/>
      <c r="N402" s="39"/>
      <c r="O402" s="39"/>
      <c r="P402" s="39"/>
      <c r="Q402" s="39"/>
    </row>
    <row r="403" ht="22.5" customHeight="1">
      <c r="A403" s="33"/>
      <c r="B403" s="34"/>
      <c r="C403" s="34"/>
      <c r="D403" s="34"/>
      <c r="E403" s="34"/>
      <c r="F403" s="35"/>
      <c r="G403" s="40"/>
      <c r="H403" s="41"/>
      <c r="I403" s="38"/>
      <c r="J403" s="35"/>
      <c r="K403" s="35"/>
      <c r="L403" s="39"/>
      <c r="M403" s="39"/>
      <c r="N403" s="39"/>
      <c r="O403" s="39"/>
      <c r="P403" s="39"/>
      <c r="Q403" s="39"/>
    </row>
    <row r="404" ht="22.5" customHeight="1">
      <c r="A404" s="33"/>
      <c r="B404" s="34"/>
      <c r="C404" s="34"/>
      <c r="D404" s="34"/>
      <c r="E404" s="34"/>
      <c r="F404" s="35"/>
      <c r="G404" s="36"/>
      <c r="H404" s="37"/>
      <c r="I404" s="38"/>
      <c r="J404" s="35"/>
      <c r="K404" s="35"/>
      <c r="L404" s="39"/>
      <c r="M404" s="39"/>
      <c r="N404" s="39"/>
      <c r="O404" s="39"/>
      <c r="P404" s="39"/>
      <c r="Q404" s="39"/>
    </row>
    <row r="405" ht="22.5" customHeight="1">
      <c r="A405" s="33"/>
      <c r="B405" s="34"/>
      <c r="C405" s="34"/>
      <c r="D405" s="34"/>
      <c r="E405" s="34"/>
      <c r="F405" s="35"/>
      <c r="G405" s="40"/>
      <c r="H405" s="41"/>
      <c r="I405" s="38"/>
      <c r="J405" s="35"/>
      <c r="K405" s="35"/>
      <c r="L405" s="39"/>
      <c r="M405" s="39"/>
      <c r="N405" s="39"/>
      <c r="O405" s="39"/>
      <c r="P405" s="39"/>
      <c r="Q405" s="39"/>
    </row>
    <row r="406" ht="22.5" customHeight="1">
      <c r="A406" s="33"/>
      <c r="B406" s="34"/>
      <c r="C406" s="34"/>
      <c r="D406" s="34"/>
      <c r="E406" s="34"/>
      <c r="F406" s="35"/>
      <c r="G406" s="36"/>
      <c r="H406" s="37"/>
      <c r="I406" s="38"/>
      <c r="J406" s="35"/>
      <c r="K406" s="35"/>
      <c r="L406" s="39"/>
      <c r="M406" s="39"/>
      <c r="N406" s="39"/>
      <c r="O406" s="39"/>
      <c r="P406" s="39"/>
      <c r="Q406" s="39"/>
    </row>
    <row r="407" ht="22.5" customHeight="1">
      <c r="A407" s="33"/>
      <c r="B407" s="34"/>
      <c r="C407" s="34"/>
      <c r="D407" s="34"/>
      <c r="E407" s="34"/>
      <c r="F407" s="35"/>
      <c r="G407" s="40"/>
      <c r="H407" s="41"/>
      <c r="I407" s="38"/>
      <c r="J407" s="35"/>
      <c r="K407" s="35"/>
      <c r="L407" s="39"/>
      <c r="M407" s="39"/>
      <c r="N407" s="39"/>
      <c r="O407" s="39"/>
      <c r="P407" s="39"/>
      <c r="Q407" s="39"/>
    </row>
    <row r="408" ht="22.5" customHeight="1">
      <c r="A408" s="33"/>
      <c r="B408" s="34"/>
      <c r="C408" s="34"/>
      <c r="D408" s="34"/>
      <c r="E408" s="34"/>
      <c r="F408" s="35"/>
      <c r="G408" s="36"/>
      <c r="H408" s="37"/>
      <c r="I408" s="38"/>
      <c r="J408" s="35"/>
      <c r="K408" s="35"/>
      <c r="L408" s="39"/>
      <c r="M408" s="39"/>
      <c r="N408" s="39"/>
      <c r="O408" s="39"/>
      <c r="P408" s="39"/>
      <c r="Q408" s="39"/>
    </row>
    <row r="409" ht="22.5" customHeight="1">
      <c r="A409" s="33"/>
      <c r="B409" s="34"/>
      <c r="C409" s="34"/>
      <c r="D409" s="34"/>
      <c r="E409" s="34"/>
      <c r="F409" s="35"/>
      <c r="G409" s="40"/>
      <c r="H409" s="41"/>
      <c r="I409" s="38"/>
      <c r="J409" s="35"/>
      <c r="K409" s="35"/>
      <c r="L409" s="39"/>
      <c r="M409" s="39"/>
      <c r="N409" s="39"/>
      <c r="O409" s="39"/>
      <c r="P409" s="39"/>
      <c r="Q409" s="39"/>
    </row>
    <row r="410" ht="22.5" customHeight="1">
      <c r="A410" s="33"/>
      <c r="B410" s="34"/>
      <c r="C410" s="34"/>
      <c r="D410" s="34"/>
      <c r="E410" s="34"/>
      <c r="F410" s="35"/>
      <c r="G410" s="36"/>
      <c r="H410" s="37"/>
      <c r="I410" s="38"/>
      <c r="J410" s="35"/>
      <c r="K410" s="35"/>
      <c r="L410" s="39"/>
      <c r="M410" s="39"/>
      <c r="N410" s="39"/>
      <c r="O410" s="39"/>
      <c r="P410" s="39"/>
      <c r="Q410" s="39"/>
    </row>
    <row r="411" ht="22.5" customHeight="1">
      <c r="A411" s="33"/>
      <c r="B411" s="34"/>
      <c r="C411" s="34"/>
      <c r="D411" s="34"/>
      <c r="E411" s="34"/>
      <c r="F411" s="35"/>
      <c r="G411" s="40"/>
      <c r="H411" s="41"/>
      <c r="I411" s="38"/>
      <c r="J411" s="35"/>
      <c r="K411" s="35"/>
      <c r="L411" s="39"/>
      <c r="M411" s="39"/>
      <c r="N411" s="39"/>
      <c r="O411" s="39"/>
      <c r="P411" s="39"/>
      <c r="Q411" s="39"/>
    </row>
    <row r="412" ht="22.5" customHeight="1">
      <c r="A412" s="33"/>
      <c r="B412" s="34"/>
      <c r="C412" s="34"/>
      <c r="D412" s="34"/>
      <c r="E412" s="34"/>
      <c r="F412" s="35"/>
      <c r="G412" s="36"/>
      <c r="H412" s="37"/>
      <c r="I412" s="38"/>
      <c r="J412" s="35"/>
      <c r="K412" s="35"/>
      <c r="L412" s="39"/>
      <c r="M412" s="39"/>
      <c r="N412" s="39"/>
      <c r="O412" s="39"/>
      <c r="P412" s="39"/>
      <c r="Q412" s="39"/>
    </row>
    <row r="413" ht="22.5" customHeight="1">
      <c r="A413" s="33"/>
      <c r="B413" s="34"/>
      <c r="C413" s="34"/>
      <c r="D413" s="34"/>
      <c r="E413" s="34"/>
      <c r="F413" s="35"/>
      <c r="G413" s="40"/>
      <c r="H413" s="41"/>
      <c r="I413" s="38"/>
      <c r="J413" s="35"/>
      <c r="K413" s="35"/>
      <c r="L413" s="39"/>
      <c r="M413" s="39"/>
      <c r="N413" s="39"/>
      <c r="O413" s="39"/>
      <c r="P413" s="39"/>
      <c r="Q413" s="39"/>
    </row>
    <row r="414" ht="22.5" customHeight="1">
      <c r="A414" s="33"/>
      <c r="B414" s="34"/>
      <c r="C414" s="34"/>
      <c r="D414" s="34"/>
      <c r="E414" s="34"/>
      <c r="F414" s="35"/>
      <c r="G414" s="36"/>
      <c r="H414" s="37"/>
      <c r="I414" s="38"/>
      <c r="J414" s="35"/>
      <c r="K414" s="35"/>
      <c r="L414" s="39"/>
      <c r="M414" s="39"/>
      <c r="N414" s="39"/>
      <c r="O414" s="39"/>
      <c r="P414" s="39"/>
      <c r="Q414" s="39"/>
    </row>
    <row r="415" ht="22.5" customHeight="1">
      <c r="A415" s="33"/>
      <c r="B415" s="34"/>
      <c r="C415" s="34"/>
      <c r="D415" s="34"/>
      <c r="E415" s="34"/>
      <c r="F415" s="35"/>
      <c r="G415" s="40"/>
      <c r="H415" s="41"/>
      <c r="I415" s="38"/>
      <c r="J415" s="35"/>
      <c r="K415" s="35"/>
      <c r="L415" s="39"/>
      <c r="M415" s="39"/>
      <c r="N415" s="39"/>
      <c r="O415" s="39"/>
      <c r="P415" s="39"/>
      <c r="Q415" s="39"/>
    </row>
    <row r="416" ht="22.5" customHeight="1">
      <c r="A416" s="33"/>
      <c r="B416" s="34"/>
      <c r="C416" s="34"/>
      <c r="D416" s="34"/>
      <c r="E416" s="34"/>
      <c r="F416" s="35"/>
      <c r="G416" s="36"/>
      <c r="H416" s="37"/>
      <c r="I416" s="38"/>
      <c r="J416" s="35"/>
      <c r="K416" s="35"/>
      <c r="L416" s="39"/>
      <c r="M416" s="39"/>
      <c r="N416" s="39"/>
      <c r="O416" s="39"/>
      <c r="P416" s="39"/>
      <c r="Q416" s="39"/>
    </row>
    <row r="417" ht="22.5" customHeight="1">
      <c r="A417" s="33"/>
      <c r="B417" s="34"/>
      <c r="C417" s="34"/>
      <c r="D417" s="34"/>
      <c r="E417" s="34"/>
      <c r="F417" s="35"/>
      <c r="G417" s="40"/>
      <c r="H417" s="41"/>
      <c r="I417" s="38"/>
      <c r="J417" s="35"/>
      <c r="K417" s="35"/>
      <c r="L417" s="39"/>
      <c r="M417" s="39"/>
      <c r="N417" s="39"/>
      <c r="O417" s="39"/>
      <c r="P417" s="39"/>
      <c r="Q417" s="39"/>
    </row>
    <row r="418" ht="22.5" customHeight="1">
      <c r="A418" s="33"/>
      <c r="B418" s="34"/>
      <c r="C418" s="34"/>
      <c r="D418" s="34"/>
      <c r="E418" s="34"/>
      <c r="F418" s="35"/>
      <c r="G418" s="36"/>
      <c r="H418" s="37"/>
      <c r="I418" s="38"/>
      <c r="J418" s="35"/>
      <c r="K418" s="35"/>
      <c r="L418" s="39"/>
      <c r="M418" s="39"/>
      <c r="N418" s="39"/>
      <c r="O418" s="39"/>
      <c r="P418" s="39"/>
      <c r="Q418" s="39"/>
    </row>
    <row r="419" ht="22.5" customHeight="1">
      <c r="A419" s="33"/>
      <c r="B419" s="34"/>
      <c r="C419" s="34"/>
      <c r="D419" s="34"/>
      <c r="E419" s="34"/>
      <c r="F419" s="35"/>
      <c r="G419" s="40"/>
      <c r="H419" s="41"/>
      <c r="I419" s="38"/>
      <c r="J419" s="35"/>
      <c r="K419" s="35"/>
      <c r="L419" s="39"/>
      <c r="M419" s="39"/>
      <c r="N419" s="39"/>
      <c r="O419" s="39"/>
      <c r="P419" s="39"/>
      <c r="Q419" s="39"/>
    </row>
    <row r="420" ht="22.5" customHeight="1">
      <c r="A420" s="33"/>
      <c r="B420" s="34"/>
      <c r="C420" s="34"/>
      <c r="D420" s="34"/>
      <c r="E420" s="34"/>
      <c r="F420" s="35"/>
      <c r="G420" s="36"/>
      <c r="H420" s="37"/>
      <c r="I420" s="38"/>
      <c r="J420" s="35"/>
      <c r="K420" s="35"/>
      <c r="L420" s="39"/>
      <c r="M420" s="39"/>
      <c r="N420" s="39"/>
      <c r="O420" s="39"/>
      <c r="P420" s="39"/>
      <c r="Q420" s="39"/>
    </row>
    <row r="421" ht="22.5" customHeight="1">
      <c r="A421" s="33"/>
      <c r="B421" s="34"/>
      <c r="C421" s="34"/>
      <c r="D421" s="34"/>
      <c r="E421" s="34"/>
      <c r="F421" s="35"/>
      <c r="G421" s="40"/>
      <c r="H421" s="41"/>
      <c r="I421" s="38"/>
      <c r="J421" s="35"/>
      <c r="K421" s="35"/>
      <c r="L421" s="39"/>
      <c r="M421" s="39"/>
      <c r="N421" s="39"/>
      <c r="O421" s="39"/>
      <c r="P421" s="39"/>
      <c r="Q421" s="39"/>
    </row>
    <row r="422" ht="22.5" customHeight="1">
      <c r="A422" s="33"/>
      <c r="B422" s="34"/>
      <c r="C422" s="34"/>
      <c r="D422" s="34"/>
      <c r="E422" s="34"/>
      <c r="F422" s="35"/>
      <c r="G422" s="36"/>
      <c r="H422" s="37"/>
      <c r="I422" s="38"/>
      <c r="J422" s="35"/>
      <c r="K422" s="35"/>
      <c r="L422" s="39"/>
      <c r="M422" s="39"/>
      <c r="N422" s="39"/>
      <c r="O422" s="39"/>
      <c r="P422" s="39"/>
      <c r="Q422" s="39"/>
    </row>
    <row r="423" ht="22.5" customHeight="1">
      <c r="A423" s="33"/>
      <c r="B423" s="34"/>
      <c r="C423" s="34"/>
      <c r="D423" s="34"/>
      <c r="E423" s="34"/>
      <c r="F423" s="35"/>
      <c r="G423" s="40"/>
      <c r="H423" s="41"/>
      <c r="I423" s="38"/>
      <c r="J423" s="35"/>
      <c r="K423" s="35"/>
      <c r="L423" s="39"/>
      <c r="M423" s="39"/>
      <c r="N423" s="39"/>
      <c r="O423" s="39"/>
      <c r="P423" s="39"/>
      <c r="Q423" s="39"/>
    </row>
    <row r="424" ht="22.5" customHeight="1">
      <c r="A424" s="33"/>
      <c r="B424" s="34"/>
      <c r="C424" s="34"/>
      <c r="D424" s="34"/>
      <c r="E424" s="34"/>
      <c r="F424" s="35"/>
      <c r="G424" s="36"/>
      <c r="H424" s="37"/>
      <c r="I424" s="38"/>
      <c r="J424" s="35"/>
      <c r="K424" s="35"/>
      <c r="L424" s="39"/>
      <c r="M424" s="39"/>
      <c r="N424" s="39"/>
      <c r="O424" s="39"/>
      <c r="P424" s="39"/>
      <c r="Q424" s="39"/>
    </row>
    <row r="425" ht="22.5" customHeight="1">
      <c r="A425" s="33"/>
      <c r="B425" s="34"/>
      <c r="C425" s="34"/>
      <c r="D425" s="34"/>
      <c r="E425" s="34"/>
      <c r="F425" s="35"/>
      <c r="G425" s="40"/>
      <c r="H425" s="41"/>
      <c r="I425" s="38"/>
      <c r="J425" s="35"/>
      <c r="K425" s="35"/>
      <c r="L425" s="39"/>
      <c r="M425" s="39"/>
      <c r="N425" s="39"/>
      <c r="O425" s="39"/>
      <c r="P425" s="39"/>
      <c r="Q425" s="39"/>
    </row>
    <row r="426" ht="22.5" customHeight="1">
      <c r="A426" s="33"/>
      <c r="B426" s="34"/>
      <c r="C426" s="34"/>
      <c r="D426" s="34"/>
      <c r="E426" s="34"/>
      <c r="F426" s="35"/>
      <c r="G426" s="36"/>
      <c r="H426" s="37"/>
      <c r="I426" s="38"/>
      <c r="J426" s="35"/>
      <c r="K426" s="35"/>
      <c r="L426" s="39"/>
      <c r="M426" s="39"/>
      <c r="N426" s="39"/>
      <c r="O426" s="39"/>
      <c r="P426" s="39"/>
      <c r="Q426" s="39"/>
    </row>
    <row r="427" ht="22.5" customHeight="1">
      <c r="A427" s="33"/>
      <c r="B427" s="34"/>
      <c r="C427" s="34"/>
      <c r="D427" s="34"/>
      <c r="E427" s="34"/>
      <c r="F427" s="35"/>
      <c r="G427" s="40"/>
      <c r="H427" s="41"/>
      <c r="I427" s="38"/>
      <c r="J427" s="35"/>
      <c r="K427" s="35"/>
      <c r="L427" s="39"/>
      <c r="M427" s="39"/>
      <c r="N427" s="39"/>
      <c r="O427" s="39"/>
      <c r="P427" s="39"/>
      <c r="Q427" s="39"/>
    </row>
    <row r="428" ht="22.5" customHeight="1">
      <c r="A428" s="33"/>
      <c r="B428" s="34"/>
      <c r="C428" s="34"/>
      <c r="D428" s="34"/>
      <c r="E428" s="34"/>
      <c r="F428" s="35"/>
      <c r="G428" s="36"/>
      <c r="H428" s="37"/>
      <c r="I428" s="38"/>
      <c r="J428" s="35"/>
      <c r="K428" s="35"/>
      <c r="L428" s="39"/>
      <c r="M428" s="39"/>
      <c r="N428" s="39"/>
      <c r="O428" s="39"/>
      <c r="P428" s="39"/>
      <c r="Q428" s="39"/>
    </row>
    <row r="429" ht="22.5" customHeight="1">
      <c r="A429" s="33"/>
      <c r="B429" s="34"/>
      <c r="C429" s="34"/>
      <c r="D429" s="34"/>
      <c r="E429" s="34"/>
      <c r="F429" s="35"/>
      <c r="G429" s="40"/>
      <c r="H429" s="41"/>
      <c r="I429" s="38"/>
      <c r="J429" s="35"/>
      <c r="K429" s="35"/>
      <c r="L429" s="39"/>
      <c r="M429" s="39"/>
      <c r="N429" s="39"/>
      <c r="O429" s="39"/>
      <c r="P429" s="39"/>
      <c r="Q429" s="39"/>
    </row>
    <row r="430" ht="22.5" customHeight="1">
      <c r="A430" s="33"/>
      <c r="B430" s="34"/>
      <c r="C430" s="34"/>
      <c r="D430" s="34"/>
      <c r="E430" s="34"/>
      <c r="F430" s="35"/>
      <c r="G430" s="36"/>
      <c r="H430" s="37"/>
      <c r="I430" s="38"/>
      <c r="J430" s="35"/>
      <c r="K430" s="35"/>
      <c r="L430" s="39"/>
      <c r="M430" s="39"/>
      <c r="N430" s="39"/>
      <c r="O430" s="39"/>
      <c r="P430" s="39"/>
      <c r="Q430" s="39"/>
    </row>
    <row r="431" ht="22.5" customHeight="1">
      <c r="A431" s="33"/>
      <c r="B431" s="34"/>
      <c r="C431" s="34"/>
      <c r="D431" s="34"/>
      <c r="E431" s="34"/>
      <c r="F431" s="35"/>
      <c r="G431" s="40"/>
      <c r="H431" s="41"/>
      <c r="I431" s="38"/>
      <c r="J431" s="35"/>
      <c r="K431" s="35"/>
      <c r="L431" s="39"/>
      <c r="M431" s="39"/>
      <c r="N431" s="39"/>
      <c r="O431" s="39"/>
      <c r="P431" s="39"/>
      <c r="Q431" s="39"/>
    </row>
    <row r="432" ht="22.5" customHeight="1">
      <c r="A432" s="33"/>
      <c r="B432" s="34"/>
      <c r="C432" s="34"/>
      <c r="D432" s="34"/>
      <c r="E432" s="34"/>
      <c r="F432" s="35"/>
      <c r="G432" s="36"/>
      <c r="H432" s="37"/>
      <c r="I432" s="38"/>
      <c r="J432" s="35"/>
      <c r="K432" s="35"/>
      <c r="L432" s="39"/>
      <c r="M432" s="39"/>
      <c r="N432" s="39"/>
      <c r="O432" s="39"/>
      <c r="P432" s="39"/>
      <c r="Q432" s="39"/>
    </row>
    <row r="433" ht="22.5" customHeight="1">
      <c r="A433" s="33"/>
      <c r="B433" s="34"/>
      <c r="C433" s="34"/>
      <c r="D433" s="34"/>
      <c r="E433" s="34"/>
      <c r="F433" s="35"/>
      <c r="G433" s="40"/>
      <c r="H433" s="41"/>
      <c r="I433" s="38"/>
      <c r="J433" s="35"/>
      <c r="K433" s="35"/>
      <c r="L433" s="39"/>
      <c r="M433" s="39"/>
      <c r="N433" s="39"/>
      <c r="O433" s="39"/>
      <c r="P433" s="39"/>
      <c r="Q433" s="39"/>
    </row>
    <row r="434" ht="22.5" customHeight="1">
      <c r="A434" s="33"/>
      <c r="B434" s="34"/>
      <c r="C434" s="34"/>
      <c r="D434" s="34"/>
      <c r="E434" s="34"/>
      <c r="F434" s="35"/>
      <c r="G434" s="36"/>
      <c r="H434" s="37"/>
      <c r="I434" s="38"/>
      <c r="J434" s="35"/>
      <c r="K434" s="35"/>
      <c r="L434" s="39"/>
      <c r="M434" s="39"/>
      <c r="N434" s="39"/>
      <c r="O434" s="39"/>
      <c r="P434" s="39"/>
      <c r="Q434" s="39"/>
    </row>
    <row r="435" ht="22.5" customHeight="1">
      <c r="A435" s="33"/>
      <c r="B435" s="34"/>
      <c r="C435" s="34"/>
      <c r="D435" s="34"/>
      <c r="E435" s="34"/>
      <c r="F435" s="35"/>
      <c r="G435" s="40"/>
      <c r="H435" s="41"/>
      <c r="I435" s="38"/>
      <c r="J435" s="35"/>
      <c r="K435" s="35"/>
      <c r="L435" s="39"/>
      <c r="M435" s="39"/>
      <c r="N435" s="39"/>
      <c r="O435" s="39"/>
      <c r="P435" s="39"/>
      <c r="Q435" s="39"/>
    </row>
    <row r="436" ht="22.5" customHeight="1">
      <c r="A436" s="33"/>
      <c r="B436" s="34"/>
      <c r="C436" s="34"/>
      <c r="D436" s="34"/>
      <c r="E436" s="34"/>
      <c r="F436" s="35"/>
      <c r="G436" s="36"/>
      <c r="H436" s="37"/>
      <c r="I436" s="38"/>
      <c r="J436" s="35"/>
      <c r="K436" s="35"/>
      <c r="L436" s="39"/>
      <c r="M436" s="39"/>
      <c r="N436" s="39"/>
      <c r="O436" s="39"/>
      <c r="P436" s="39"/>
      <c r="Q436" s="39"/>
    </row>
    <row r="437" ht="22.5" customHeight="1">
      <c r="A437" s="33"/>
      <c r="B437" s="34"/>
      <c r="C437" s="34"/>
      <c r="D437" s="34"/>
      <c r="E437" s="34"/>
      <c r="F437" s="35"/>
      <c r="G437" s="40"/>
      <c r="H437" s="41"/>
      <c r="I437" s="38"/>
      <c r="J437" s="35"/>
      <c r="K437" s="35"/>
      <c r="L437" s="39"/>
      <c r="M437" s="39"/>
      <c r="N437" s="39"/>
      <c r="O437" s="39"/>
      <c r="P437" s="39"/>
      <c r="Q437" s="39"/>
    </row>
    <row r="438" ht="22.5" customHeight="1">
      <c r="A438" s="33"/>
      <c r="B438" s="34"/>
      <c r="C438" s="34"/>
      <c r="D438" s="34"/>
      <c r="E438" s="34"/>
      <c r="F438" s="35"/>
      <c r="G438" s="36"/>
      <c r="H438" s="37"/>
      <c r="I438" s="38"/>
      <c r="J438" s="35"/>
      <c r="K438" s="35"/>
      <c r="L438" s="39"/>
      <c r="M438" s="39"/>
      <c r="N438" s="39"/>
      <c r="O438" s="39"/>
      <c r="P438" s="39"/>
      <c r="Q438" s="39"/>
    </row>
    <row r="439" ht="22.5" customHeight="1">
      <c r="A439" s="33"/>
      <c r="B439" s="34"/>
      <c r="C439" s="34"/>
      <c r="D439" s="34"/>
      <c r="E439" s="34"/>
      <c r="F439" s="35"/>
      <c r="G439" s="40"/>
      <c r="H439" s="41"/>
      <c r="I439" s="38"/>
      <c r="J439" s="35"/>
      <c r="K439" s="35"/>
      <c r="L439" s="39"/>
      <c r="M439" s="39"/>
      <c r="N439" s="39"/>
      <c r="O439" s="39"/>
      <c r="P439" s="39"/>
      <c r="Q439" s="39"/>
    </row>
    <row r="440" ht="22.5" customHeight="1">
      <c r="A440" s="33"/>
      <c r="B440" s="34"/>
      <c r="C440" s="34"/>
      <c r="D440" s="34"/>
      <c r="E440" s="34"/>
      <c r="F440" s="35"/>
      <c r="G440" s="36"/>
      <c r="H440" s="37"/>
      <c r="I440" s="38"/>
      <c r="J440" s="35"/>
      <c r="K440" s="35"/>
      <c r="L440" s="39"/>
      <c r="M440" s="39"/>
      <c r="N440" s="39"/>
      <c r="O440" s="39"/>
      <c r="P440" s="39"/>
      <c r="Q440" s="39"/>
    </row>
    <row r="441" ht="22.5" customHeight="1">
      <c r="A441" s="33"/>
      <c r="B441" s="34"/>
      <c r="C441" s="34"/>
      <c r="D441" s="34"/>
      <c r="E441" s="34"/>
      <c r="F441" s="35"/>
      <c r="G441" s="40"/>
      <c r="H441" s="41"/>
      <c r="I441" s="38"/>
      <c r="J441" s="35"/>
      <c r="K441" s="35"/>
      <c r="L441" s="39"/>
      <c r="M441" s="39"/>
      <c r="N441" s="39"/>
      <c r="O441" s="39"/>
      <c r="P441" s="39"/>
      <c r="Q441" s="39"/>
    </row>
    <row r="442" ht="22.5" customHeight="1">
      <c r="A442" s="33"/>
      <c r="B442" s="34"/>
      <c r="C442" s="34"/>
      <c r="D442" s="34"/>
      <c r="E442" s="34"/>
      <c r="F442" s="35"/>
      <c r="G442" s="36"/>
      <c r="H442" s="37"/>
      <c r="I442" s="38"/>
      <c r="J442" s="35"/>
      <c r="K442" s="35"/>
      <c r="L442" s="39"/>
      <c r="M442" s="39"/>
      <c r="N442" s="39"/>
      <c r="O442" s="39"/>
      <c r="P442" s="39"/>
      <c r="Q442" s="39"/>
    </row>
    <row r="443" ht="22.5" customHeight="1">
      <c r="A443" s="33"/>
      <c r="B443" s="34"/>
      <c r="C443" s="34"/>
      <c r="D443" s="34"/>
      <c r="E443" s="34"/>
      <c r="F443" s="35"/>
      <c r="G443" s="40"/>
      <c r="H443" s="41"/>
      <c r="I443" s="38"/>
      <c r="J443" s="35"/>
      <c r="K443" s="35"/>
      <c r="L443" s="39"/>
      <c r="M443" s="39"/>
      <c r="N443" s="39"/>
      <c r="O443" s="39"/>
      <c r="P443" s="39"/>
      <c r="Q443" s="39"/>
    </row>
    <row r="444" ht="22.5" customHeight="1">
      <c r="A444" s="33"/>
      <c r="B444" s="34"/>
      <c r="C444" s="34"/>
      <c r="D444" s="34"/>
      <c r="E444" s="34"/>
      <c r="F444" s="35"/>
      <c r="G444" s="36"/>
      <c r="H444" s="37"/>
      <c r="I444" s="38"/>
      <c r="J444" s="35"/>
      <c r="K444" s="35"/>
      <c r="L444" s="39"/>
      <c r="M444" s="39"/>
      <c r="N444" s="39"/>
      <c r="O444" s="39"/>
      <c r="P444" s="39"/>
      <c r="Q444" s="39"/>
    </row>
    <row r="445" ht="22.5" customHeight="1">
      <c r="A445" s="33"/>
      <c r="B445" s="34"/>
      <c r="C445" s="34"/>
      <c r="D445" s="34"/>
      <c r="E445" s="34"/>
      <c r="F445" s="35"/>
      <c r="G445" s="40"/>
      <c r="H445" s="41"/>
      <c r="I445" s="38"/>
      <c r="J445" s="35"/>
      <c r="K445" s="35"/>
      <c r="L445" s="39"/>
      <c r="M445" s="39"/>
      <c r="N445" s="39"/>
      <c r="O445" s="39"/>
      <c r="P445" s="39"/>
      <c r="Q445" s="39"/>
    </row>
    <row r="446" ht="22.5" customHeight="1">
      <c r="A446" s="33"/>
      <c r="B446" s="34"/>
      <c r="C446" s="34"/>
      <c r="D446" s="34"/>
      <c r="E446" s="34"/>
      <c r="F446" s="35"/>
      <c r="G446" s="36"/>
      <c r="H446" s="37"/>
      <c r="I446" s="38"/>
      <c r="J446" s="35"/>
      <c r="K446" s="35"/>
      <c r="L446" s="39"/>
      <c r="M446" s="39"/>
      <c r="N446" s="39"/>
      <c r="O446" s="39"/>
      <c r="P446" s="39"/>
      <c r="Q446" s="39"/>
    </row>
    <row r="447" ht="22.5" customHeight="1">
      <c r="A447" s="33"/>
      <c r="B447" s="34"/>
      <c r="C447" s="34"/>
      <c r="D447" s="34"/>
      <c r="E447" s="34"/>
      <c r="F447" s="35"/>
      <c r="G447" s="40"/>
      <c r="H447" s="41"/>
      <c r="I447" s="38"/>
      <c r="J447" s="35"/>
      <c r="K447" s="35"/>
      <c r="L447" s="39"/>
      <c r="M447" s="39"/>
      <c r="N447" s="39"/>
      <c r="O447" s="39"/>
      <c r="P447" s="39"/>
      <c r="Q447" s="39"/>
    </row>
    <row r="448" ht="22.5" customHeight="1">
      <c r="A448" s="33"/>
      <c r="B448" s="34"/>
      <c r="C448" s="34"/>
      <c r="D448" s="34"/>
      <c r="E448" s="34"/>
      <c r="F448" s="35"/>
      <c r="G448" s="36"/>
      <c r="H448" s="37"/>
      <c r="I448" s="38"/>
      <c r="J448" s="35"/>
      <c r="K448" s="35"/>
      <c r="L448" s="39"/>
      <c r="M448" s="39"/>
      <c r="N448" s="39"/>
      <c r="O448" s="39"/>
      <c r="P448" s="39"/>
      <c r="Q448" s="39"/>
    </row>
    <row r="449" ht="22.5" customHeight="1">
      <c r="A449" s="33"/>
      <c r="B449" s="34"/>
      <c r="C449" s="34"/>
      <c r="D449" s="34"/>
      <c r="E449" s="34"/>
      <c r="F449" s="35"/>
      <c r="G449" s="40"/>
      <c r="H449" s="41"/>
      <c r="I449" s="38"/>
      <c r="J449" s="35"/>
      <c r="K449" s="35"/>
      <c r="L449" s="39"/>
      <c r="M449" s="39"/>
      <c r="N449" s="39"/>
      <c r="O449" s="39"/>
      <c r="P449" s="39"/>
      <c r="Q449" s="39"/>
    </row>
    <row r="450" ht="22.5" customHeight="1">
      <c r="A450" s="33"/>
      <c r="B450" s="34"/>
      <c r="C450" s="34"/>
      <c r="D450" s="34"/>
      <c r="E450" s="34"/>
      <c r="F450" s="35"/>
      <c r="G450" s="36"/>
      <c r="H450" s="37"/>
      <c r="I450" s="38"/>
      <c r="J450" s="35"/>
      <c r="K450" s="35"/>
      <c r="L450" s="39"/>
      <c r="M450" s="39"/>
      <c r="N450" s="39"/>
      <c r="O450" s="39"/>
      <c r="P450" s="39"/>
      <c r="Q450" s="39"/>
    </row>
    <row r="451" ht="22.5" customHeight="1">
      <c r="A451" s="33"/>
      <c r="B451" s="34"/>
      <c r="C451" s="34"/>
      <c r="D451" s="34"/>
      <c r="E451" s="34"/>
      <c r="F451" s="35"/>
      <c r="G451" s="40"/>
      <c r="H451" s="41"/>
      <c r="I451" s="38"/>
      <c r="J451" s="35"/>
      <c r="K451" s="35"/>
      <c r="L451" s="39"/>
      <c r="M451" s="39"/>
      <c r="N451" s="39"/>
      <c r="O451" s="39"/>
      <c r="P451" s="39"/>
      <c r="Q451" s="39"/>
    </row>
    <row r="452" ht="22.5" customHeight="1">
      <c r="A452" s="33"/>
      <c r="B452" s="34"/>
      <c r="C452" s="34"/>
      <c r="D452" s="34"/>
      <c r="E452" s="34"/>
      <c r="F452" s="35"/>
      <c r="G452" s="36"/>
      <c r="H452" s="37"/>
      <c r="I452" s="38"/>
      <c r="J452" s="35"/>
      <c r="K452" s="35"/>
      <c r="L452" s="39"/>
      <c r="M452" s="39"/>
      <c r="N452" s="39"/>
      <c r="O452" s="39"/>
      <c r="P452" s="39"/>
      <c r="Q452" s="39"/>
    </row>
    <row r="453" ht="22.5" customHeight="1">
      <c r="A453" s="33"/>
      <c r="B453" s="34"/>
      <c r="C453" s="34"/>
      <c r="D453" s="34"/>
      <c r="E453" s="34"/>
      <c r="F453" s="35"/>
      <c r="G453" s="40"/>
      <c r="H453" s="41"/>
      <c r="I453" s="38"/>
      <c r="J453" s="35"/>
      <c r="K453" s="35"/>
      <c r="L453" s="39"/>
      <c r="M453" s="39"/>
      <c r="N453" s="39"/>
      <c r="O453" s="39"/>
      <c r="P453" s="39"/>
      <c r="Q453" s="39"/>
    </row>
    <row r="454" ht="22.5" customHeight="1">
      <c r="A454" s="33"/>
      <c r="B454" s="34"/>
      <c r="C454" s="34"/>
      <c r="D454" s="34"/>
      <c r="E454" s="34"/>
      <c r="F454" s="35"/>
      <c r="G454" s="36"/>
      <c r="H454" s="37"/>
      <c r="I454" s="38"/>
      <c r="J454" s="35"/>
      <c r="K454" s="35"/>
      <c r="L454" s="39"/>
      <c r="M454" s="39"/>
      <c r="N454" s="39"/>
      <c r="O454" s="39"/>
      <c r="P454" s="39"/>
      <c r="Q454" s="39"/>
    </row>
    <row r="455" ht="22.5" customHeight="1">
      <c r="A455" s="33"/>
      <c r="B455" s="34"/>
      <c r="C455" s="34"/>
      <c r="D455" s="34"/>
      <c r="E455" s="34"/>
      <c r="F455" s="35"/>
      <c r="G455" s="40"/>
      <c r="H455" s="41"/>
      <c r="I455" s="38"/>
      <c r="J455" s="35"/>
      <c r="K455" s="35"/>
      <c r="L455" s="39"/>
      <c r="M455" s="39"/>
      <c r="N455" s="39"/>
      <c r="O455" s="39"/>
      <c r="P455" s="39"/>
      <c r="Q455" s="39"/>
    </row>
    <row r="456" ht="22.5" customHeight="1">
      <c r="A456" s="33"/>
      <c r="B456" s="34"/>
      <c r="C456" s="34"/>
      <c r="D456" s="34"/>
      <c r="E456" s="34"/>
      <c r="F456" s="35"/>
      <c r="G456" s="36"/>
      <c r="H456" s="37"/>
      <c r="I456" s="38"/>
      <c r="J456" s="35"/>
      <c r="K456" s="35"/>
      <c r="L456" s="39"/>
      <c r="M456" s="39"/>
      <c r="N456" s="39"/>
      <c r="O456" s="39"/>
      <c r="P456" s="39"/>
      <c r="Q456" s="39"/>
    </row>
    <row r="457" ht="22.5" customHeight="1">
      <c r="A457" s="33"/>
      <c r="B457" s="34"/>
      <c r="C457" s="34"/>
      <c r="D457" s="34"/>
      <c r="E457" s="34"/>
      <c r="F457" s="35"/>
      <c r="G457" s="40"/>
      <c r="H457" s="41"/>
      <c r="I457" s="38"/>
      <c r="J457" s="35"/>
      <c r="K457" s="35"/>
      <c r="L457" s="39"/>
      <c r="M457" s="39"/>
      <c r="N457" s="39"/>
      <c r="O457" s="39"/>
      <c r="P457" s="39"/>
      <c r="Q457" s="39"/>
    </row>
    <row r="458" ht="22.5" customHeight="1">
      <c r="A458" s="33"/>
      <c r="B458" s="34"/>
      <c r="C458" s="34"/>
      <c r="D458" s="34"/>
      <c r="E458" s="34"/>
      <c r="F458" s="35"/>
      <c r="G458" s="36"/>
      <c r="H458" s="37"/>
      <c r="I458" s="38"/>
      <c r="J458" s="35"/>
      <c r="K458" s="35"/>
      <c r="L458" s="39"/>
      <c r="M458" s="39"/>
      <c r="N458" s="39"/>
      <c r="O458" s="39"/>
      <c r="P458" s="39"/>
      <c r="Q458" s="39"/>
    </row>
    <row r="459" ht="22.5" customHeight="1">
      <c r="A459" s="33"/>
      <c r="B459" s="34"/>
      <c r="C459" s="34"/>
      <c r="D459" s="34"/>
      <c r="E459" s="34"/>
      <c r="F459" s="35"/>
      <c r="G459" s="40"/>
      <c r="H459" s="41"/>
      <c r="I459" s="38"/>
      <c r="J459" s="35"/>
      <c r="K459" s="35"/>
      <c r="L459" s="39"/>
      <c r="M459" s="39"/>
      <c r="N459" s="39"/>
      <c r="O459" s="39"/>
      <c r="P459" s="39"/>
      <c r="Q459" s="39"/>
    </row>
    <row r="460" ht="22.5" customHeight="1">
      <c r="A460" s="33"/>
      <c r="B460" s="34"/>
      <c r="C460" s="34"/>
      <c r="D460" s="34"/>
      <c r="E460" s="34"/>
      <c r="F460" s="35"/>
      <c r="G460" s="36"/>
      <c r="H460" s="37"/>
      <c r="I460" s="38"/>
      <c r="J460" s="35"/>
      <c r="K460" s="35"/>
      <c r="L460" s="39"/>
      <c r="M460" s="39"/>
      <c r="N460" s="39"/>
      <c r="O460" s="39"/>
      <c r="P460" s="39"/>
      <c r="Q460" s="39"/>
    </row>
    <row r="461" ht="22.5" customHeight="1">
      <c r="A461" s="33"/>
      <c r="B461" s="34"/>
      <c r="C461" s="34"/>
      <c r="D461" s="34"/>
      <c r="E461" s="34"/>
      <c r="F461" s="35"/>
      <c r="G461" s="40"/>
      <c r="H461" s="41"/>
      <c r="I461" s="38"/>
      <c r="J461" s="35"/>
      <c r="K461" s="35"/>
      <c r="L461" s="39"/>
      <c r="M461" s="39"/>
      <c r="N461" s="39"/>
      <c r="O461" s="39"/>
      <c r="P461" s="39"/>
      <c r="Q461" s="39"/>
    </row>
    <row r="462" ht="22.5" customHeight="1">
      <c r="A462" s="33"/>
      <c r="B462" s="34"/>
      <c r="C462" s="34"/>
      <c r="D462" s="34"/>
      <c r="E462" s="34"/>
      <c r="F462" s="35"/>
      <c r="G462" s="36"/>
      <c r="H462" s="37"/>
      <c r="I462" s="38"/>
      <c r="J462" s="35"/>
      <c r="K462" s="35"/>
      <c r="L462" s="39"/>
      <c r="M462" s="39"/>
      <c r="N462" s="39"/>
      <c r="O462" s="39"/>
      <c r="P462" s="39"/>
      <c r="Q462" s="39"/>
    </row>
    <row r="463" ht="22.5" customHeight="1">
      <c r="A463" s="33"/>
      <c r="B463" s="34"/>
      <c r="C463" s="34"/>
      <c r="D463" s="34"/>
      <c r="E463" s="34"/>
      <c r="F463" s="35"/>
      <c r="G463" s="40"/>
      <c r="H463" s="41"/>
      <c r="I463" s="38"/>
      <c r="J463" s="35"/>
      <c r="K463" s="35"/>
      <c r="L463" s="39"/>
      <c r="M463" s="39"/>
      <c r="N463" s="39"/>
      <c r="O463" s="39"/>
      <c r="P463" s="39"/>
      <c r="Q463" s="39"/>
    </row>
    <row r="464" ht="22.5" customHeight="1">
      <c r="A464" s="33"/>
      <c r="B464" s="34"/>
      <c r="C464" s="34"/>
      <c r="D464" s="34"/>
      <c r="E464" s="34"/>
      <c r="F464" s="35"/>
      <c r="G464" s="36"/>
      <c r="H464" s="37"/>
      <c r="I464" s="38"/>
      <c r="J464" s="35"/>
      <c r="K464" s="35"/>
      <c r="L464" s="39"/>
      <c r="M464" s="39"/>
      <c r="N464" s="39"/>
      <c r="O464" s="39"/>
      <c r="P464" s="39"/>
      <c r="Q464" s="39"/>
    </row>
    <row r="465" ht="22.5" customHeight="1">
      <c r="A465" s="33"/>
      <c r="B465" s="34"/>
      <c r="C465" s="34"/>
      <c r="D465" s="34"/>
      <c r="E465" s="34"/>
      <c r="F465" s="35"/>
      <c r="G465" s="40"/>
      <c r="H465" s="41"/>
      <c r="I465" s="38"/>
      <c r="J465" s="35"/>
      <c r="K465" s="35"/>
      <c r="L465" s="39"/>
      <c r="M465" s="39"/>
      <c r="N465" s="39"/>
      <c r="O465" s="39"/>
      <c r="P465" s="39"/>
      <c r="Q465" s="39"/>
    </row>
    <row r="466" ht="22.5" customHeight="1">
      <c r="A466" s="33"/>
      <c r="B466" s="34"/>
      <c r="C466" s="34"/>
      <c r="D466" s="34"/>
      <c r="E466" s="34"/>
      <c r="F466" s="35"/>
      <c r="G466" s="36"/>
      <c r="H466" s="37"/>
      <c r="I466" s="38"/>
      <c r="J466" s="35"/>
      <c r="K466" s="35"/>
      <c r="L466" s="39"/>
      <c r="M466" s="39"/>
      <c r="N466" s="39"/>
      <c r="O466" s="39"/>
      <c r="P466" s="39"/>
      <c r="Q466" s="39"/>
    </row>
    <row r="467" ht="22.5" customHeight="1">
      <c r="A467" s="33"/>
      <c r="B467" s="34"/>
      <c r="C467" s="34"/>
      <c r="D467" s="34"/>
      <c r="E467" s="34"/>
      <c r="F467" s="35"/>
      <c r="G467" s="40"/>
      <c r="H467" s="41"/>
      <c r="I467" s="38"/>
      <c r="J467" s="35"/>
      <c r="K467" s="35"/>
      <c r="L467" s="39"/>
      <c r="M467" s="39"/>
      <c r="N467" s="39"/>
      <c r="O467" s="39"/>
      <c r="P467" s="39"/>
      <c r="Q467" s="39"/>
    </row>
    <row r="468" ht="22.5" customHeight="1">
      <c r="A468" s="33"/>
      <c r="B468" s="34"/>
      <c r="C468" s="34"/>
      <c r="D468" s="34"/>
      <c r="E468" s="34"/>
      <c r="F468" s="35"/>
      <c r="G468" s="36"/>
      <c r="H468" s="37"/>
      <c r="I468" s="38"/>
      <c r="J468" s="35"/>
      <c r="K468" s="35"/>
      <c r="L468" s="39"/>
      <c r="M468" s="39"/>
      <c r="N468" s="39"/>
      <c r="O468" s="39"/>
      <c r="P468" s="39"/>
      <c r="Q468" s="39"/>
    </row>
    <row r="469" ht="22.5" customHeight="1">
      <c r="A469" s="33"/>
      <c r="B469" s="34"/>
      <c r="C469" s="34"/>
      <c r="D469" s="34"/>
      <c r="E469" s="34"/>
      <c r="F469" s="35"/>
      <c r="G469" s="40"/>
      <c r="H469" s="41"/>
      <c r="I469" s="38"/>
      <c r="J469" s="35"/>
      <c r="K469" s="35"/>
      <c r="L469" s="39"/>
      <c r="M469" s="39"/>
      <c r="N469" s="39"/>
      <c r="O469" s="39"/>
      <c r="P469" s="39"/>
      <c r="Q469" s="39"/>
    </row>
    <row r="470" ht="22.5" customHeight="1">
      <c r="A470" s="33"/>
      <c r="B470" s="34"/>
      <c r="C470" s="34"/>
      <c r="D470" s="34"/>
      <c r="E470" s="34"/>
      <c r="F470" s="35"/>
      <c r="G470" s="36"/>
      <c r="H470" s="37"/>
      <c r="I470" s="38"/>
      <c r="J470" s="35"/>
      <c r="K470" s="35"/>
      <c r="L470" s="39"/>
      <c r="M470" s="39"/>
      <c r="N470" s="39"/>
      <c r="O470" s="39"/>
      <c r="P470" s="39"/>
      <c r="Q470" s="39"/>
    </row>
    <row r="471" ht="22.5" customHeight="1">
      <c r="A471" s="33"/>
      <c r="B471" s="34"/>
      <c r="C471" s="34"/>
      <c r="D471" s="34"/>
      <c r="E471" s="34"/>
      <c r="F471" s="35"/>
      <c r="G471" s="40"/>
      <c r="H471" s="41"/>
      <c r="I471" s="38"/>
      <c r="J471" s="35"/>
      <c r="K471" s="35"/>
      <c r="L471" s="39"/>
      <c r="M471" s="39"/>
      <c r="N471" s="39"/>
      <c r="O471" s="39"/>
      <c r="P471" s="39"/>
      <c r="Q471" s="39"/>
    </row>
    <row r="472" ht="22.5" customHeight="1">
      <c r="A472" s="33"/>
      <c r="B472" s="34"/>
      <c r="C472" s="34"/>
      <c r="D472" s="34"/>
      <c r="E472" s="34"/>
      <c r="F472" s="35"/>
      <c r="G472" s="36"/>
      <c r="H472" s="37"/>
      <c r="I472" s="38"/>
      <c r="J472" s="35"/>
      <c r="K472" s="35"/>
      <c r="L472" s="39"/>
      <c r="M472" s="39"/>
      <c r="N472" s="39"/>
      <c r="O472" s="39"/>
      <c r="P472" s="39"/>
      <c r="Q472" s="39"/>
    </row>
    <row r="473" ht="22.5" customHeight="1">
      <c r="A473" s="33"/>
      <c r="B473" s="34"/>
      <c r="C473" s="34"/>
      <c r="D473" s="34"/>
      <c r="E473" s="34"/>
      <c r="F473" s="35"/>
      <c r="G473" s="40"/>
      <c r="H473" s="41"/>
      <c r="I473" s="38"/>
      <c r="J473" s="35"/>
      <c r="K473" s="35"/>
      <c r="L473" s="39"/>
      <c r="M473" s="39"/>
      <c r="N473" s="39"/>
      <c r="O473" s="39"/>
      <c r="P473" s="39"/>
      <c r="Q473" s="39"/>
    </row>
    <row r="474" ht="22.5" customHeight="1">
      <c r="A474" s="33"/>
      <c r="B474" s="34"/>
      <c r="C474" s="34"/>
      <c r="D474" s="34"/>
      <c r="E474" s="34"/>
      <c r="F474" s="35"/>
      <c r="G474" s="36"/>
      <c r="H474" s="37"/>
      <c r="I474" s="38"/>
      <c r="J474" s="35"/>
      <c r="K474" s="35"/>
      <c r="L474" s="39"/>
      <c r="M474" s="39"/>
      <c r="N474" s="39"/>
      <c r="O474" s="39"/>
      <c r="P474" s="39"/>
      <c r="Q474" s="39"/>
    </row>
    <row r="475" ht="22.5" customHeight="1">
      <c r="A475" s="33"/>
      <c r="B475" s="34"/>
      <c r="C475" s="34"/>
      <c r="D475" s="34"/>
      <c r="E475" s="34"/>
      <c r="F475" s="35"/>
      <c r="G475" s="40"/>
      <c r="H475" s="41"/>
      <c r="I475" s="38"/>
      <c r="J475" s="35"/>
      <c r="K475" s="35"/>
      <c r="L475" s="39"/>
      <c r="M475" s="39"/>
      <c r="N475" s="39"/>
      <c r="O475" s="39"/>
      <c r="P475" s="39"/>
      <c r="Q475" s="39"/>
    </row>
    <row r="476" ht="22.5" customHeight="1">
      <c r="A476" s="33"/>
      <c r="B476" s="34"/>
      <c r="C476" s="34"/>
      <c r="D476" s="34"/>
      <c r="E476" s="34"/>
      <c r="F476" s="35"/>
      <c r="G476" s="36"/>
      <c r="H476" s="37"/>
      <c r="I476" s="38"/>
      <c r="J476" s="35"/>
      <c r="K476" s="35"/>
      <c r="L476" s="39"/>
      <c r="M476" s="39"/>
      <c r="N476" s="39"/>
      <c r="O476" s="39"/>
      <c r="P476" s="39"/>
      <c r="Q476" s="39"/>
    </row>
    <row r="477" ht="22.5" customHeight="1">
      <c r="A477" s="33"/>
      <c r="B477" s="34"/>
      <c r="C477" s="34"/>
      <c r="D477" s="34"/>
      <c r="E477" s="34"/>
      <c r="F477" s="35"/>
      <c r="G477" s="40"/>
      <c r="H477" s="41"/>
      <c r="I477" s="38"/>
      <c r="J477" s="35"/>
      <c r="K477" s="35"/>
      <c r="L477" s="39"/>
      <c r="M477" s="39"/>
      <c r="N477" s="39"/>
      <c r="O477" s="39"/>
      <c r="P477" s="39"/>
      <c r="Q477" s="39"/>
    </row>
    <row r="478" ht="22.5" customHeight="1">
      <c r="A478" s="33"/>
      <c r="B478" s="34"/>
      <c r="C478" s="34"/>
      <c r="D478" s="34"/>
      <c r="E478" s="34"/>
      <c r="F478" s="35"/>
      <c r="G478" s="36"/>
      <c r="H478" s="37"/>
      <c r="I478" s="38"/>
      <c r="J478" s="35"/>
      <c r="K478" s="35"/>
      <c r="L478" s="39"/>
      <c r="M478" s="39"/>
      <c r="N478" s="39"/>
      <c r="O478" s="39"/>
      <c r="P478" s="39"/>
      <c r="Q478" s="39"/>
    </row>
    <row r="479" ht="22.5" customHeight="1">
      <c r="A479" s="33"/>
      <c r="B479" s="34"/>
      <c r="C479" s="34"/>
      <c r="D479" s="34"/>
      <c r="E479" s="34"/>
      <c r="F479" s="35"/>
      <c r="G479" s="40"/>
      <c r="H479" s="41"/>
      <c r="I479" s="38"/>
      <c r="J479" s="35"/>
      <c r="K479" s="35"/>
      <c r="L479" s="39"/>
      <c r="M479" s="39"/>
      <c r="N479" s="39"/>
      <c r="O479" s="39"/>
      <c r="P479" s="39"/>
      <c r="Q479" s="39"/>
    </row>
    <row r="480" ht="22.5" customHeight="1">
      <c r="A480" s="33"/>
      <c r="B480" s="34"/>
      <c r="C480" s="34"/>
      <c r="D480" s="34"/>
      <c r="E480" s="34"/>
      <c r="F480" s="35"/>
      <c r="G480" s="36"/>
      <c r="H480" s="37"/>
      <c r="I480" s="38"/>
      <c r="J480" s="35"/>
      <c r="K480" s="35"/>
      <c r="L480" s="39"/>
      <c r="M480" s="39"/>
      <c r="N480" s="39"/>
      <c r="O480" s="39"/>
      <c r="P480" s="39"/>
      <c r="Q480" s="39"/>
    </row>
    <row r="481" ht="22.5" customHeight="1">
      <c r="A481" s="33"/>
      <c r="B481" s="34"/>
      <c r="C481" s="34"/>
      <c r="D481" s="34"/>
      <c r="E481" s="34"/>
      <c r="F481" s="35"/>
      <c r="G481" s="40"/>
      <c r="H481" s="41"/>
      <c r="I481" s="38"/>
      <c r="J481" s="35"/>
      <c r="K481" s="35"/>
      <c r="L481" s="39"/>
      <c r="M481" s="39"/>
      <c r="N481" s="39"/>
      <c r="O481" s="39"/>
      <c r="P481" s="39"/>
      <c r="Q481" s="39"/>
    </row>
    <row r="482" ht="22.5" customHeight="1">
      <c r="A482" s="33"/>
      <c r="B482" s="34"/>
      <c r="C482" s="34"/>
      <c r="D482" s="34"/>
      <c r="E482" s="34"/>
      <c r="F482" s="35"/>
      <c r="G482" s="36"/>
      <c r="H482" s="37"/>
      <c r="I482" s="38"/>
      <c r="J482" s="35"/>
      <c r="K482" s="35"/>
      <c r="L482" s="39"/>
      <c r="M482" s="39"/>
      <c r="N482" s="39"/>
      <c r="O482" s="39"/>
      <c r="P482" s="39"/>
      <c r="Q482" s="39"/>
    </row>
    <row r="483" ht="22.5" customHeight="1">
      <c r="A483" s="33"/>
      <c r="B483" s="34"/>
      <c r="C483" s="34"/>
      <c r="D483" s="34"/>
      <c r="E483" s="34"/>
      <c r="F483" s="35"/>
      <c r="G483" s="40"/>
      <c r="H483" s="41"/>
      <c r="I483" s="38"/>
      <c r="J483" s="35"/>
      <c r="K483" s="35"/>
      <c r="L483" s="39"/>
      <c r="M483" s="39"/>
      <c r="N483" s="39"/>
      <c r="O483" s="39"/>
      <c r="P483" s="39"/>
      <c r="Q483" s="39"/>
    </row>
    <row r="484" ht="22.5" customHeight="1">
      <c r="A484" s="33"/>
      <c r="B484" s="34"/>
      <c r="C484" s="34"/>
      <c r="D484" s="34"/>
      <c r="E484" s="34"/>
      <c r="F484" s="35"/>
      <c r="G484" s="36"/>
      <c r="H484" s="37"/>
      <c r="I484" s="38"/>
      <c r="J484" s="35"/>
      <c r="K484" s="35"/>
      <c r="L484" s="39"/>
      <c r="M484" s="39"/>
      <c r="N484" s="39"/>
      <c r="O484" s="39"/>
      <c r="P484" s="39"/>
      <c r="Q484" s="39"/>
    </row>
    <row r="485" ht="22.5" customHeight="1">
      <c r="A485" s="33"/>
      <c r="B485" s="34"/>
      <c r="C485" s="34"/>
      <c r="D485" s="34"/>
      <c r="E485" s="34"/>
      <c r="F485" s="35"/>
      <c r="G485" s="40"/>
      <c r="H485" s="41"/>
      <c r="I485" s="38"/>
      <c r="J485" s="35"/>
      <c r="K485" s="35"/>
      <c r="L485" s="39"/>
      <c r="M485" s="39"/>
      <c r="N485" s="39"/>
      <c r="O485" s="39"/>
      <c r="P485" s="39"/>
      <c r="Q485" s="39"/>
    </row>
    <row r="486" ht="22.5" customHeight="1">
      <c r="A486" s="33"/>
      <c r="B486" s="34"/>
      <c r="C486" s="34"/>
      <c r="D486" s="34"/>
      <c r="E486" s="34"/>
      <c r="F486" s="35"/>
      <c r="G486" s="36"/>
      <c r="H486" s="37"/>
      <c r="I486" s="38"/>
      <c r="J486" s="35"/>
      <c r="K486" s="35"/>
      <c r="L486" s="39"/>
      <c r="M486" s="39"/>
      <c r="N486" s="39"/>
      <c r="O486" s="39"/>
      <c r="P486" s="39"/>
      <c r="Q486" s="39"/>
    </row>
    <row r="487" ht="22.5" customHeight="1">
      <c r="A487" s="33"/>
      <c r="B487" s="34"/>
      <c r="C487" s="34"/>
      <c r="D487" s="34"/>
      <c r="E487" s="34"/>
      <c r="F487" s="35"/>
      <c r="G487" s="40"/>
      <c r="H487" s="41"/>
      <c r="I487" s="38"/>
      <c r="J487" s="35"/>
      <c r="K487" s="35"/>
      <c r="L487" s="39"/>
      <c r="M487" s="39"/>
      <c r="N487" s="39"/>
      <c r="O487" s="39"/>
      <c r="P487" s="39"/>
      <c r="Q487" s="39"/>
    </row>
    <row r="488" ht="22.5" customHeight="1">
      <c r="A488" s="33"/>
      <c r="B488" s="34"/>
      <c r="C488" s="34"/>
      <c r="D488" s="34"/>
      <c r="E488" s="34"/>
      <c r="F488" s="35"/>
      <c r="G488" s="36"/>
      <c r="H488" s="37"/>
      <c r="I488" s="38"/>
      <c r="J488" s="35"/>
      <c r="K488" s="35"/>
      <c r="L488" s="39"/>
      <c r="M488" s="39"/>
      <c r="N488" s="39"/>
      <c r="O488" s="39"/>
      <c r="P488" s="39"/>
      <c r="Q488" s="39"/>
    </row>
    <row r="489" ht="22.5" customHeight="1">
      <c r="A489" s="33"/>
      <c r="B489" s="34"/>
      <c r="C489" s="34"/>
      <c r="D489" s="34"/>
      <c r="E489" s="34"/>
      <c r="F489" s="35"/>
      <c r="G489" s="40"/>
      <c r="H489" s="41"/>
      <c r="I489" s="38"/>
      <c r="J489" s="35"/>
      <c r="K489" s="35"/>
      <c r="L489" s="39"/>
      <c r="M489" s="39"/>
      <c r="N489" s="39"/>
      <c r="O489" s="39"/>
      <c r="P489" s="39"/>
      <c r="Q489" s="39"/>
    </row>
    <row r="490" ht="22.5" customHeight="1">
      <c r="A490" s="33"/>
      <c r="B490" s="34"/>
      <c r="C490" s="34"/>
      <c r="D490" s="34"/>
      <c r="E490" s="34"/>
      <c r="F490" s="35"/>
      <c r="G490" s="36"/>
      <c r="H490" s="37"/>
      <c r="I490" s="38"/>
      <c r="J490" s="35"/>
      <c r="K490" s="35"/>
      <c r="L490" s="39"/>
      <c r="M490" s="39"/>
      <c r="N490" s="39"/>
      <c r="O490" s="39"/>
      <c r="P490" s="39"/>
      <c r="Q490" s="39"/>
    </row>
    <row r="491" ht="22.5" customHeight="1">
      <c r="A491" s="33"/>
      <c r="B491" s="34"/>
      <c r="C491" s="34"/>
      <c r="D491" s="34"/>
      <c r="E491" s="34"/>
      <c r="F491" s="35"/>
      <c r="G491" s="40"/>
      <c r="H491" s="41"/>
      <c r="I491" s="38"/>
      <c r="J491" s="35"/>
      <c r="K491" s="35"/>
      <c r="L491" s="39"/>
      <c r="M491" s="39"/>
      <c r="N491" s="39"/>
      <c r="O491" s="39"/>
      <c r="P491" s="39"/>
      <c r="Q491" s="39"/>
    </row>
    <row r="492" ht="22.5" customHeight="1">
      <c r="A492" s="33"/>
      <c r="B492" s="34"/>
      <c r="C492" s="34"/>
      <c r="D492" s="34"/>
      <c r="E492" s="34"/>
      <c r="F492" s="35"/>
      <c r="G492" s="36"/>
      <c r="H492" s="37"/>
      <c r="I492" s="38"/>
      <c r="J492" s="35"/>
      <c r="K492" s="35"/>
      <c r="L492" s="39"/>
      <c r="M492" s="39"/>
      <c r="N492" s="39"/>
      <c r="O492" s="39"/>
      <c r="P492" s="39"/>
      <c r="Q492" s="39"/>
    </row>
    <row r="493" ht="22.5" customHeight="1">
      <c r="A493" s="33"/>
      <c r="B493" s="34"/>
      <c r="C493" s="34"/>
      <c r="D493" s="34"/>
      <c r="E493" s="34"/>
      <c r="F493" s="35"/>
      <c r="G493" s="40"/>
      <c r="H493" s="41"/>
      <c r="I493" s="38"/>
      <c r="J493" s="35"/>
      <c r="K493" s="35"/>
      <c r="L493" s="39"/>
      <c r="M493" s="39"/>
      <c r="N493" s="39"/>
      <c r="O493" s="39"/>
      <c r="P493" s="39"/>
      <c r="Q493" s="39"/>
    </row>
    <row r="494" ht="22.5" customHeight="1">
      <c r="A494" s="33"/>
      <c r="B494" s="34"/>
      <c r="C494" s="34"/>
      <c r="D494" s="34"/>
      <c r="E494" s="34"/>
      <c r="F494" s="35"/>
      <c r="G494" s="36"/>
      <c r="H494" s="37"/>
      <c r="I494" s="38"/>
      <c r="J494" s="35"/>
      <c r="K494" s="35"/>
      <c r="L494" s="39"/>
      <c r="M494" s="39"/>
      <c r="N494" s="39"/>
      <c r="O494" s="39"/>
      <c r="P494" s="39"/>
      <c r="Q494" s="39"/>
    </row>
    <row r="495" ht="22.5" customHeight="1">
      <c r="A495" s="33"/>
      <c r="B495" s="34"/>
      <c r="C495" s="34"/>
      <c r="D495" s="34"/>
      <c r="E495" s="34"/>
      <c r="F495" s="35"/>
      <c r="G495" s="40"/>
      <c r="H495" s="41"/>
      <c r="I495" s="38"/>
      <c r="J495" s="35"/>
      <c r="K495" s="35"/>
      <c r="L495" s="39"/>
      <c r="M495" s="39"/>
      <c r="N495" s="39"/>
      <c r="O495" s="39"/>
      <c r="P495" s="39"/>
      <c r="Q495" s="39"/>
    </row>
    <row r="496" ht="22.5" customHeight="1">
      <c r="A496" s="33"/>
      <c r="B496" s="34"/>
      <c r="C496" s="34"/>
      <c r="D496" s="34"/>
      <c r="E496" s="34"/>
      <c r="F496" s="35"/>
      <c r="G496" s="36"/>
      <c r="H496" s="37"/>
      <c r="I496" s="38"/>
      <c r="J496" s="35"/>
      <c r="K496" s="35"/>
      <c r="L496" s="39"/>
      <c r="M496" s="39"/>
      <c r="N496" s="39"/>
      <c r="O496" s="39"/>
      <c r="P496" s="39"/>
      <c r="Q496" s="39"/>
    </row>
    <row r="497" ht="22.5" customHeight="1">
      <c r="A497" s="33"/>
      <c r="B497" s="34"/>
      <c r="C497" s="34"/>
      <c r="D497" s="34"/>
      <c r="E497" s="34"/>
      <c r="F497" s="35"/>
      <c r="G497" s="40"/>
      <c r="H497" s="41"/>
      <c r="I497" s="38"/>
      <c r="J497" s="35"/>
      <c r="K497" s="35"/>
      <c r="L497" s="39"/>
      <c r="M497" s="39"/>
      <c r="N497" s="39"/>
      <c r="O497" s="39"/>
      <c r="P497" s="39"/>
      <c r="Q497" s="39"/>
    </row>
    <row r="498" ht="22.5" customHeight="1">
      <c r="A498" s="33"/>
      <c r="B498" s="34"/>
      <c r="C498" s="34"/>
      <c r="D498" s="34"/>
      <c r="E498" s="34"/>
      <c r="F498" s="35"/>
      <c r="G498" s="36"/>
      <c r="H498" s="37"/>
      <c r="I498" s="38"/>
      <c r="J498" s="35"/>
      <c r="K498" s="35"/>
      <c r="L498" s="39"/>
      <c r="M498" s="39"/>
      <c r="N498" s="39"/>
      <c r="O498" s="39"/>
      <c r="P498" s="39"/>
      <c r="Q498" s="39"/>
    </row>
    <row r="499" ht="22.5" customHeight="1">
      <c r="A499" s="33"/>
      <c r="B499" s="34"/>
      <c r="C499" s="34"/>
      <c r="D499" s="34"/>
      <c r="E499" s="34"/>
      <c r="F499" s="35"/>
      <c r="G499" s="40"/>
      <c r="H499" s="41"/>
      <c r="I499" s="38"/>
      <c r="J499" s="35"/>
      <c r="K499" s="35"/>
      <c r="L499" s="39"/>
      <c r="M499" s="39"/>
      <c r="N499" s="39"/>
      <c r="O499" s="39"/>
      <c r="P499" s="39"/>
      <c r="Q499" s="39"/>
    </row>
    <row r="500" ht="22.5" customHeight="1">
      <c r="A500" s="33"/>
      <c r="B500" s="34"/>
      <c r="C500" s="34"/>
      <c r="D500" s="34"/>
      <c r="E500" s="34"/>
      <c r="F500" s="35"/>
      <c r="G500" s="36"/>
      <c r="H500" s="37"/>
      <c r="I500" s="38"/>
      <c r="J500" s="35"/>
      <c r="K500" s="35"/>
      <c r="L500" s="39"/>
      <c r="M500" s="39"/>
      <c r="N500" s="39"/>
      <c r="O500" s="39"/>
      <c r="P500" s="39"/>
      <c r="Q500" s="39"/>
    </row>
    <row r="501" ht="22.5" customHeight="1">
      <c r="A501" s="33"/>
      <c r="B501" s="34"/>
      <c r="C501" s="34"/>
      <c r="D501" s="34"/>
      <c r="E501" s="34"/>
      <c r="F501" s="35"/>
      <c r="G501" s="40"/>
      <c r="H501" s="41"/>
      <c r="I501" s="38"/>
      <c r="J501" s="35"/>
      <c r="K501" s="35"/>
      <c r="L501" s="39"/>
      <c r="M501" s="39"/>
      <c r="N501" s="39"/>
      <c r="O501" s="39"/>
      <c r="P501" s="39"/>
      <c r="Q501" s="39"/>
    </row>
    <row r="502" ht="22.5" customHeight="1">
      <c r="A502" s="33"/>
      <c r="B502" s="34"/>
      <c r="C502" s="34"/>
      <c r="D502" s="34"/>
      <c r="E502" s="34"/>
      <c r="F502" s="35"/>
      <c r="G502" s="36"/>
      <c r="H502" s="37"/>
      <c r="I502" s="38"/>
      <c r="J502" s="35"/>
      <c r="K502" s="35"/>
      <c r="L502" s="39"/>
      <c r="M502" s="39"/>
      <c r="N502" s="39"/>
      <c r="O502" s="39"/>
      <c r="P502" s="39"/>
      <c r="Q502" s="39"/>
    </row>
    <row r="503" ht="22.5" customHeight="1">
      <c r="A503" s="33"/>
      <c r="B503" s="34"/>
      <c r="C503" s="34"/>
      <c r="D503" s="34"/>
      <c r="E503" s="34"/>
      <c r="F503" s="35"/>
      <c r="G503" s="40"/>
      <c r="H503" s="41"/>
      <c r="I503" s="38"/>
      <c r="J503" s="35"/>
      <c r="K503" s="35"/>
      <c r="L503" s="39"/>
      <c r="M503" s="39"/>
      <c r="N503" s="39"/>
      <c r="O503" s="39"/>
      <c r="P503" s="39"/>
      <c r="Q503" s="39"/>
    </row>
    <row r="504" ht="22.5" customHeight="1">
      <c r="A504" s="33"/>
      <c r="B504" s="34"/>
      <c r="C504" s="34"/>
      <c r="D504" s="34"/>
      <c r="E504" s="34"/>
      <c r="F504" s="35"/>
      <c r="G504" s="36"/>
      <c r="H504" s="37"/>
      <c r="I504" s="38"/>
      <c r="J504" s="35"/>
      <c r="K504" s="35"/>
      <c r="L504" s="39"/>
      <c r="M504" s="39"/>
      <c r="N504" s="39"/>
      <c r="O504" s="39"/>
      <c r="P504" s="39"/>
      <c r="Q504" s="39"/>
    </row>
    <row r="505" ht="22.5" customHeight="1">
      <c r="A505" s="33"/>
      <c r="B505" s="34"/>
      <c r="C505" s="34"/>
      <c r="D505" s="34"/>
      <c r="E505" s="34"/>
      <c r="F505" s="35"/>
      <c r="G505" s="40"/>
      <c r="H505" s="41"/>
      <c r="I505" s="38"/>
      <c r="J505" s="35"/>
      <c r="K505" s="35"/>
      <c r="L505" s="39"/>
      <c r="M505" s="39"/>
      <c r="N505" s="39"/>
      <c r="O505" s="39"/>
      <c r="P505" s="39"/>
      <c r="Q505" s="39"/>
    </row>
    <row r="506" ht="22.5" customHeight="1">
      <c r="A506" s="33"/>
      <c r="B506" s="34"/>
      <c r="C506" s="34"/>
      <c r="D506" s="34"/>
      <c r="E506" s="34"/>
      <c r="F506" s="35"/>
      <c r="G506" s="36"/>
      <c r="H506" s="37"/>
      <c r="I506" s="38"/>
      <c r="J506" s="35"/>
      <c r="K506" s="35"/>
      <c r="L506" s="39"/>
      <c r="M506" s="39"/>
      <c r="N506" s="39"/>
      <c r="O506" s="39"/>
      <c r="P506" s="39"/>
      <c r="Q506" s="39"/>
    </row>
    <row r="507" ht="22.5" customHeight="1">
      <c r="A507" s="33"/>
      <c r="B507" s="34"/>
      <c r="C507" s="34"/>
      <c r="D507" s="34"/>
      <c r="E507" s="34"/>
      <c r="F507" s="35"/>
      <c r="G507" s="40"/>
      <c r="H507" s="41"/>
      <c r="I507" s="38"/>
      <c r="J507" s="35"/>
      <c r="K507" s="35"/>
      <c r="L507" s="39"/>
      <c r="M507" s="39"/>
      <c r="N507" s="39"/>
      <c r="O507" s="39"/>
      <c r="P507" s="39"/>
      <c r="Q507" s="39"/>
    </row>
    <row r="508" ht="22.5" customHeight="1">
      <c r="A508" s="33"/>
      <c r="B508" s="34"/>
      <c r="C508" s="34"/>
      <c r="D508" s="34"/>
      <c r="E508" s="34"/>
      <c r="F508" s="35"/>
      <c r="G508" s="36"/>
      <c r="H508" s="37"/>
      <c r="I508" s="38"/>
      <c r="J508" s="35"/>
      <c r="K508" s="35"/>
      <c r="L508" s="39"/>
      <c r="M508" s="39"/>
      <c r="N508" s="39"/>
      <c r="O508" s="39"/>
      <c r="P508" s="39"/>
      <c r="Q508" s="39"/>
    </row>
    <row r="509" ht="22.5" customHeight="1">
      <c r="A509" s="33"/>
      <c r="B509" s="34"/>
      <c r="C509" s="34"/>
      <c r="D509" s="34"/>
      <c r="E509" s="34"/>
      <c r="F509" s="35"/>
      <c r="G509" s="40"/>
      <c r="H509" s="41"/>
      <c r="I509" s="38"/>
      <c r="J509" s="35"/>
      <c r="K509" s="35"/>
      <c r="L509" s="39"/>
      <c r="M509" s="39"/>
      <c r="N509" s="39"/>
      <c r="O509" s="39"/>
      <c r="P509" s="39"/>
      <c r="Q509" s="39"/>
    </row>
    <row r="510" ht="22.5" customHeight="1">
      <c r="A510" s="33"/>
      <c r="B510" s="34"/>
      <c r="C510" s="34"/>
      <c r="D510" s="34"/>
      <c r="E510" s="34"/>
      <c r="F510" s="35"/>
      <c r="G510" s="36"/>
      <c r="H510" s="37"/>
      <c r="I510" s="38"/>
      <c r="J510" s="35"/>
      <c r="K510" s="35"/>
      <c r="L510" s="39"/>
      <c r="M510" s="39"/>
      <c r="N510" s="39"/>
      <c r="O510" s="39"/>
      <c r="P510" s="39"/>
      <c r="Q510" s="39"/>
    </row>
    <row r="511" ht="22.5" customHeight="1">
      <c r="A511" s="33"/>
      <c r="B511" s="34"/>
      <c r="C511" s="34"/>
      <c r="D511" s="34"/>
      <c r="E511" s="34"/>
      <c r="F511" s="35"/>
      <c r="G511" s="40"/>
      <c r="H511" s="41"/>
      <c r="I511" s="38"/>
      <c r="J511" s="35"/>
      <c r="K511" s="35"/>
      <c r="L511" s="39"/>
      <c r="M511" s="39"/>
      <c r="N511" s="39"/>
      <c r="O511" s="39"/>
      <c r="P511" s="39"/>
      <c r="Q511" s="39"/>
    </row>
    <row r="512" ht="22.5" customHeight="1">
      <c r="A512" s="33"/>
      <c r="B512" s="34"/>
      <c r="C512" s="34"/>
      <c r="D512" s="34"/>
      <c r="E512" s="34"/>
      <c r="F512" s="35"/>
      <c r="G512" s="36"/>
      <c r="H512" s="37"/>
      <c r="I512" s="38"/>
      <c r="J512" s="35"/>
      <c r="K512" s="35"/>
      <c r="L512" s="39"/>
      <c r="M512" s="39"/>
      <c r="N512" s="39"/>
      <c r="O512" s="39"/>
      <c r="P512" s="39"/>
      <c r="Q512" s="39"/>
    </row>
    <row r="513" ht="22.5" customHeight="1">
      <c r="A513" s="33"/>
      <c r="B513" s="34"/>
      <c r="C513" s="34"/>
      <c r="D513" s="34"/>
      <c r="E513" s="34"/>
      <c r="F513" s="35"/>
      <c r="G513" s="40"/>
      <c r="H513" s="41"/>
      <c r="I513" s="38"/>
      <c r="J513" s="35"/>
      <c r="K513" s="35"/>
      <c r="L513" s="39"/>
      <c r="M513" s="39"/>
      <c r="N513" s="39"/>
      <c r="O513" s="39"/>
      <c r="P513" s="39"/>
      <c r="Q513" s="39"/>
    </row>
    <row r="514" ht="22.5" customHeight="1">
      <c r="A514" s="33"/>
      <c r="B514" s="34"/>
      <c r="C514" s="34"/>
      <c r="D514" s="34"/>
      <c r="E514" s="34"/>
      <c r="F514" s="35"/>
      <c r="G514" s="36"/>
      <c r="H514" s="37"/>
      <c r="I514" s="38"/>
      <c r="J514" s="35"/>
      <c r="K514" s="35"/>
      <c r="L514" s="39"/>
      <c r="M514" s="39"/>
      <c r="N514" s="39"/>
      <c r="O514" s="39"/>
      <c r="P514" s="39"/>
      <c r="Q514" s="39"/>
    </row>
    <row r="515" ht="22.5" customHeight="1">
      <c r="A515" s="33"/>
      <c r="B515" s="34"/>
      <c r="C515" s="34"/>
      <c r="D515" s="34"/>
      <c r="E515" s="34"/>
      <c r="F515" s="35"/>
      <c r="G515" s="40"/>
      <c r="H515" s="41"/>
      <c r="I515" s="38"/>
      <c r="J515" s="35"/>
      <c r="K515" s="35"/>
      <c r="L515" s="39"/>
      <c r="M515" s="39"/>
      <c r="N515" s="39"/>
      <c r="O515" s="39"/>
      <c r="P515" s="39"/>
      <c r="Q515" s="39"/>
    </row>
    <row r="516" ht="22.5" customHeight="1">
      <c r="A516" s="33"/>
      <c r="B516" s="34"/>
      <c r="C516" s="34"/>
      <c r="D516" s="34"/>
      <c r="E516" s="34"/>
      <c r="F516" s="35"/>
      <c r="G516" s="36"/>
      <c r="H516" s="37"/>
      <c r="I516" s="38"/>
      <c r="J516" s="35"/>
      <c r="K516" s="35"/>
      <c r="L516" s="39"/>
      <c r="M516" s="39"/>
      <c r="N516" s="39"/>
      <c r="O516" s="39"/>
      <c r="P516" s="39"/>
      <c r="Q516" s="39"/>
    </row>
    <row r="517" ht="22.5" customHeight="1">
      <c r="A517" s="33"/>
      <c r="B517" s="34"/>
      <c r="C517" s="34"/>
      <c r="D517" s="34"/>
      <c r="E517" s="34"/>
      <c r="F517" s="35"/>
      <c r="G517" s="40"/>
      <c r="H517" s="41"/>
      <c r="I517" s="38"/>
      <c r="J517" s="35"/>
      <c r="K517" s="35"/>
      <c r="L517" s="39"/>
      <c r="M517" s="39"/>
      <c r="N517" s="39"/>
      <c r="O517" s="39"/>
      <c r="P517" s="39"/>
      <c r="Q517" s="39"/>
    </row>
    <row r="518" ht="22.5" customHeight="1">
      <c r="A518" s="33"/>
      <c r="B518" s="34"/>
      <c r="C518" s="34"/>
      <c r="D518" s="34"/>
      <c r="E518" s="34"/>
      <c r="F518" s="35"/>
      <c r="G518" s="36"/>
      <c r="H518" s="37"/>
      <c r="I518" s="38"/>
      <c r="J518" s="35"/>
      <c r="K518" s="35"/>
      <c r="L518" s="39"/>
      <c r="M518" s="39"/>
      <c r="N518" s="39"/>
      <c r="O518" s="39"/>
      <c r="P518" s="39"/>
      <c r="Q518" s="39"/>
    </row>
    <row r="519" ht="22.5" customHeight="1">
      <c r="A519" s="33"/>
      <c r="B519" s="34"/>
      <c r="C519" s="34"/>
      <c r="D519" s="34"/>
      <c r="E519" s="34"/>
      <c r="F519" s="35"/>
      <c r="G519" s="40"/>
      <c r="H519" s="41"/>
      <c r="I519" s="38"/>
      <c r="J519" s="35"/>
      <c r="K519" s="35"/>
      <c r="L519" s="39"/>
      <c r="M519" s="39"/>
      <c r="N519" s="39"/>
      <c r="O519" s="39"/>
      <c r="P519" s="39"/>
      <c r="Q519" s="39"/>
    </row>
    <row r="520" ht="22.5" customHeight="1">
      <c r="A520" s="33"/>
      <c r="B520" s="34"/>
      <c r="C520" s="34"/>
      <c r="D520" s="34"/>
      <c r="E520" s="34"/>
      <c r="F520" s="35"/>
      <c r="G520" s="36"/>
      <c r="H520" s="37"/>
      <c r="I520" s="38"/>
      <c r="J520" s="35"/>
      <c r="K520" s="35"/>
      <c r="L520" s="39"/>
      <c r="M520" s="39"/>
      <c r="N520" s="39"/>
      <c r="O520" s="39"/>
      <c r="P520" s="39"/>
      <c r="Q520" s="39"/>
    </row>
    <row r="521" ht="22.5" customHeight="1">
      <c r="A521" s="33"/>
      <c r="B521" s="34"/>
      <c r="C521" s="34"/>
      <c r="D521" s="34"/>
      <c r="E521" s="34"/>
      <c r="F521" s="35"/>
      <c r="G521" s="40"/>
      <c r="H521" s="41"/>
      <c r="I521" s="38"/>
      <c r="J521" s="35"/>
      <c r="K521" s="35"/>
      <c r="L521" s="39"/>
      <c r="M521" s="39"/>
      <c r="N521" s="39"/>
      <c r="O521" s="39"/>
      <c r="P521" s="39"/>
      <c r="Q521" s="39"/>
    </row>
    <row r="522" ht="22.5" customHeight="1">
      <c r="A522" s="33"/>
      <c r="B522" s="34"/>
      <c r="C522" s="34"/>
      <c r="D522" s="34"/>
      <c r="E522" s="34"/>
      <c r="F522" s="35"/>
      <c r="G522" s="36"/>
      <c r="H522" s="37"/>
      <c r="I522" s="38"/>
      <c r="J522" s="35"/>
      <c r="K522" s="35"/>
      <c r="L522" s="39"/>
      <c r="M522" s="39"/>
      <c r="N522" s="39"/>
      <c r="O522" s="39"/>
      <c r="P522" s="39"/>
      <c r="Q522" s="39"/>
    </row>
    <row r="523" ht="22.5" customHeight="1">
      <c r="A523" s="33"/>
      <c r="B523" s="34"/>
      <c r="C523" s="34"/>
      <c r="D523" s="34"/>
      <c r="E523" s="34"/>
      <c r="F523" s="35"/>
      <c r="G523" s="40"/>
      <c r="H523" s="41"/>
      <c r="I523" s="38"/>
      <c r="J523" s="35"/>
      <c r="K523" s="35"/>
      <c r="L523" s="39"/>
      <c r="M523" s="39"/>
      <c r="N523" s="39"/>
      <c r="O523" s="39"/>
      <c r="P523" s="39"/>
      <c r="Q523" s="39"/>
    </row>
    <row r="524" ht="22.5" customHeight="1">
      <c r="A524" s="33"/>
      <c r="B524" s="34"/>
      <c r="C524" s="34"/>
      <c r="D524" s="34"/>
      <c r="E524" s="34"/>
      <c r="F524" s="35"/>
      <c r="G524" s="36"/>
      <c r="H524" s="37"/>
      <c r="I524" s="38"/>
      <c r="J524" s="35"/>
      <c r="K524" s="35"/>
      <c r="L524" s="39"/>
      <c r="M524" s="39"/>
      <c r="N524" s="39"/>
      <c r="O524" s="39"/>
      <c r="P524" s="39"/>
      <c r="Q524" s="39"/>
    </row>
    <row r="525" ht="22.5" customHeight="1">
      <c r="A525" s="33"/>
      <c r="B525" s="34"/>
      <c r="C525" s="34"/>
      <c r="D525" s="34"/>
      <c r="E525" s="34"/>
      <c r="F525" s="35"/>
      <c r="G525" s="40"/>
      <c r="H525" s="41"/>
      <c r="I525" s="38"/>
      <c r="J525" s="35"/>
      <c r="K525" s="35"/>
      <c r="L525" s="39"/>
      <c r="M525" s="39"/>
      <c r="N525" s="39"/>
      <c r="O525" s="39"/>
      <c r="P525" s="39"/>
      <c r="Q525" s="39"/>
    </row>
    <row r="526" ht="22.5" customHeight="1">
      <c r="A526" s="33"/>
      <c r="B526" s="34"/>
      <c r="C526" s="34"/>
      <c r="D526" s="34"/>
      <c r="E526" s="34"/>
      <c r="F526" s="35"/>
      <c r="G526" s="36"/>
      <c r="H526" s="37"/>
      <c r="I526" s="38"/>
      <c r="J526" s="35"/>
      <c r="K526" s="35"/>
      <c r="L526" s="39"/>
      <c r="M526" s="39"/>
      <c r="N526" s="39"/>
      <c r="O526" s="39"/>
      <c r="P526" s="39"/>
      <c r="Q526" s="39"/>
    </row>
    <row r="527" ht="22.5" customHeight="1">
      <c r="A527" s="33"/>
      <c r="B527" s="34"/>
      <c r="C527" s="34"/>
      <c r="D527" s="34"/>
      <c r="E527" s="34"/>
      <c r="F527" s="35"/>
      <c r="G527" s="40"/>
      <c r="H527" s="41"/>
      <c r="I527" s="38"/>
      <c r="J527" s="35"/>
      <c r="K527" s="35"/>
      <c r="L527" s="39"/>
      <c r="M527" s="39"/>
      <c r="N527" s="39"/>
      <c r="O527" s="39"/>
      <c r="P527" s="39"/>
      <c r="Q527" s="39"/>
    </row>
    <row r="528" ht="22.5" customHeight="1">
      <c r="A528" s="33"/>
      <c r="B528" s="34"/>
      <c r="C528" s="34"/>
      <c r="D528" s="34"/>
      <c r="E528" s="34"/>
      <c r="F528" s="35"/>
      <c r="G528" s="36"/>
      <c r="H528" s="37"/>
      <c r="I528" s="38"/>
      <c r="J528" s="35"/>
      <c r="K528" s="35"/>
      <c r="L528" s="39"/>
      <c r="M528" s="39"/>
      <c r="N528" s="39"/>
      <c r="O528" s="39"/>
      <c r="P528" s="39"/>
      <c r="Q528" s="39"/>
    </row>
    <row r="529" ht="22.5" customHeight="1">
      <c r="A529" s="33"/>
      <c r="B529" s="34"/>
      <c r="C529" s="34"/>
      <c r="D529" s="34"/>
      <c r="E529" s="34"/>
      <c r="F529" s="35"/>
      <c r="G529" s="40"/>
      <c r="H529" s="41"/>
      <c r="I529" s="38"/>
      <c r="J529" s="35"/>
      <c r="K529" s="35"/>
      <c r="L529" s="39"/>
      <c r="M529" s="39"/>
      <c r="N529" s="39"/>
      <c r="O529" s="39"/>
      <c r="P529" s="39"/>
      <c r="Q529" s="39"/>
    </row>
    <row r="530" ht="22.5" customHeight="1">
      <c r="A530" s="33"/>
      <c r="B530" s="34"/>
      <c r="C530" s="34"/>
      <c r="D530" s="34"/>
      <c r="E530" s="34"/>
      <c r="F530" s="35"/>
      <c r="G530" s="36"/>
      <c r="H530" s="37"/>
      <c r="I530" s="38"/>
      <c r="J530" s="35"/>
      <c r="K530" s="35"/>
      <c r="L530" s="39"/>
      <c r="M530" s="39"/>
      <c r="N530" s="39"/>
      <c r="O530" s="39"/>
      <c r="P530" s="39"/>
      <c r="Q530" s="39"/>
    </row>
    <row r="531" ht="22.5" customHeight="1">
      <c r="A531" s="33"/>
      <c r="B531" s="34"/>
      <c r="C531" s="34"/>
      <c r="D531" s="34"/>
      <c r="E531" s="34"/>
      <c r="F531" s="35"/>
      <c r="G531" s="40"/>
      <c r="H531" s="41"/>
      <c r="I531" s="38"/>
      <c r="J531" s="35"/>
      <c r="K531" s="35"/>
      <c r="L531" s="39"/>
      <c r="M531" s="39"/>
      <c r="N531" s="39"/>
      <c r="O531" s="39"/>
      <c r="P531" s="39"/>
      <c r="Q531" s="39"/>
    </row>
    <row r="532" ht="22.5" customHeight="1">
      <c r="A532" s="33"/>
      <c r="B532" s="34"/>
      <c r="C532" s="34"/>
      <c r="D532" s="34"/>
      <c r="E532" s="34"/>
      <c r="F532" s="35"/>
      <c r="G532" s="36"/>
      <c r="H532" s="37"/>
      <c r="I532" s="38"/>
      <c r="J532" s="35"/>
      <c r="K532" s="35"/>
      <c r="L532" s="39"/>
      <c r="M532" s="39"/>
      <c r="N532" s="39"/>
      <c r="O532" s="39"/>
      <c r="P532" s="39"/>
      <c r="Q532" s="39"/>
    </row>
    <row r="533" ht="22.5" customHeight="1">
      <c r="A533" s="33"/>
      <c r="B533" s="34"/>
      <c r="C533" s="34"/>
      <c r="D533" s="34"/>
      <c r="E533" s="34"/>
      <c r="F533" s="35"/>
      <c r="G533" s="40"/>
      <c r="H533" s="41"/>
      <c r="I533" s="38"/>
      <c r="J533" s="35"/>
      <c r="K533" s="35"/>
      <c r="L533" s="39"/>
      <c r="M533" s="39"/>
      <c r="N533" s="39"/>
      <c r="O533" s="39"/>
      <c r="P533" s="39"/>
      <c r="Q533" s="39"/>
    </row>
    <row r="534" ht="22.5" customHeight="1">
      <c r="A534" s="33"/>
      <c r="B534" s="34"/>
      <c r="C534" s="34"/>
      <c r="D534" s="34"/>
      <c r="E534" s="34"/>
      <c r="F534" s="35"/>
      <c r="G534" s="36"/>
      <c r="H534" s="37"/>
      <c r="I534" s="38"/>
      <c r="J534" s="35"/>
      <c r="K534" s="35"/>
      <c r="L534" s="39"/>
      <c r="M534" s="39"/>
      <c r="N534" s="39"/>
      <c r="O534" s="39"/>
      <c r="P534" s="39"/>
      <c r="Q534" s="39"/>
    </row>
    <row r="535" ht="22.5" customHeight="1">
      <c r="A535" s="33"/>
      <c r="B535" s="34"/>
      <c r="C535" s="34"/>
      <c r="D535" s="34"/>
      <c r="E535" s="34"/>
      <c r="F535" s="35"/>
      <c r="G535" s="40"/>
      <c r="H535" s="41"/>
      <c r="I535" s="38"/>
      <c r="J535" s="35"/>
      <c r="K535" s="35"/>
      <c r="L535" s="39"/>
      <c r="M535" s="39"/>
      <c r="N535" s="39"/>
      <c r="O535" s="39"/>
      <c r="P535" s="39"/>
      <c r="Q535" s="39"/>
    </row>
    <row r="536" ht="22.5" customHeight="1">
      <c r="A536" s="33"/>
      <c r="B536" s="34"/>
      <c r="C536" s="34"/>
      <c r="D536" s="34"/>
      <c r="E536" s="34"/>
      <c r="F536" s="35"/>
      <c r="G536" s="36"/>
      <c r="H536" s="37"/>
      <c r="I536" s="38"/>
      <c r="J536" s="35"/>
      <c r="K536" s="35"/>
      <c r="L536" s="39"/>
      <c r="M536" s="39"/>
      <c r="N536" s="39"/>
      <c r="O536" s="39"/>
      <c r="P536" s="39"/>
      <c r="Q536" s="39"/>
    </row>
    <row r="537" ht="22.5" customHeight="1">
      <c r="A537" s="33"/>
      <c r="B537" s="34"/>
      <c r="C537" s="34"/>
      <c r="D537" s="34"/>
      <c r="E537" s="34"/>
      <c r="F537" s="35"/>
      <c r="G537" s="40"/>
      <c r="H537" s="41"/>
      <c r="I537" s="38"/>
      <c r="J537" s="35"/>
      <c r="K537" s="35"/>
      <c r="L537" s="39"/>
      <c r="M537" s="39"/>
      <c r="N537" s="39"/>
      <c r="O537" s="39"/>
      <c r="P537" s="39"/>
      <c r="Q537" s="39"/>
    </row>
    <row r="538" ht="22.5" customHeight="1">
      <c r="A538" s="33"/>
      <c r="B538" s="34"/>
      <c r="C538" s="34"/>
      <c r="D538" s="34"/>
      <c r="E538" s="34"/>
      <c r="F538" s="35"/>
      <c r="G538" s="36"/>
      <c r="H538" s="37"/>
      <c r="I538" s="38"/>
      <c r="J538" s="35"/>
      <c r="K538" s="35"/>
      <c r="L538" s="39"/>
      <c r="M538" s="39"/>
      <c r="N538" s="39"/>
      <c r="O538" s="39"/>
      <c r="P538" s="39"/>
      <c r="Q538" s="39"/>
    </row>
    <row r="539" ht="22.5" customHeight="1">
      <c r="A539" s="33"/>
      <c r="B539" s="34"/>
      <c r="C539" s="34"/>
      <c r="D539" s="34"/>
      <c r="E539" s="34"/>
      <c r="F539" s="35"/>
      <c r="G539" s="40"/>
      <c r="H539" s="41"/>
      <c r="I539" s="38"/>
      <c r="J539" s="35"/>
      <c r="K539" s="35"/>
      <c r="L539" s="39"/>
      <c r="M539" s="39"/>
      <c r="N539" s="39"/>
      <c r="O539" s="39"/>
      <c r="P539" s="39"/>
      <c r="Q539" s="39"/>
    </row>
    <row r="540" ht="22.5" customHeight="1">
      <c r="A540" s="33"/>
      <c r="B540" s="34"/>
      <c r="C540" s="34"/>
      <c r="D540" s="34"/>
      <c r="E540" s="34"/>
      <c r="F540" s="35"/>
      <c r="G540" s="36"/>
      <c r="H540" s="37"/>
      <c r="I540" s="38"/>
      <c r="J540" s="35"/>
      <c r="K540" s="35"/>
      <c r="L540" s="39"/>
      <c r="M540" s="39"/>
      <c r="N540" s="39"/>
      <c r="O540" s="39"/>
      <c r="P540" s="39"/>
      <c r="Q540" s="39"/>
    </row>
    <row r="541" ht="22.5" customHeight="1">
      <c r="A541" s="33"/>
      <c r="B541" s="34"/>
      <c r="C541" s="34"/>
      <c r="D541" s="34"/>
      <c r="E541" s="34"/>
      <c r="F541" s="35"/>
      <c r="G541" s="40"/>
      <c r="H541" s="41"/>
      <c r="I541" s="38"/>
      <c r="J541" s="35"/>
      <c r="K541" s="35"/>
      <c r="L541" s="39"/>
      <c r="M541" s="39"/>
      <c r="N541" s="39"/>
      <c r="O541" s="39"/>
      <c r="P541" s="39"/>
      <c r="Q541" s="39"/>
    </row>
    <row r="542" ht="22.5" customHeight="1">
      <c r="A542" s="33"/>
      <c r="B542" s="34"/>
      <c r="C542" s="34"/>
      <c r="D542" s="34"/>
      <c r="E542" s="34"/>
      <c r="F542" s="35"/>
      <c r="G542" s="36"/>
      <c r="H542" s="37"/>
      <c r="I542" s="38"/>
      <c r="J542" s="35"/>
      <c r="K542" s="35"/>
      <c r="L542" s="39"/>
      <c r="M542" s="39"/>
      <c r="N542" s="39"/>
      <c r="O542" s="39"/>
      <c r="P542" s="39"/>
      <c r="Q542" s="39"/>
    </row>
    <row r="543" ht="22.5" customHeight="1">
      <c r="A543" s="33"/>
      <c r="B543" s="34"/>
      <c r="C543" s="34"/>
      <c r="D543" s="34"/>
      <c r="E543" s="34"/>
      <c r="F543" s="35"/>
      <c r="G543" s="40"/>
      <c r="H543" s="41"/>
      <c r="I543" s="38"/>
      <c r="J543" s="35"/>
      <c r="K543" s="35"/>
      <c r="L543" s="39"/>
      <c r="M543" s="39"/>
      <c r="N543" s="39"/>
      <c r="O543" s="39"/>
      <c r="P543" s="39"/>
      <c r="Q543" s="39"/>
    </row>
    <row r="544" ht="22.5" customHeight="1">
      <c r="A544" s="33"/>
      <c r="B544" s="34"/>
      <c r="C544" s="34"/>
      <c r="D544" s="34"/>
      <c r="E544" s="34"/>
      <c r="F544" s="35"/>
      <c r="G544" s="36"/>
      <c r="H544" s="37"/>
      <c r="I544" s="38"/>
      <c r="J544" s="35"/>
      <c r="K544" s="35"/>
      <c r="L544" s="39"/>
      <c r="M544" s="39"/>
      <c r="N544" s="39"/>
      <c r="O544" s="39"/>
      <c r="P544" s="39"/>
      <c r="Q544" s="39"/>
    </row>
    <row r="545" ht="22.5" customHeight="1">
      <c r="A545" s="33"/>
      <c r="B545" s="34"/>
      <c r="C545" s="34"/>
      <c r="D545" s="34"/>
      <c r="E545" s="34"/>
      <c r="F545" s="35"/>
      <c r="G545" s="40"/>
      <c r="H545" s="41"/>
      <c r="I545" s="38"/>
      <c r="J545" s="35"/>
      <c r="K545" s="35"/>
      <c r="L545" s="39"/>
      <c r="M545" s="39"/>
      <c r="N545" s="39"/>
      <c r="O545" s="39"/>
      <c r="P545" s="39"/>
      <c r="Q545" s="39"/>
    </row>
    <row r="546" ht="22.5" customHeight="1">
      <c r="A546" s="33"/>
      <c r="B546" s="34"/>
      <c r="C546" s="34"/>
      <c r="D546" s="34"/>
      <c r="E546" s="34"/>
      <c r="F546" s="35"/>
      <c r="G546" s="36"/>
      <c r="H546" s="37"/>
      <c r="I546" s="38"/>
      <c r="J546" s="35"/>
      <c r="K546" s="35"/>
      <c r="L546" s="39"/>
      <c r="M546" s="39"/>
      <c r="N546" s="39"/>
      <c r="O546" s="39"/>
      <c r="P546" s="39"/>
      <c r="Q546" s="39"/>
    </row>
    <row r="547" ht="22.5" customHeight="1">
      <c r="A547" s="33"/>
      <c r="B547" s="34"/>
      <c r="C547" s="34"/>
      <c r="D547" s="34"/>
      <c r="E547" s="34"/>
      <c r="F547" s="35"/>
      <c r="G547" s="40"/>
      <c r="H547" s="41"/>
      <c r="I547" s="38"/>
      <c r="J547" s="35"/>
      <c r="K547" s="35"/>
      <c r="L547" s="39"/>
      <c r="M547" s="39"/>
      <c r="N547" s="39"/>
      <c r="O547" s="39"/>
      <c r="P547" s="39"/>
      <c r="Q547" s="39"/>
    </row>
    <row r="548" ht="22.5" customHeight="1">
      <c r="A548" s="33"/>
      <c r="B548" s="34"/>
      <c r="C548" s="34"/>
      <c r="D548" s="34"/>
      <c r="E548" s="34"/>
      <c r="F548" s="35"/>
      <c r="G548" s="36"/>
      <c r="H548" s="37"/>
      <c r="I548" s="38"/>
      <c r="J548" s="35"/>
      <c r="K548" s="35"/>
      <c r="L548" s="39"/>
      <c r="M548" s="39"/>
      <c r="N548" s="39"/>
      <c r="O548" s="39"/>
      <c r="P548" s="39"/>
      <c r="Q548" s="39"/>
    </row>
    <row r="549" ht="22.5" customHeight="1">
      <c r="A549" s="33"/>
      <c r="B549" s="34"/>
      <c r="C549" s="34"/>
      <c r="D549" s="34"/>
      <c r="E549" s="34"/>
      <c r="F549" s="35"/>
      <c r="G549" s="40"/>
      <c r="H549" s="41"/>
      <c r="I549" s="38"/>
      <c r="J549" s="35"/>
      <c r="K549" s="35"/>
      <c r="L549" s="39"/>
      <c r="M549" s="39"/>
      <c r="N549" s="39"/>
      <c r="O549" s="39"/>
      <c r="P549" s="39"/>
      <c r="Q549" s="39"/>
    </row>
    <row r="550" ht="22.5" customHeight="1">
      <c r="A550" s="33"/>
      <c r="B550" s="34"/>
      <c r="C550" s="34"/>
      <c r="D550" s="34"/>
      <c r="E550" s="34"/>
      <c r="F550" s="35"/>
      <c r="G550" s="36"/>
      <c r="H550" s="37"/>
      <c r="I550" s="38"/>
      <c r="J550" s="35"/>
      <c r="K550" s="35"/>
      <c r="L550" s="39"/>
      <c r="M550" s="39"/>
      <c r="N550" s="39"/>
      <c r="O550" s="39"/>
      <c r="P550" s="39"/>
      <c r="Q550" s="39"/>
    </row>
    <row r="551" ht="22.5" customHeight="1">
      <c r="A551" s="33"/>
      <c r="B551" s="34"/>
      <c r="C551" s="34"/>
      <c r="D551" s="34"/>
      <c r="E551" s="34"/>
      <c r="F551" s="35"/>
      <c r="G551" s="40"/>
      <c r="H551" s="41"/>
      <c r="I551" s="38"/>
      <c r="J551" s="35"/>
      <c r="K551" s="35"/>
      <c r="L551" s="39"/>
      <c r="M551" s="39"/>
      <c r="N551" s="39"/>
      <c r="O551" s="39"/>
      <c r="P551" s="39"/>
      <c r="Q551" s="39"/>
    </row>
    <row r="552" ht="22.5" customHeight="1">
      <c r="A552" s="33"/>
      <c r="B552" s="34"/>
      <c r="C552" s="34"/>
      <c r="D552" s="34"/>
      <c r="E552" s="34"/>
      <c r="F552" s="35"/>
      <c r="G552" s="36"/>
      <c r="H552" s="37"/>
      <c r="I552" s="38"/>
      <c r="J552" s="35"/>
      <c r="K552" s="35"/>
      <c r="L552" s="39"/>
      <c r="M552" s="39"/>
      <c r="N552" s="39"/>
      <c r="O552" s="39"/>
      <c r="P552" s="39"/>
      <c r="Q552" s="39"/>
    </row>
    <row r="553" ht="22.5" customHeight="1">
      <c r="A553" s="33"/>
      <c r="B553" s="34"/>
      <c r="C553" s="34"/>
      <c r="D553" s="34"/>
      <c r="E553" s="34"/>
      <c r="F553" s="35"/>
      <c r="G553" s="40"/>
      <c r="H553" s="41"/>
      <c r="I553" s="38"/>
      <c r="J553" s="35"/>
      <c r="K553" s="35"/>
      <c r="L553" s="39"/>
      <c r="M553" s="39"/>
      <c r="N553" s="39"/>
      <c r="O553" s="39"/>
      <c r="P553" s="39"/>
      <c r="Q553" s="39"/>
    </row>
    <row r="554" ht="22.5" customHeight="1">
      <c r="A554" s="33"/>
      <c r="B554" s="34"/>
      <c r="C554" s="34"/>
      <c r="D554" s="34"/>
      <c r="E554" s="34"/>
      <c r="F554" s="35"/>
      <c r="G554" s="36"/>
      <c r="H554" s="37"/>
      <c r="I554" s="38"/>
      <c r="J554" s="35"/>
      <c r="K554" s="35"/>
      <c r="L554" s="39"/>
      <c r="M554" s="39"/>
      <c r="N554" s="39"/>
      <c r="O554" s="39"/>
      <c r="P554" s="39"/>
      <c r="Q554" s="39"/>
    </row>
    <row r="555" ht="22.5" customHeight="1">
      <c r="A555" s="33"/>
      <c r="B555" s="34"/>
      <c r="C555" s="34"/>
      <c r="D555" s="34"/>
      <c r="E555" s="34"/>
      <c r="F555" s="35"/>
      <c r="G555" s="40"/>
      <c r="H555" s="41"/>
      <c r="I555" s="38"/>
      <c r="J555" s="35"/>
      <c r="K555" s="35"/>
      <c r="L555" s="39"/>
      <c r="M555" s="39"/>
      <c r="N555" s="39"/>
      <c r="O555" s="39"/>
      <c r="P555" s="39"/>
      <c r="Q555" s="39"/>
    </row>
    <row r="556" ht="22.5" customHeight="1">
      <c r="A556" s="33"/>
      <c r="B556" s="34"/>
      <c r="C556" s="34"/>
      <c r="D556" s="34"/>
      <c r="E556" s="34"/>
      <c r="F556" s="35"/>
      <c r="G556" s="36"/>
      <c r="H556" s="37"/>
      <c r="I556" s="38"/>
      <c r="J556" s="35"/>
      <c r="K556" s="35"/>
      <c r="L556" s="39"/>
      <c r="M556" s="39"/>
      <c r="N556" s="39"/>
      <c r="O556" s="39"/>
      <c r="P556" s="39"/>
      <c r="Q556" s="39"/>
    </row>
    <row r="557" ht="22.5" customHeight="1">
      <c r="A557" s="33"/>
      <c r="B557" s="34"/>
      <c r="C557" s="34"/>
      <c r="D557" s="34"/>
      <c r="E557" s="34"/>
      <c r="F557" s="35"/>
      <c r="G557" s="40"/>
      <c r="H557" s="41"/>
      <c r="I557" s="38"/>
      <c r="J557" s="35"/>
      <c r="K557" s="35"/>
      <c r="L557" s="39"/>
      <c r="M557" s="39"/>
      <c r="N557" s="39"/>
      <c r="O557" s="39"/>
      <c r="P557" s="39"/>
      <c r="Q557" s="39"/>
    </row>
    <row r="558" ht="22.5" customHeight="1">
      <c r="A558" s="33"/>
      <c r="B558" s="34"/>
      <c r="C558" s="34"/>
      <c r="D558" s="34"/>
      <c r="E558" s="34"/>
      <c r="F558" s="35"/>
      <c r="G558" s="36"/>
      <c r="H558" s="37"/>
      <c r="I558" s="38"/>
      <c r="J558" s="35"/>
      <c r="K558" s="35"/>
      <c r="L558" s="39"/>
      <c r="M558" s="39"/>
      <c r="N558" s="39"/>
      <c r="O558" s="39"/>
      <c r="P558" s="39"/>
      <c r="Q558" s="39"/>
    </row>
    <row r="559" ht="22.5" customHeight="1">
      <c r="A559" s="33"/>
      <c r="B559" s="34"/>
      <c r="C559" s="34"/>
      <c r="D559" s="34"/>
      <c r="E559" s="34"/>
      <c r="F559" s="35"/>
      <c r="G559" s="40"/>
      <c r="H559" s="41"/>
      <c r="I559" s="38"/>
      <c r="J559" s="35"/>
      <c r="K559" s="35"/>
      <c r="L559" s="39"/>
      <c r="M559" s="39"/>
      <c r="N559" s="39"/>
      <c r="O559" s="39"/>
      <c r="P559" s="39"/>
      <c r="Q559" s="39"/>
    </row>
    <row r="560" ht="22.5" customHeight="1">
      <c r="A560" s="33"/>
      <c r="B560" s="34"/>
      <c r="C560" s="34"/>
      <c r="D560" s="34"/>
      <c r="E560" s="34"/>
      <c r="F560" s="35"/>
      <c r="G560" s="36"/>
      <c r="H560" s="37"/>
      <c r="I560" s="38"/>
      <c r="J560" s="35"/>
      <c r="K560" s="35"/>
      <c r="L560" s="39"/>
      <c r="M560" s="39"/>
      <c r="N560" s="39"/>
      <c r="O560" s="39"/>
      <c r="P560" s="39"/>
      <c r="Q560" s="39"/>
    </row>
    <row r="561" ht="22.5" customHeight="1">
      <c r="A561" s="33"/>
      <c r="B561" s="34"/>
      <c r="C561" s="34"/>
      <c r="D561" s="34"/>
      <c r="E561" s="34"/>
      <c r="F561" s="35"/>
      <c r="G561" s="40"/>
      <c r="H561" s="41"/>
      <c r="I561" s="38"/>
      <c r="J561" s="35"/>
      <c r="K561" s="35"/>
      <c r="L561" s="39"/>
      <c r="M561" s="39"/>
      <c r="N561" s="39"/>
      <c r="O561" s="39"/>
      <c r="P561" s="39"/>
      <c r="Q561" s="39"/>
    </row>
    <row r="562" ht="22.5" customHeight="1">
      <c r="A562" s="33"/>
      <c r="B562" s="34"/>
      <c r="C562" s="34"/>
      <c r="D562" s="34"/>
      <c r="E562" s="34"/>
      <c r="F562" s="35"/>
      <c r="G562" s="36"/>
      <c r="H562" s="37"/>
      <c r="I562" s="38"/>
      <c r="J562" s="35"/>
      <c r="K562" s="35"/>
      <c r="L562" s="39"/>
      <c r="M562" s="39"/>
      <c r="N562" s="39"/>
      <c r="O562" s="39"/>
      <c r="P562" s="39"/>
      <c r="Q562" s="39"/>
    </row>
    <row r="563" ht="22.5" customHeight="1">
      <c r="A563" s="33"/>
      <c r="B563" s="34"/>
      <c r="C563" s="34"/>
      <c r="D563" s="34"/>
      <c r="E563" s="34"/>
      <c r="F563" s="35"/>
      <c r="G563" s="40"/>
      <c r="H563" s="41"/>
      <c r="I563" s="38"/>
      <c r="J563" s="35"/>
      <c r="K563" s="35"/>
      <c r="L563" s="39"/>
      <c r="M563" s="39"/>
      <c r="N563" s="39"/>
      <c r="O563" s="39"/>
      <c r="P563" s="39"/>
      <c r="Q563" s="39"/>
    </row>
    <row r="564" ht="22.5" customHeight="1">
      <c r="A564" s="33"/>
      <c r="B564" s="34"/>
      <c r="C564" s="34"/>
      <c r="D564" s="34"/>
      <c r="E564" s="34"/>
      <c r="F564" s="35"/>
      <c r="G564" s="36"/>
      <c r="H564" s="37"/>
      <c r="I564" s="38"/>
      <c r="J564" s="35"/>
      <c r="K564" s="35"/>
      <c r="L564" s="39"/>
      <c r="M564" s="39"/>
      <c r="N564" s="39"/>
      <c r="O564" s="39"/>
      <c r="P564" s="39"/>
      <c r="Q564" s="39"/>
    </row>
    <row r="565" ht="22.5" customHeight="1">
      <c r="A565" s="33"/>
      <c r="B565" s="34"/>
      <c r="C565" s="34"/>
      <c r="D565" s="34"/>
      <c r="E565" s="34"/>
      <c r="F565" s="35"/>
      <c r="G565" s="40"/>
      <c r="H565" s="41"/>
      <c r="I565" s="38"/>
      <c r="J565" s="35"/>
      <c r="K565" s="35"/>
      <c r="L565" s="39"/>
      <c r="M565" s="39"/>
      <c r="N565" s="39"/>
      <c r="O565" s="39"/>
      <c r="P565" s="39"/>
      <c r="Q565" s="39"/>
    </row>
    <row r="566" ht="22.5" customHeight="1">
      <c r="A566" s="33"/>
      <c r="B566" s="34"/>
      <c r="C566" s="34"/>
      <c r="D566" s="34"/>
      <c r="E566" s="34"/>
      <c r="F566" s="35"/>
      <c r="G566" s="36"/>
      <c r="H566" s="37"/>
      <c r="I566" s="38"/>
      <c r="J566" s="35"/>
      <c r="K566" s="35"/>
      <c r="L566" s="39"/>
      <c r="M566" s="39"/>
      <c r="N566" s="39"/>
      <c r="O566" s="39"/>
      <c r="P566" s="39"/>
      <c r="Q566" s="39"/>
    </row>
    <row r="567" ht="22.5" customHeight="1">
      <c r="A567" s="33"/>
      <c r="B567" s="34"/>
      <c r="C567" s="34"/>
      <c r="D567" s="34"/>
      <c r="E567" s="34"/>
      <c r="F567" s="35"/>
      <c r="G567" s="40"/>
      <c r="H567" s="41"/>
      <c r="I567" s="38"/>
      <c r="J567" s="35"/>
      <c r="K567" s="35"/>
      <c r="L567" s="39"/>
      <c r="M567" s="39"/>
      <c r="N567" s="39"/>
      <c r="O567" s="39"/>
      <c r="P567" s="39"/>
      <c r="Q567" s="39"/>
    </row>
    <row r="568" ht="22.5" customHeight="1">
      <c r="A568" s="33"/>
      <c r="B568" s="34"/>
      <c r="C568" s="34"/>
      <c r="D568" s="34"/>
      <c r="E568" s="34"/>
      <c r="F568" s="35"/>
      <c r="G568" s="36"/>
      <c r="H568" s="37"/>
      <c r="I568" s="38"/>
      <c r="J568" s="35"/>
      <c r="K568" s="35"/>
      <c r="L568" s="39"/>
      <c r="M568" s="39"/>
      <c r="N568" s="39"/>
      <c r="O568" s="39"/>
      <c r="P568" s="39"/>
      <c r="Q568" s="39"/>
    </row>
    <row r="569" ht="22.5" customHeight="1">
      <c r="A569" s="33"/>
      <c r="B569" s="34"/>
      <c r="C569" s="34"/>
      <c r="D569" s="34"/>
      <c r="E569" s="34"/>
      <c r="F569" s="35"/>
      <c r="G569" s="40"/>
      <c r="H569" s="41"/>
      <c r="I569" s="38"/>
      <c r="J569" s="35"/>
      <c r="K569" s="35"/>
      <c r="L569" s="39"/>
      <c r="M569" s="39"/>
      <c r="N569" s="39"/>
      <c r="O569" s="39"/>
      <c r="P569" s="39"/>
      <c r="Q569" s="39"/>
    </row>
    <row r="570" ht="22.5" customHeight="1">
      <c r="A570" s="33"/>
      <c r="B570" s="34"/>
      <c r="C570" s="34"/>
      <c r="D570" s="34"/>
      <c r="E570" s="34"/>
      <c r="F570" s="35"/>
      <c r="G570" s="36"/>
      <c r="H570" s="37"/>
      <c r="I570" s="38"/>
      <c r="J570" s="35"/>
      <c r="K570" s="35"/>
      <c r="L570" s="39"/>
      <c r="M570" s="39"/>
      <c r="N570" s="39"/>
      <c r="O570" s="39"/>
      <c r="P570" s="39"/>
      <c r="Q570" s="39"/>
    </row>
    <row r="571" ht="22.5" customHeight="1">
      <c r="A571" s="33"/>
      <c r="B571" s="34"/>
      <c r="C571" s="34"/>
      <c r="D571" s="34"/>
      <c r="E571" s="34"/>
      <c r="F571" s="35"/>
      <c r="G571" s="40"/>
      <c r="H571" s="41"/>
      <c r="I571" s="38"/>
      <c r="J571" s="35"/>
      <c r="K571" s="35"/>
      <c r="L571" s="39"/>
      <c r="M571" s="39"/>
      <c r="N571" s="39"/>
      <c r="O571" s="39"/>
      <c r="P571" s="39"/>
      <c r="Q571" s="39"/>
    </row>
    <row r="572" ht="22.5" customHeight="1">
      <c r="A572" s="33"/>
      <c r="B572" s="34"/>
      <c r="C572" s="34"/>
      <c r="D572" s="34"/>
      <c r="E572" s="34"/>
      <c r="F572" s="35"/>
      <c r="G572" s="36"/>
      <c r="H572" s="37"/>
      <c r="I572" s="38"/>
      <c r="J572" s="35"/>
      <c r="K572" s="35"/>
      <c r="L572" s="39"/>
      <c r="M572" s="39"/>
      <c r="N572" s="39"/>
      <c r="O572" s="39"/>
      <c r="P572" s="39"/>
      <c r="Q572" s="39"/>
    </row>
    <row r="573" ht="22.5" customHeight="1">
      <c r="A573" s="33"/>
      <c r="B573" s="34"/>
      <c r="C573" s="34"/>
      <c r="D573" s="34"/>
      <c r="E573" s="34"/>
      <c r="F573" s="35"/>
      <c r="G573" s="40"/>
      <c r="H573" s="41"/>
      <c r="I573" s="38"/>
      <c r="J573" s="35"/>
      <c r="K573" s="35"/>
      <c r="L573" s="39"/>
      <c r="M573" s="39"/>
      <c r="N573" s="39"/>
      <c r="O573" s="39"/>
      <c r="P573" s="39"/>
      <c r="Q573" s="39"/>
    </row>
    <row r="574" ht="22.5" customHeight="1">
      <c r="A574" s="33"/>
      <c r="B574" s="34"/>
      <c r="C574" s="34"/>
      <c r="D574" s="34"/>
      <c r="E574" s="34"/>
      <c r="F574" s="35"/>
      <c r="G574" s="36"/>
      <c r="H574" s="37"/>
      <c r="I574" s="38"/>
      <c r="J574" s="35"/>
      <c r="K574" s="35"/>
      <c r="L574" s="39"/>
      <c r="M574" s="39"/>
      <c r="N574" s="39"/>
      <c r="O574" s="39"/>
      <c r="P574" s="39"/>
      <c r="Q574" s="39"/>
    </row>
    <row r="575" ht="22.5" customHeight="1">
      <c r="A575" s="33"/>
      <c r="B575" s="34"/>
      <c r="C575" s="34"/>
      <c r="D575" s="34"/>
      <c r="E575" s="34"/>
      <c r="F575" s="35"/>
      <c r="G575" s="40"/>
      <c r="H575" s="41"/>
      <c r="I575" s="38"/>
      <c r="J575" s="35"/>
      <c r="K575" s="35"/>
      <c r="L575" s="39"/>
      <c r="M575" s="39"/>
      <c r="N575" s="39"/>
      <c r="O575" s="39"/>
      <c r="P575" s="39"/>
      <c r="Q575" s="39"/>
    </row>
    <row r="576" ht="22.5" customHeight="1">
      <c r="A576" s="33"/>
      <c r="B576" s="34"/>
      <c r="C576" s="34"/>
      <c r="D576" s="34"/>
      <c r="E576" s="34"/>
      <c r="F576" s="35"/>
      <c r="G576" s="36"/>
      <c r="H576" s="37"/>
      <c r="I576" s="38"/>
      <c r="J576" s="35"/>
      <c r="K576" s="35"/>
      <c r="L576" s="39"/>
      <c r="M576" s="39"/>
      <c r="N576" s="39"/>
      <c r="O576" s="39"/>
      <c r="P576" s="39"/>
      <c r="Q576" s="39"/>
    </row>
    <row r="577" ht="22.5" customHeight="1">
      <c r="A577" s="33"/>
      <c r="B577" s="34"/>
      <c r="C577" s="34"/>
      <c r="D577" s="34"/>
      <c r="E577" s="34"/>
      <c r="F577" s="35"/>
      <c r="G577" s="40"/>
      <c r="H577" s="41"/>
      <c r="I577" s="38"/>
      <c r="J577" s="35"/>
      <c r="K577" s="35"/>
      <c r="L577" s="39"/>
      <c r="M577" s="39"/>
      <c r="N577" s="39"/>
      <c r="O577" s="39"/>
      <c r="P577" s="39"/>
      <c r="Q577" s="39"/>
    </row>
    <row r="578" ht="22.5" customHeight="1">
      <c r="A578" s="33"/>
      <c r="B578" s="34"/>
      <c r="C578" s="34"/>
      <c r="D578" s="34"/>
      <c r="E578" s="34"/>
      <c r="F578" s="35"/>
      <c r="G578" s="36"/>
      <c r="H578" s="37"/>
      <c r="I578" s="38"/>
      <c r="J578" s="35"/>
      <c r="K578" s="35"/>
      <c r="L578" s="39"/>
      <c r="M578" s="39"/>
      <c r="N578" s="39"/>
      <c r="O578" s="39"/>
      <c r="P578" s="39"/>
      <c r="Q578" s="39"/>
    </row>
    <row r="579" ht="22.5" customHeight="1">
      <c r="A579" s="33"/>
      <c r="B579" s="34"/>
      <c r="C579" s="34"/>
      <c r="D579" s="34"/>
      <c r="E579" s="34"/>
      <c r="F579" s="35"/>
      <c r="G579" s="40"/>
      <c r="H579" s="41"/>
      <c r="I579" s="38"/>
      <c r="J579" s="35"/>
      <c r="K579" s="35"/>
      <c r="L579" s="39"/>
      <c r="M579" s="39"/>
      <c r="N579" s="39"/>
      <c r="O579" s="39"/>
      <c r="P579" s="39"/>
      <c r="Q579" s="39"/>
    </row>
    <row r="580" ht="22.5" customHeight="1">
      <c r="A580" s="33"/>
      <c r="B580" s="34"/>
      <c r="C580" s="34"/>
      <c r="D580" s="34"/>
      <c r="E580" s="34"/>
      <c r="F580" s="35"/>
      <c r="G580" s="36"/>
      <c r="H580" s="37"/>
      <c r="I580" s="38"/>
      <c r="J580" s="35"/>
      <c r="K580" s="35"/>
      <c r="L580" s="39"/>
      <c r="M580" s="39"/>
      <c r="N580" s="39"/>
      <c r="O580" s="39"/>
      <c r="P580" s="39"/>
      <c r="Q580" s="39"/>
    </row>
    <row r="581" ht="22.5" customHeight="1">
      <c r="A581" s="33"/>
      <c r="B581" s="34"/>
      <c r="C581" s="34"/>
      <c r="D581" s="34"/>
      <c r="E581" s="34"/>
      <c r="F581" s="35"/>
      <c r="G581" s="40"/>
      <c r="H581" s="41"/>
      <c r="I581" s="38"/>
      <c r="J581" s="35"/>
      <c r="K581" s="35"/>
      <c r="L581" s="39"/>
      <c r="M581" s="39"/>
      <c r="N581" s="39"/>
      <c r="O581" s="39"/>
      <c r="P581" s="39"/>
      <c r="Q581" s="39"/>
    </row>
    <row r="582" ht="22.5" customHeight="1">
      <c r="A582" s="33"/>
      <c r="B582" s="34"/>
      <c r="C582" s="34"/>
      <c r="D582" s="34"/>
      <c r="E582" s="34"/>
      <c r="F582" s="35"/>
      <c r="G582" s="36"/>
      <c r="H582" s="37"/>
      <c r="I582" s="38"/>
      <c r="J582" s="35"/>
      <c r="K582" s="35"/>
      <c r="L582" s="39"/>
      <c r="M582" s="39"/>
      <c r="N582" s="39"/>
      <c r="O582" s="39"/>
      <c r="P582" s="39"/>
      <c r="Q582" s="39"/>
    </row>
    <row r="583" ht="22.5" customHeight="1">
      <c r="A583" s="33"/>
      <c r="B583" s="34"/>
      <c r="C583" s="34"/>
      <c r="D583" s="34"/>
      <c r="E583" s="34"/>
      <c r="F583" s="35"/>
      <c r="G583" s="40"/>
      <c r="H583" s="41"/>
      <c r="I583" s="38"/>
      <c r="J583" s="35"/>
      <c r="K583" s="35"/>
      <c r="L583" s="39"/>
      <c r="M583" s="39"/>
      <c r="N583" s="39"/>
      <c r="O583" s="39"/>
      <c r="P583" s="39"/>
      <c r="Q583" s="39"/>
    </row>
    <row r="584" ht="22.5" customHeight="1">
      <c r="A584" s="33"/>
      <c r="B584" s="34"/>
      <c r="C584" s="34"/>
      <c r="D584" s="34"/>
      <c r="E584" s="34"/>
      <c r="F584" s="35"/>
      <c r="G584" s="36"/>
      <c r="H584" s="37"/>
      <c r="I584" s="38"/>
      <c r="J584" s="35"/>
      <c r="K584" s="35"/>
      <c r="L584" s="39"/>
      <c r="M584" s="39"/>
      <c r="N584" s="39"/>
      <c r="O584" s="39"/>
      <c r="P584" s="39"/>
      <c r="Q584" s="39"/>
    </row>
    <row r="585" ht="22.5" customHeight="1">
      <c r="A585" s="33"/>
      <c r="B585" s="34"/>
      <c r="C585" s="34"/>
      <c r="D585" s="34"/>
      <c r="E585" s="34"/>
      <c r="F585" s="35"/>
      <c r="G585" s="40"/>
      <c r="H585" s="41"/>
      <c r="I585" s="38"/>
      <c r="J585" s="35"/>
      <c r="K585" s="35"/>
      <c r="L585" s="39"/>
      <c r="M585" s="39"/>
      <c r="N585" s="39"/>
      <c r="O585" s="39"/>
      <c r="P585" s="39"/>
      <c r="Q585" s="39"/>
    </row>
    <row r="586" ht="22.5" customHeight="1">
      <c r="A586" s="33"/>
      <c r="B586" s="34"/>
      <c r="C586" s="34"/>
      <c r="D586" s="34"/>
      <c r="E586" s="34"/>
      <c r="F586" s="35"/>
      <c r="G586" s="36"/>
      <c r="H586" s="37"/>
      <c r="I586" s="38"/>
      <c r="J586" s="35"/>
      <c r="K586" s="35"/>
      <c r="L586" s="39"/>
      <c r="M586" s="39"/>
      <c r="N586" s="39"/>
      <c r="O586" s="39"/>
      <c r="P586" s="39"/>
      <c r="Q586" s="39"/>
    </row>
    <row r="587" ht="22.5" customHeight="1">
      <c r="A587" s="33"/>
      <c r="B587" s="34"/>
      <c r="C587" s="34"/>
      <c r="D587" s="34"/>
      <c r="E587" s="34"/>
      <c r="F587" s="35"/>
      <c r="G587" s="40"/>
      <c r="H587" s="41"/>
      <c r="I587" s="38"/>
      <c r="J587" s="35"/>
      <c r="K587" s="35"/>
      <c r="L587" s="39"/>
      <c r="M587" s="39"/>
      <c r="N587" s="39"/>
      <c r="O587" s="39"/>
      <c r="P587" s="39"/>
      <c r="Q587" s="39"/>
    </row>
    <row r="588" ht="22.5" customHeight="1">
      <c r="A588" s="33"/>
      <c r="B588" s="34"/>
      <c r="C588" s="34"/>
      <c r="D588" s="34"/>
      <c r="E588" s="34"/>
      <c r="F588" s="35"/>
      <c r="G588" s="36"/>
      <c r="H588" s="37"/>
      <c r="I588" s="38"/>
      <c r="J588" s="35"/>
      <c r="K588" s="35"/>
      <c r="L588" s="39"/>
      <c r="M588" s="39"/>
      <c r="N588" s="39"/>
      <c r="O588" s="39"/>
      <c r="P588" s="39"/>
      <c r="Q588" s="39"/>
    </row>
    <row r="589" ht="22.5" customHeight="1">
      <c r="A589" s="33"/>
      <c r="B589" s="34"/>
      <c r="C589" s="34"/>
      <c r="D589" s="34"/>
      <c r="E589" s="34"/>
      <c r="F589" s="35"/>
      <c r="G589" s="40"/>
      <c r="H589" s="41"/>
      <c r="I589" s="38"/>
      <c r="J589" s="35"/>
      <c r="K589" s="35"/>
      <c r="L589" s="39"/>
      <c r="M589" s="39"/>
      <c r="N589" s="39"/>
      <c r="O589" s="39"/>
      <c r="P589" s="39"/>
      <c r="Q589" s="39"/>
    </row>
    <row r="590" ht="22.5" customHeight="1">
      <c r="A590" s="33"/>
      <c r="B590" s="34"/>
      <c r="C590" s="34"/>
      <c r="D590" s="34"/>
      <c r="E590" s="34"/>
      <c r="F590" s="35"/>
      <c r="G590" s="36"/>
      <c r="H590" s="37"/>
      <c r="I590" s="38"/>
      <c r="J590" s="35"/>
      <c r="K590" s="35"/>
      <c r="L590" s="39"/>
      <c r="M590" s="39"/>
      <c r="N590" s="39"/>
      <c r="O590" s="39"/>
      <c r="P590" s="39"/>
      <c r="Q590" s="39"/>
    </row>
    <row r="591" ht="22.5" customHeight="1">
      <c r="A591" s="33"/>
      <c r="B591" s="34"/>
      <c r="C591" s="34"/>
      <c r="D591" s="34"/>
      <c r="E591" s="34"/>
      <c r="F591" s="35"/>
      <c r="G591" s="40"/>
      <c r="H591" s="41"/>
      <c r="I591" s="38"/>
      <c r="J591" s="35"/>
      <c r="K591" s="35"/>
      <c r="L591" s="39"/>
      <c r="M591" s="39"/>
      <c r="N591" s="39"/>
      <c r="O591" s="39"/>
      <c r="P591" s="39"/>
      <c r="Q591" s="39"/>
    </row>
    <row r="592" ht="22.5" customHeight="1">
      <c r="A592" s="33"/>
      <c r="B592" s="34"/>
      <c r="C592" s="34"/>
      <c r="D592" s="34"/>
      <c r="E592" s="34"/>
      <c r="F592" s="35"/>
      <c r="G592" s="36"/>
      <c r="H592" s="37"/>
      <c r="I592" s="38"/>
      <c r="J592" s="35"/>
      <c r="K592" s="35"/>
      <c r="L592" s="39"/>
      <c r="M592" s="39"/>
      <c r="N592" s="39"/>
      <c r="O592" s="39"/>
      <c r="P592" s="39"/>
      <c r="Q592" s="39"/>
    </row>
    <row r="593" ht="22.5" customHeight="1">
      <c r="A593" s="33"/>
      <c r="B593" s="34"/>
      <c r="C593" s="34"/>
      <c r="D593" s="34"/>
      <c r="E593" s="34"/>
      <c r="F593" s="35"/>
      <c r="G593" s="40"/>
      <c r="H593" s="41"/>
      <c r="I593" s="38"/>
      <c r="J593" s="35"/>
      <c r="K593" s="35"/>
      <c r="L593" s="39"/>
      <c r="M593" s="39"/>
      <c r="N593" s="39"/>
      <c r="O593" s="39"/>
      <c r="P593" s="39"/>
      <c r="Q593" s="39"/>
    </row>
    <row r="594" ht="22.5" customHeight="1">
      <c r="A594" s="33"/>
      <c r="B594" s="34"/>
      <c r="C594" s="34"/>
      <c r="D594" s="34"/>
      <c r="E594" s="34"/>
      <c r="F594" s="35"/>
      <c r="G594" s="36"/>
      <c r="H594" s="37"/>
      <c r="I594" s="38"/>
      <c r="J594" s="35"/>
      <c r="K594" s="35"/>
      <c r="L594" s="39"/>
      <c r="M594" s="39"/>
      <c r="N594" s="39"/>
      <c r="O594" s="39"/>
      <c r="P594" s="39"/>
      <c r="Q594" s="39"/>
    </row>
    <row r="595" ht="22.5" customHeight="1">
      <c r="A595" s="33"/>
      <c r="B595" s="34"/>
      <c r="C595" s="34"/>
      <c r="D595" s="34"/>
      <c r="E595" s="34"/>
      <c r="F595" s="35"/>
      <c r="G595" s="40"/>
      <c r="H595" s="41"/>
      <c r="I595" s="38"/>
      <c r="J595" s="35"/>
      <c r="K595" s="35"/>
      <c r="L595" s="39"/>
      <c r="M595" s="39"/>
      <c r="N595" s="39"/>
      <c r="O595" s="39"/>
      <c r="P595" s="39"/>
      <c r="Q595" s="39"/>
    </row>
    <row r="596" ht="22.5" customHeight="1">
      <c r="A596" s="33"/>
      <c r="B596" s="34"/>
      <c r="C596" s="34"/>
      <c r="D596" s="34"/>
      <c r="E596" s="34"/>
      <c r="F596" s="35"/>
      <c r="G596" s="36"/>
      <c r="H596" s="37"/>
      <c r="I596" s="38"/>
      <c r="J596" s="35"/>
      <c r="K596" s="35"/>
      <c r="L596" s="39"/>
      <c r="M596" s="39"/>
      <c r="N596" s="39"/>
      <c r="O596" s="39"/>
      <c r="P596" s="39"/>
      <c r="Q596" s="39"/>
    </row>
    <row r="597" ht="22.5" customHeight="1">
      <c r="A597" s="33"/>
      <c r="B597" s="34"/>
      <c r="C597" s="34"/>
      <c r="D597" s="34"/>
      <c r="E597" s="34"/>
      <c r="F597" s="35"/>
      <c r="G597" s="40"/>
      <c r="H597" s="41"/>
      <c r="I597" s="38"/>
      <c r="J597" s="35"/>
      <c r="K597" s="35"/>
      <c r="L597" s="39"/>
      <c r="M597" s="39"/>
      <c r="N597" s="39"/>
      <c r="O597" s="39"/>
      <c r="P597" s="39"/>
      <c r="Q597" s="39"/>
    </row>
    <row r="598" ht="22.5" customHeight="1">
      <c r="A598" s="33"/>
      <c r="B598" s="34"/>
      <c r="C598" s="34"/>
      <c r="D598" s="34"/>
      <c r="E598" s="34"/>
      <c r="F598" s="35"/>
      <c r="G598" s="36"/>
      <c r="H598" s="37"/>
      <c r="I598" s="38"/>
      <c r="J598" s="35"/>
      <c r="K598" s="35"/>
      <c r="L598" s="39"/>
      <c r="M598" s="39"/>
      <c r="N598" s="39"/>
      <c r="O598" s="39"/>
      <c r="P598" s="39"/>
      <c r="Q598" s="39"/>
    </row>
    <row r="599" ht="22.5" customHeight="1">
      <c r="A599" s="33"/>
      <c r="B599" s="34"/>
      <c r="C599" s="34"/>
      <c r="D599" s="34"/>
      <c r="E599" s="34"/>
      <c r="F599" s="35"/>
      <c r="G599" s="40"/>
      <c r="H599" s="41"/>
      <c r="I599" s="38"/>
      <c r="J599" s="35"/>
      <c r="K599" s="35"/>
      <c r="L599" s="39"/>
      <c r="M599" s="39"/>
      <c r="N599" s="39"/>
      <c r="O599" s="39"/>
      <c r="P599" s="39"/>
      <c r="Q599" s="39"/>
    </row>
    <row r="600" ht="22.5" customHeight="1">
      <c r="A600" s="33"/>
      <c r="B600" s="34"/>
      <c r="C600" s="34"/>
      <c r="D600" s="34"/>
      <c r="E600" s="34"/>
      <c r="F600" s="35"/>
      <c r="G600" s="36"/>
      <c r="H600" s="37"/>
      <c r="I600" s="38"/>
      <c r="J600" s="35"/>
      <c r="K600" s="35"/>
      <c r="L600" s="39"/>
      <c r="M600" s="39"/>
      <c r="N600" s="39"/>
      <c r="O600" s="39"/>
      <c r="P600" s="39"/>
      <c r="Q600" s="39"/>
    </row>
    <row r="601" ht="22.5" customHeight="1">
      <c r="A601" s="33"/>
      <c r="B601" s="34"/>
      <c r="C601" s="34"/>
      <c r="D601" s="34"/>
      <c r="E601" s="34"/>
      <c r="F601" s="35"/>
      <c r="G601" s="40"/>
      <c r="H601" s="41"/>
      <c r="I601" s="38"/>
      <c r="J601" s="35"/>
      <c r="K601" s="35"/>
      <c r="L601" s="39"/>
      <c r="M601" s="39"/>
      <c r="N601" s="39"/>
      <c r="O601" s="39"/>
      <c r="P601" s="39"/>
      <c r="Q601" s="39"/>
    </row>
    <row r="602" ht="22.5" customHeight="1">
      <c r="A602" s="33"/>
      <c r="B602" s="34"/>
      <c r="C602" s="34"/>
      <c r="D602" s="34"/>
      <c r="E602" s="34"/>
      <c r="F602" s="35"/>
      <c r="G602" s="36"/>
      <c r="H602" s="37"/>
      <c r="I602" s="38"/>
      <c r="J602" s="35"/>
      <c r="K602" s="35"/>
      <c r="L602" s="39"/>
      <c r="M602" s="39"/>
      <c r="N602" s="39"/>
      <c r="O602" s="39"/>
      <c r="P602" s="39"/>
      <c r="Q602" s="39"/>
    </row>
    <row r="603" ht="22.5" customHeight="1">
      <c r="A603" s="33"/>
      <c r="B603" s="34"/>
      <c r="C603" s="34"/>
      <c r="D603" s="34"/>
      <c r="E603" s="34"/>
      <c r="F603" s="35"/>
      <c r="G603" s="40"/>
      <c r="H603" s="41"/>
      <c r="I603" s="38"/>
      <c r="J603" s="35"/>
      <c r="K603" s="35"/>
      <c r="L603" s="39"/>
      <c r="M603" s="39"/>
      <c r="N603" s="39"/>
      <c r="O603" s="39"/>
      <c r="P603" s="39"/>
      <c r="Q603" s="39"/>
    </row>
    <row r="604" ht="22.5" customHeight="1">
      <c r="A604" s="33"/>
      <c r="B604" s="34"/>
      <c r="C604" s="34"/>
      <c r="D604" s="34"/>
      <c r="E604" s="34"/>
      <c r="F604" s="35"/>
      <c r="G604" s="36"/>
      <c r="H604" s="37"/>
      <c r="I604" s="38"/>
      <c r="J604" s="35"/>
      <c r="K604" s="35"/>
      <c r="L604" s="39"/>
      <c r="M604" s="39"/>
      <c r="N604" s="39"/>
      <c r="O604" s="39"/>
      <c r="P604" s="39"/>
      <c r="Q604" s="39"/>
    </row>
    <row r="605" ht="22.5" customHeight="1">
      <c r="A605" s="33"/>
      <c r="B605" s="34"/>
      <c r="C605" s="34"/>
      <c r="D605" s="34"/>
      <c r="E605" s="34"/>
      <c r="F605" s="35"/>
      <c r="G605" s="40"/>
      <c r="H605" s="41"/>
      <c r="I605" s="38"/>
      <c r="J605" s="35"/>
      <c r="K605" s="35"/>
      <c r="L605" s="39"/>
      <c r="M605" s="39"/>
      <c r="N605" s="39"/>
      <c r="O605" s="39"/>
      <c r="P605" s="39"/>
      <c r="Q605" s="39"/>
    </row>
    <row r="606" ht="22.5" customHeight="1">
      <c r="A606" s="33"/>
      <c r="B606" s="34"/>
      <c r="C606" s="34"/>
      <c r="D606" s="34"/>
      <c r="E606" s="34"/>
      <c r="F606" s="35"/>
      <c r="G606" s="36"/>
      <c r="H606" s="37"/>
      <c r="I606" s="38"/>
      <c r="J606" s="35"/>
      <c r="K606" s="35"/>
      <c r="L606" s="39"/>
      <c r="M606" s="39"/>
      <c r="N606" s="39"/>
      <c r="O606" s="39"/>
      <c r="P606" s="39"/>
      <c r="Q606" s="39"/>
    </row>
    <row r="607" ht="22.5" customHeight="1">
      <c r="A607" s="33"/>
      <c r="B607" s="34"/>
      <c r="C607" s="34"/>
      <c r="D607" s="34"/>
      <c r="E607" s="34"/>
      <c r="F607" s="35"/>
      <c r="G607" s="40"/>
      <c r="H607" s="41"/>
      <c r="I607" s="38"/>
      <c r="J607" s="35"/>
      <c r="K607" s="35"/>
      <c r="L607" s="39"/>
      <c r="M607" s="39"/>
      <c r="N607" s="39"/>
      <c r="O607" s="39"/>
      <c r="P607" s="39"/>
      <c r="Q607" s="39"/>
    </row>
    <row r="608" ht="22.5" customHeight="1">
      <c r="A608" s="33"/>
      <c r="B608" s="34"/>
      <c r="C608" s="34"/>
      <c r="D608" s="34"/>
      <c r="E608" s="34"/>
      <c r="F608" s="35"/>
      <c r="G608" s="36"/>
      <c r="H608" s="37"/>
      <c r="I608" s="38"/>
      <c r="J608" s="35"/>
      <c r="K608" s="35"/>
      <c r="L608" s="39"/>
      <c r="M608" s="39"/>
      <c r="N608" s="39"/>
      <c r="O608" s="39"/>
      <c r="P608" s="39"/>
      <c r="Q608" s="39"/>
    </row>
    <row r="609" ht="22.5" customHeight="1">
      <c r="A609" s="33"/>
      <c r="B609" s="34"/>
      <c r="C609" s="34"/>
      <c r="D609" s="34"/>
      <c r="E609" s="34"/>
      <c r="F609" s="35"/>
      <c r="G609" s="40"/>
      <c r="H609" s="41"/>
      <c r="I609" s="38"/>
      <c r="J609" s="35"/>
      <c r="K609" s="35"/>
      <c r="L609" s="39"/>
      <c r="M609" s="39"/>
      <c r="N609" s="39"/>
      <c r="O609" s="39"/>
      <c r="P609" s="39"/>
      <c r="Q609" s="39"/>
    </row>
    <row r="610" ht="22.5" customHeight="1">
      <c r="A610" s="33"/>
      <c r="B610" s="34"/>
      <c r="C610" s="34"/>
      <c r="D610" s="34"/>
      <c r="E610" s="34"/>
      <c r="F610" s="35"/>
      <c r="G610" s="36"/>
      <c r="H610" s="37"/>
      <c r="I610" s="38"/>
      <c r="J610" s="35"/>
      <c r="K610" s="35"/>
      <c r="L610" s="39"/>
      <c r="M610" s="39"/>
      <c r="N610" s="39"/>
      <c r="O610" s="39"/>
      <c r="P610" s="39"/>
      <c r="Q610" s="39"/>
    </row>
    <row r="611" ht="22.5" customHeight="1">
      <c r="A611" s="33"/>
      <c r="B611" s="34"/>
      <c r="C611" s="34"/>
      <c r="D611" s="34"/>
      <c r="E611" s="34"/>
      <c r="F611" s="35"/>
      <c r="G611" s="40"/>
      <c r="H611" s="41"/>
      <c r="I611" s="38"/>
      <c r="J611" s="35"/>
      <c r="K611" s="35"/>
      <c r="L611" s="39"/>
      <c r="M611" s="39"/>
      <c r="N611" s="39"/>
      <c r="O611" s="39"/>
      <c r="P611" s="39"/>
      <c r="Q611" s="39"/>
    </row>
    <row r="612" ht="22.5" customHeight="1">
      <c r="A612" s="33"/>
      <c r="B612" s="34"/>
      <c r="C612" s="34"/>
      <c r="D612" s="34"/>
      <c r="E612" s="34"/>
      <c r="F612" s="35"/>
      <c r="G612" s="36"/>
      <c r="H612" s="37"/>
      <c r="I612" s="38"/>
      <c r="J612" s="35"/>
      <c r="K612" s="35"/>
      <c r="L612" s="39"/>
      <c r="M612" s="39"/>
      <c r="N612" s="39"/>
      <c r="O612" s="39"/>
      <c r="P612" s="39"/>
      <c r="Q612" s="39"/>
    </row>
    <row r="613" ht="22.5" customHeight="1">
      <c r="A613" s="33"/>
      <c r="B613" s="34"/>
      <c r="C613" s="34"/>
      <c r="D613" s="34"/>
      <c r="E613" s="34"/>
      <c r="F613" s="35"/>
      <c r="G613" s="40"/>
      <c r="H613" s="41"/>
      <c r="I613" s="38"/>
      <c r="J613" s="35"/>
      <c r="K613" s="35"/>
      <c r="L613" s="39"/>
      <c r="M613" s="39"/>
      <c r="N613" s="39"/>
      <c r="O613" s="39"/>
      <c r="P613" s="39"/>
      <c r="Q613" s="39"/>
    </row>
    <row r="614" ht="22.5" customHeight="1">
      <c r="A614" s="33"/>
      <c r="B614" s="34"/>
      <c r="C614" s="34"/>
      <c r="D614" s="34"/>
      <c r="E614" s="34"/>
      <c r="F614" s="35"/>
      <c r="G614" s="36"/>
      <c r="H614" s="37"/>
      <c r="I614" s="38"/>
      <c r="J614" s="35"/>
      <c r="K614" s="35"/>
      <c r="L614" s="39"/>
      <c r="M614" s="39"/>
      <c r="N614" s="39"/>
      <c r="O614" s="39"/>
      <c r="P614" s="39"/>
      <c r="Q614" s="39"/>
    </row>
    <row r="615" ht="22.5" customHeight="1">
      <c r="A615" s="33"/>
      <c r="B615" s="34"/>
      <c r="C615" s="34"/>
      <c r="D615" s="34"/>
      <c r="E615" s="34"/>
      <c r="F615" s="35"/>
      <c r="G615" s="40"/>
      <c r="H615" s="41"/>
      <c r="I615" s="38"/>
      <c r="J615" s="35"/>
      <c r="K615" s="35"/>
      <c r="L615" s="39"/>
      <c r="M615" s="39"/>
      <c r="N615" s="39"/>
      <c r="O615" s="39"/>
      <c r="P615" s="39"/>
      <c r="Q615" s="39"/>
    </row>
    <row r="616" ht="22.5" customHeight="1">
      <c r="A616" s="33"/>
      <c r="B616" s="34"/>
      <c r="C616" s="34"/>
      <c r="D616" s="34"/>
      <c r="E616" s="34"/>
      <c r="F616" s="35"/>
      <c r="G616" s="36"/>
      <c r="H616" s="37"/>
      <c r="I616" s="38"/>
      <c r="J616" s="35"/>
      <c r="K616" s="35"/>
      <c r="L616" s="39"/>
      <c r="M616" s="39"/>
      <c r="N616" s="39"/>
      <c r="O616" s="39"/>
      <c r="P616" s="39"/>
      <c r="Q616" s="39"/>
    </row>
    <row r="617" ht="22.5" customHeight="1">
      <c r="A617" s="33"/>
      <c r="B617" s="34"/>
      <c r="C617" s="34"/>
      <c r="D617" s="34"/>
      <c r="E617" s="34"/>
      <c r="F617" s="35"/>
      <c r="G617" s="40"/>
      <c r="H617" s="41"/>
      <c r="I617" s="38"/>
      <c r="J617" s="35"/>
      <c r="K617" s="35"/>
      <c r="L617" s="39"/>
      <c r="M617" s="39"/>
      <c r="N617" s="39"/>
      <c r="O617" s="39"/>
      <c r="P617" s="39"/>
      <c r="Q617" s="39"/>
    </row>
    <row r="618" ht="22.5" customHeight="1">
      <c r="A618" s="33"/>
      <c r="B618" s="34"/>
      <c r="C618" s="34"/>
      <c r="D618" s="34"/>
      <c r="E618" s="34"/>
      <c r="F618" s="35"/>
      <c r="G618" s="36"/>
      <c r="H618" s="37"/>
      <c r="I618" s="38"/>
      <c r="J618" s="35"/>
      <c r="K618" s="35"/>
      <c r="L618" s="39"/>
      <c r="M618" s="39"/>
      <c r="N618" s="39"/>
      <c r="O618" s="39"/>
      <c r="P618" s="39"/>
      <c r="Q618" s="39"/>
    </row>
    <row r="619" ht="22.5" customHeight="1">
      <c r="A619" s="33"/>
      <c r="B619" s="34"/>
      <c r="C619" s="34"/>
      <c r="D619" s="34"/>
      <c r="E619" s="34"/>
      <c r="F619" s="35"/>
      <c r="G619" s="40"/>
      <c r="H619" s="41"/>
      <c r="I619" s="38"/>
      <c r="J619" s="35"/>
      <c r="K619" s="35"/>
      <c r="L619" s="39"/>
      <c r="M619" s="39"/>
      <c r="N619" s="39"/>
      <c r="O619" s="39"/>
      <c r="P619" s="39"/>
      <c r="Q619" s="39"/>
    </row>
    <row r="620" ht="22.5" customHeight="1">
      <c r="A620" s="33"/>
      <c r="B620" s="34"/>
      <c r="C620" s="34"/>
      <c r="D620" s="34"/>
      <c r="E620" s="34"/>
      <c r="F620" s="35"/>
      <c r="G620" s="36"/>
      <c r="H620" s="37"/>
      <c r="I620" s="38"/>
      <c r="J620" s="35"/>
      <c r="K620" s="35"/>
      <c r="L620" s="39"/>
      <c r="M620" s="39"/>
      <c r="N620" s="39"/>
      <c r="O620" s="39"/>
      <c r="P620" s="39"/>
      <c r="Q620" s="39"/>
    </row>
    <row r="621" ht="22.5" customHeight="1">
      <c r="A621" s="33"/>
      <c r="B621" s="34"/>
      <c r="C621" s="34"/>
      <c r="D621" s="34"/>
      <c r="E621" s="34"/>
      <c r="F621" s="35"/>
      <c r="G621" s="40"/>
      <c r="H621" s="41"/>
      <c r="I621" s="38"/>
      <c r="J621" s="35"/>
      <c r="K621" s="35"/>
      <c r="L621" s="39"/>
      <c r="M621" s="39"/>
      <c r="N621" s="39"/>
      <c r="O621" s="39"/>
      <c r="P621" s="39"/>
      <c r="Q621" s="39"/>
    </row>
    <row r="622" ht="22.5" customHeight="1">
      <c r="A622" s="33"/>
      <c r="B622" s="34"/>
      <c r="C622" s="34"/>
      <c r="D622" s="34"/>
      <c r="E622" s="34"/>
      <c r="F622" s="35"/>
      <c r="G622" s="36"/>
      <c r="H622" s="37"/>
      <c r="I622" s="38"/>
      <c r="J622" s="35"/>
      <c r="K622" s="35"/>
      <c r="L622" s="39"/>
      <c r="M622" s="39"/>
      <c r="N622" s="39"/>
      <c r="O622" s="39"/>
      <c r="P622" s="39"/>
      <c r="Q622" s="39"/>
    </row>
    <row r="623" ht="22.5" customHeight="1">
      <c r="A623" s="33"/>
      <c r="B623" s="34"/>
      <c r="C623" s="34"/>
      <c r="D623" s="34"/>
      <c r="E623" s="34"/>
      <c r="F623" s="35"/>
      <c r="G623" s="40"/>
      <c r="H623" s="41"/>
      <c r="I623" s="38"/>
      <c r="J623" s="35"/>
      <c r="K623" s="35"/>
      <c r="L623" s="39"/>
      <c r="M623" s="39"/>
      <c r="N623" s="39"/>
      <c r="O623" s="39"/>
      <c r="P623" s="39"/>
      <c r="Q623" s="39"/>
    </row>
    <row r="624" ht="22.5" customHeight="1">
      <c r="A624" s="33"/>
      <c r="B624" s="34"/>
      <c r="C624" s="34"/>
      <c r="D624" s="34"/>
      <c r="E624" s="34"/>
      <c r="F624" s="35"/>
      <c r="G624" s="36"/>
      <c r="H624" s="37"/>
      <c r="I624" s="38"/>
      <c r="J624" s="35"/>
      <c r="K624" s="35"/>
      <c r="L624" s="39"/>
      <c r="M624" s="39"/>
      <c r="N624" s="39"/>
      <c r="O624" s="39"/>
      <c r="P624" s="39"/>
      <c r="Q624" s="39"/>
    </row>
    <row r="625" ht="22.5" customHeight="1">
      <c r="A625" s="33"/>
      <c r="B625" s="34"/>
      <c r="C625" s="34"/>
      <c r="D625" s="34"/>
      <c r="E625" s="34"/>
      <c r="F625" s="35"/>
      <c r="G625" s="40"/>
      <c r="H625" s="41"/>
      <c r="I625" s="38"/>
      <c r="J625" s="35"/>
      <c r="K625" s="35"/>
      <c r="L625" s="39"/>
      <c r="M625" s="39"/>
      <c r="N625" s="39"/>
      <c r="O625" s="39"/>
      <c r="P625" s="39"/>
      <c r="Q625" s="39"/>
    </row>
    <row r="626" ht="22.5" customHeight="1">
      <c r="A626" s="33"/>
      <c r="B626" s="34"/>
      <c r="C626" s="34"/>
      <c r="D626" s="34"/>
      <c r="E626" s="34"/>
      <c r="F626" s="35"/>
      <c r="G626" s="36"/>
      <c r="H626" s="37"/>
      <c r="I626" s="38"/>
      <c r="J626" s="35"/>
      <c r="K626" s="35"/>
      <c r="L626" s="39"/>
      <c r="M626" s="39"/>
      <c r="N626" s="39"/>
      <c r="O626" s="39"/>
      <c r="P626" s="39"/>
      <c r="Q626" s="39"/>
    </row>
    <row r="627" ht="22.5" customHeight="1">
      <c r="A627" s="33"/>
      <c r="B627" s="34"/>
      <c r="C627" s="34"/>
      <c r="D627" s="34"/>
      <c r="E627" s="34"/>
      <c r="F627" s="35"/>
      <c r="G627" s="40"/>
      <c r="H627" s="41"/>
      <c r="I627" s="38"/>
      <c r="J627" s="35"/>
      <c r="K627" s="35"/>
      <c r="L627" s="39"/>
      <c r="M627" s="39"/>
      <c r="N627" s="39"/>
      <c r="O627" s="39"/>
      <c r="P627" s="39"/>
      <c r="Q627" s="39"/>
    </row>
    <row r="628" ht="22.5" customHeight="1">
      <c r="A628" s="33"/>
      <c r="B628" s="34"/>
      <c r="C628" s="34"/>
      <c r="D628" s="34"/>
      <c r="E628" s="34"/>
      <c r="F628" s="35"/>
      <c r="G628" s="36"/>
      <c r="H628" s="37"/>
      <c r="I628" s="38"/>
      <c r="J628" s="35"/>
      <c r="K628" s="35"/>
      <c r="L628" s="39"/>
      <c r="M628" s="39"/>
      <c r="N628" s="39"/>
      <c r="O628" s="39"/>
      <c r="P628" s="39"/>
      <c r="Q628" s="39"/>
    </row>
    <row r="629" ht="22.5" customHeight="1">
      <c r="A629" s="33"/>
      <c r="B629" s="34"/>
      <c r="C629" s="34"/>
      <c r="D629" s="34"/>
      <c r="E629" s="34"/>
      <c r="F629" s="35"/>
      <c r="G629" s="40"/>
      <c r="H629" s="41"/>
      <c r="I629" s="38"/>
      <c r="J629" s="35"/>
      <c r="K629" s="35"/>
      <c r="L629" s="39"/>
      <c r="M629" s="39"/>
      <c r="N629" s="39"/>
      <c r="O629" s="39"/>
      <c r="P629" s="39"/>
      <c r="Q629" s="39"/>
    </row>
    <row r="630" ht="22.5" customHeight="1">
      <c r="A630" s="33"/>
      <c r="B630" s="34"/>
      <c r="C630" s="34"/>
      <c r="D630" s="34"/>
      <c r="E630" s="34"/>
      <c r="F630" s="35"/>
      <c r="G630" s="36"/>
      <c r="H630" s="37"/>
      <c r="I630" s="38"/>
      <c r="J630" s="35"/>
      <c r="K630" s="35"/>
      <c r="L630" s="39"/>
      <c r="M630" s="39"/>
      <c r="N630" s="39"/>
      <c r="O630" s="39"/>
      <c r="P630" s="39"/>
      <c r="Q630" s="39"/>
    </row>
    <row r="631" ht="22.5" customHeight="1">
      <c r="A631" s="33"/>
      <c r="B631" s="34"/>
      <c r="C631" s="34"/>
      <c r="D631" s="34"/>
      <c r="E631" s="34"/>
      <c r="F631" s="35"/>
      <c r="G631" s="40"/>
      <c r="H631" s="41"/>
      <c r="I631" s="38"/>
      <c r="J631" s="35"/>
      <c r="K631" s="35"/>
      <c r="L631" s="39"/>
      <c r="M631" s="39"/>
      <c r="N631" s="39"/>
      <c r="O631" s="39"/>
      <c r="P631" s="39"/>
      <c r="Q631" s="39"/>
    </row>
    <row r="632" ht="22.5" customHeight="1">
      <c r="A632" s="33"/>
      <c r="B632" s="34"/>
      <c r="C632" s="34"/>
      <c r="D632" s="34"/>
      <c r="E632" s="34"/>
      <c r="F632" s="35"/>
      <c r="G632" s="36"/>
      <c r="H632" s="37"/>
      <c r="I632" s="38"/>
      <c r="J632" s="35"/>
      <c r="K632" s="35"/>
      <c r="L632" s="39"/>
      <c r="M632" s="39"/>
      <c r="N632" s="39"/>
      <c r="O632" s="39"/>
      <c r="P632" s="39"/>
      <c r="Q632" s="39"/>
    </row>
    <row r="633" ht="22.5" customHeight="1">
      <c r="A633" s="33"/>
      <c r="B633" s="34"/>
      <c r="C633" s="34"/>
      <c r="D633" s="34"/>
      <c r="E633" s="34"/>
      <c r="F633" s="35"/>
      <c r="G633" s="40"/>
      <c r="H633" s="41"/>
      <c r="I633" s="38"/>
      <c r="J633" s="35"/>
      <c r="K633" s="35"/>
      <c r="L633" s="39"/>
      <c r="M633" s="39"/>
      <c r="N633" s="39"/>
      <c r="O633" s="39"/>
      <c r="P633" s="39"/>
      <c r="Q633" s="39"/>
    </row>
    <row r="634" ht="22.5" customHeight="1">
      <c r="A634" s="33"/>
      <c r="B634" s="34"/>
      <c r="C634" s="34"/>
      <c r="D634" s="34"/>
      <c r="E634" s="34"/>
      <c r="F634" s="35"/>
      <c r="G634" s="36"/>
      <c r="H634" s="37"/>
      <c r="I634" s="38"/>
      <c r="J634" s="35"/>
      <c r="K634" s="35"/>
      <c r="L634" s="39"/>
      <c r="M634" s="39"/>
      <c r="N634" s="39"/>
      <c r="O634" s="39"/>
      <c r="P634" s="39"/>
      <c r="Q634" s="39"/>
    </row>
    <row r="635" ht="22.5" customHeight="1">
      <c r="A635" s="33"/>
      <c r="B635" s="34"/>
      <c r="C635" s="34"/>
      <c r="D635" s="34"/>
      <c r="E635" s="34"/>
      <c r="F635" s="35"/>
      <c r="G635" s="40"/>
      <c r="H635" s="41"/>
      <c r="I635" s="38"/>
      <c r="J635" s="35"/>
      <c r="K635" s="35"/>
      <c r="L635" s="39"/>
      <c r="M635" s="39"/>
      <c r="N635" s="39"/>
      <c r="O635" s="39"/>
      <c r="P635" s="39"/>
      <c r="Q635" s="39"/>
    </row>
    <row r="636" ht="22.5" customHeight="1">
      <c r="A636" s="33"/>
      <c r="B636" s="34"/>
      <c r="C636" s="34"/>
      <c r="D636" s="34"/>
      <c r="E636" s="34"/>
      <c r="F636" s="35"/>
      <c r="G636" s="36"/>
      <c r="H636" s="37"/>
      <c r="I636" s="38"/>
      <c r="J636" s="35"/>
      <c r="K636" s="35"/>
      <c r="L636" s="39"/>
      <c r="M636" s="39"/>
      <c r="N636" s="39"/>
      <c r="O636" s="39"/>
      <c r="P636" s="39"/>
      <c r="Q636" s="39"/>
    </row>
    <row r="637" ht="22.5" customHeight="1">
      <c r="A637" s="33"/>
      <c r="B637" s="34"/>
      <c r="C637" s="34"/>
      <c r="D637" s="34"/>
      <c r="E637" s="34"/>
      <c r="F637" s="35"/>
      <c r="G637" s="40"/>
      <c r="H637" s="41"/>
      <c r="I637" s="38"/>
      <c r="J637" s="35"/>
      <c r="K637" s="35"/>
      <c r="L637" s="39"/>
      <c r="M637" s="39"/>
      <c r="N637" s="39"/>
      <c r="O637" s="39"/>
      <c r="P637" s="39"/>
      <c r="Q637" s="39"/>
    </row>
    <row r="638" ht="22.5" customHeight="1">
      <c r="A638" s="33"/>
      <c r="B638" s="34"/>
      <c r="C638" s="34"/>
      <c r="D638" s="34"/>
      <c r="E638" s="34"/>
      <c r="F638" s="35"/>
      <c r="G638" s="36"/>
      <c r="H638" s="37"/>
      <c r="I638" s="38"/>
      <c r="J638" s="35"/>
      <c r="K638" s="35"/>
      <c r="L638" s="39"/>
      <c r="M638" s="39"/>
      <c r="N638" s="39"/>
      <c r="O638" s="39"/>
      <c r="P638" s="39"/>
      <c r="Q638" s="39"/>
    </row>
    <row r="639" ht="22.5" customHeight="1">
      <c r="A639" s="33"/>
      <c r="B639" s="34"/>
      <c r="C639" s="34"/>
      <c r="D639" s="34"/>
      <c r="E639" s="34"/>
      <c r="F639" s="35"/>
      <c r="G639" s="40"/>
      <c r="H639" s="41"/>
      <c r="I639" s="38"/>
      <c r="J639" s="35"/>
      <c r="K639" s="35"/>
      <c r="L639" s="39"/>
      <c r="M639" s="39"/>
      <c r="N639" s="39"/>
      <c r="O639" s="39"/>
      <c r="P639" s="39"/>
      <c r="Q639" s="39"/>
    </row>
    <row r="640" ht="22.5" customHeight="1">
      <c r="A640" s="33"/>
      <c r="B640" s="34"/>
      <c r="C640" s="34"/>
      <c r="D640" s="34"/>
      <c r="E640" s="34"/>
      <c r="F640" s="35"/>
      <c r="G640" s="36"/>
      <c r="H640" s="37"/>
      <c r="I640" s="38"/>
      <c r="J640" s="35"/>
      <c r="K640" s="35"/>
      <c r="L640" s="39"/>
      <c r="M640" s="39"/>
      <c r="N640" s="39"/>
      <c r="O640" s="39"/>
      <c r="P640" s="39"/>
      <c r="Q640" s="39"/>
    </row>
    <row r="641" ht="22.5" customHeight="1">
      <c r="A641" s="33"/>
      <c r="B641" s="34"/>
      <c r="C641" s="34"/>
      <c r="D641" s="34"/>
      <c r="E641" s="34"/>
      <c r="F641" s="35"/>
      <c r="G641" s="40"/>
      <c r="H641" s="41"/>
      <c r="I641" s="38"/>
      <c r="J641" s="35"/>
      <c r="K641" s="35"/>
      <c r="L641" s="39"/>
      <c r="M641" s="39"/>
      <c r="N641" s="39"/>
      <c r="O641" s="39"/>
      <c r="P641" s="39"/>
      <c r="Q641" s="39"/>
    </row>
    <row r="642" ht="22.5" customHeight="1">
      <c r="A642" s="33"/>
      <c r="B642" s="34"/>
      <c r="C642" s="34"/>
      <c r="D642" s="34"/>
      <c r="E642" s="34"/>
      <c r="F642" s="35"/>
      <c r="G642" s="36"/>
      <c r="H642" s="37"/>
      <c r="I642" s="38"/>
      <c r="J642" s="35"/>
      <c r="K642" s="35"/>
      <c r="L642" s="39"/>
      <c r="M642" s="39"/>
      <c r="N642" s="39"/>
      <c r="O642" s="39"/>
      <c r="P642" s="39"/>
      <c r="Q642" s="39"/>
    </row>
    <row r="643" ht="22.5" customHeight="1">
      <c r="A643" s="33"/>
      <c r="B643" s="34"/>
      <c r="C643" s="34"/>
      <c r="D643" s="34"/>
      <c r="E643" s="34"/>
      <c r="F643" s="35"/>
      <c r="G643" s="40"/>
      <c r="H643" s="41"/>
      <c r="I643" s="38"/>
      <c r="J643" s="35"/>
      <c r="K643" s="35"/>
      <c r="L643" s="39"/>
      <c r="M643" s="39"/>
      <c r="N643" s="39"/>
      <c r="O643" s="39"/>
      <c r="P643" s="39"/>
      <c r="Q643" s="39"/>
    </row>
    <row r="644" ht="22.5" customHeight="1">
      <c r="A644" s="33"/>
      <c r="B644" s="34"/>
      <c r="C644" s="34"/>
      <c r="D644" s="34"/>
      <c r="E644" s="34"/>
      <c r="F644" s="35"/>
      <c r="G644" s="36"/>
      <c r="H644" s="37"/>
      <c r="I644" s="38"/>
      <c r="J644" s="35"/>
      <c r="K644" s="35"/>
      <c r="L644" s="39"/>
      <c r="M644" s="39"/>
      <c r="N644" s="39"/>
      <c r="O644" s="39"/>
      <c r="P644" s="39"/>
      <c r="Q644" s="39"/>
    </row>
    <row r="645" ht="22.5" customHeight="1">
      <c r="A645" s="33"/>
      <c r="B645" s="34"/>
      <c r="C645" s="34"/>
      <c r="D645" s="34"/>
      <c r="E645" s="34"/>
      <c r="F645" s="35"/>
      <c r="G645" s="40"/>
      <c r="H645" s="41"/>
      <c r="I645" s="38"/>
      <c r="J645" s="35"/>
      <c r="K645" s="35"/>
      <c r="L645" s="39"/>
      <c r="M645" s="39"/>
      <c r="N645" s="39"/>
      <c r="O645" s="39"/>
      <c r="P645" s="39"/>
      <c r="Q645" s="39"/>
    </row>
    <row r="646" ht="22.5" customHeight="1">
      <c r="A646" s="33"/>
      <c r="B646" s="34"/>
      <c r="C646" s="34"/>
      <c r="D646" s="34"/>
      <c r="E646" s="34"/>
      <c r="F646" s="35"/>
      <c r="G646" s="36"/>
      <c r="H646" s="37"/>
      <c r="I646" s="38"/>
      <c r="J646" s="35"/>
      <c r="K646" s="35"/>
      <c r="L646" s="39"/>
      <c r="M646" s="39"/>
      <c r="N646" s="39"/>
      <c r="O646" s="39"/>
      <c r="P646" s="39"/>
      <c r="Q646" s="39"/>
    </row>
    <row r="647" ht="22.5" customHeight="1">
      <c r="A647" s="33"/>
      <c r="B647" s="34"/>
      <c r="C647" s="34"/>
      <c r="D647" s="34"/>
      <c r="E647" s="34"/>
      <c r="F647" s="35"/>
      <c r="G647" s="40"/>
      <c r="H647" s="41"/>
      <c r="I647" s="38"/>
      <c r="J647" s="35"/>
      <c r="K647" s="35"/>
      <c r="L647" s="39"/>
      <c r="M647" s="39"/>
      <c r="N647" s="39"/>
      <c r="O647" s="39"/>
      <c r="P647" s="39"/>
      <c r="Q647" s="39"/>
    </row>
    <row r="648" ht="22.5" customHeight="1">
      <c r="A648" s="33"/>
      <c r="B648" s="34"/>
      <c r="C648" s="34"/>
      <c r="D648" s="34"/>
      <c r="E648" s="34"/>
      <c r="F648" s="35"/>
      <c r="G648" s="36"/>
      <c r="H648" s="37"/>
      <c r="I648" s="38"/>
      <c r="J648" s="35"/>
      <c r="K648" s="35"/>
      <c r="L648" s="39"/>
      <c r="M648" s="39"/>
      <c r="N648" s="39"/>
      <c r="O648" s="39"/>
      <c r="P648" s="39"/>
      <c r="Q648" s="39"/>
    </row>
    <row r="649" ht="22.5" customHeight="1">
      <c r="A649" s="33"/>
      <c r="B649" s="34"/>
      <c r="C649" s="34"/>
      <c r="D649" s="34"/>
      <c r="E649" s="34"/>
      <c r="F649" s="35"/>
      <c r="G649" s="40"/>
      <c r="H649" s="41"/>
      <c r="I649" s="38"/>
      <c r="J649" s="35"/>
      <c r="K649" s="35"/>
      <c r="L649" s="39"/>
      <c r="M649" s="39"/>
      <c r="N649" s="39"/>
      <c r="O649" s="39"/>
      <c r="P649" s="39"/>
      <c r="Q649" s="39"/>
    </row>
    <row r="650" ht="22.5" customHeight="1">
      <c r="A650" s="33"/>
      <c r="B650" s="34"/>
      <c r="C650" s="34"/>
      <c r="D650" s="34"/>
      <c r="E650" s="34"/>
      <c r="F650" s="35"/>
      <c r="G650" s="36"/>
      <c r="H650" s="37"/>
      <c r="I650" s="38"/>
      <c r="J650" s="35"/>
      <c r="K650" s="35"/>
      <c r="L650" s="39"/>
      <c r="M650" s="39"/>
      <c r="N650" s="39"/>
      <c r="O650" s="39"/>
      <c r="P650" s="39"/>
      <c r="Q650" s="39"/>
    </row>
    <row r="651" ht="22.5" customHeight="1">
      <c r="A651" s="33"/>
      <c r="B651" s="34"/>
      <c r="C651" s="34"/>
      <c r="D651" s="34"/>
      <c r="E651" s="34"/>
      <c r="F651" s="35"/>
      <c r="G651" s="40"/>
      <c r="H651" s="41"/>
      <c r="I651" s="38"/>
      <c r="J651" s="35"/>
      <c r="K651" s="35"/>
      <c r="L651" s="39"/>
      <c r="M651" s="39"/>
      <c r="N651" s="39"/>
      <c r="O651" s="39"/>
      <c r="P651" s="39"/>
      <c r="Q651" s="39"/>
    </row>
    <row r="652" ht="22.5" customHeight="1">
      <c r="A652" s="33"/>
      <c r="B652" s="34"/>
      <c r="C652" s="34"/>
      <c r="D652" s="34"/>
      <c r="E652" s="34"/>
      <c r="F652" s="35"/>
      <c r="G652" s="36"/>
      <c r="H652" s="37"/>
      <c r="I652" s="38"/>
      <c r="J652" s="35"/>
      <c r="K652" s="35"/>
      <c r="L652" s="39"/>
      <c r="M652" s="39"/>
      <c r="N652" s="39"/>
      <c r="O652" s="39"/>
      <c r="P652" s="39"/>
      <c r="Q652" s="39"/>
    </row>
    <row r="653" ht="22.5" customHeight="1">
      <c r="A653" s="33"/>
      <c r="B653" s="34"/>
      <c r="C653" s="34"/>
      <c r="D653" s="34"/>
      <c r="E653" s="34"/>
      <c r="F653" s="35"/>
      <c r="G653" s="40"/>
      <c r="H653" s="41"/>
      <c r="I653" s="38"/>
      <c r="J653" s="35"/>
      <c r="K653" s="35"/>
      <c r="L653" s="39"/>
      <c r="M653" s="39"/>
      <c r="N653" s="39"/>
      <c r="O653" s="39"/>
      <c r="P653" s="39"/>
      <c r="Q653" s="39"/>
    </row>
    <row r="654" ht="22.5" customHeight="1">
      <c r="A654" s="33"/>
      <c r="B654" s="34"/>
      <c r="C654" s="34"/>
      <c r="D654" s="34"/>
      <c r="E654" s="34"/>
      <c r="F654" s="35"/>
      <c r="G654" s="36"/>
      <c r="H654" s="37"/>
      <c r="I654" s="38"/>
      <c r="J654" s="35"/>
      <c r="K654" s="35"/>
      <c r="L654" s="39"/>
      <c r="M654" s="39"/>
      <c r="N654" s="39"/>
      <c r="O654" s="39"/>
      <c r="P654" s="39"/>
      <c r="Q654" s="39"/>
    </row>
    <row r="655" ht="22.5" customHeight="1">
      <c r="A655" s="33"/>
      <c r="B655" s="34"/>
      <c r="C655" s="34"/>
      <c r="D655" s="34"/>
      <c r="E655" s="34"/>
      <c r="F655" s="35"/>
      <c r="G655" s="40"/>
      <c r="H655" s="41"/>
      <c r="I655" s="38"/>
      <c r="J655" s="35"/>
      <c r="K655" s="35"/>
      <c r="L655" s="39"/>
      <c r="M655" s="39"/>
      <c r="N655" s="39"/>
      <c r="O655" s="39"/>
      <c r="P655" s="39"/>
      <c r="Q655" s="39"/>
    </row>
    <row r="656" ht="22.5" customHeight="1">
      <c r="A656" s="33"/>
      <c r="B656" s="34"/>
      <c r="C656" s="34"/>
      <c r="D656" s="34"/>
      <c r="E656" s="34"/>
      <c r="F656" s="35"/>
      <c r="G656" s="36"/>
      <c r="H656" s="37"/>
      <c r="I656" s="38"/>
      <c r="J656" s="35"/>
      <c r="K656" s="35"/>
      <c r="L656" s="39"/>
      <c r="M656" s="39"/>
      <c r="N656" s="39"/>
      <c r="O656" s="39"/>
      <c r="P656" s="39"/>
      <c r="Q656" s="39"/>
    </row>
    <row r="657" ht="22.5" customHeight="1">
      <c r="A657" s="33"/>
      <c r="B657" s="34"/>
      <c r="C657" s="34"/>
      <c r="D657" s="34"/>
      <c r="E657" s="34"/>
      <c r="F657" s="35"/>
      <c r="G657" s="40"/>
      <c r="H657" s="41"/>
      <c r="I657" s="38"/>
      <c r="J657" s="35"/>
      <c r="K657" s="35"/>
      <c r="L657" s="39"/>
      <c r="M657" s="39"/>
      <c r="N657" s="39"/>
      <c r="O657" s="39"/>
      <c r="P657" s="39"/>
      <c r="Q657" s="39"/>
    </row>
    <row r="658" ht="22.5" customHeight="1">
      <c r="A658" s="33"/>
      <c r="B658" s="34"/>
      <c r="C658" s="34"/>
      <c r="D658" s="34"/>
      <c r="E658" s="34"/>
      <c r="F658" s="35"/>
      <c r="G658" s="36"/>
      <c r="H658" s="37"/>
      <c r="I658" s="38"/>
      <c r="J658" s="35"/>
      <c r="K658" s="35"/>
      <c r="L658" s="39"/>
      <c r="M658" s="39"/>
      <c r="N658" s="39"/>
      <c r="O658" s="39"/>
      <c r="P658" s="39"/>
      <c r="Q658" s="39"/>
    </row>
    <row r="659" ht="22.5" customHeight="1">
      <c r="A659" s="33"/>
      <c r="B659" s="34"/>
      <c r="C659" s="34"/>
      <c r="D659" s="34"/>
      <c r="E659" s="34"/>
      <c r="F659" s="35"/>
      <c r="G659" s="40"/>
      <c r="H659" s="41"/>
      <c r="I659" s="38"/>
      <c r="J659" s="35"/>
      <c r="K659" s="35"/>
      <c r="L659" s="39"/>
      <c r="M659" s="39"/>
      <c r="N659" s="39"/>
      <c r="O659" s="39"/>
      <c r="P659" s="39"/>
      <c r="Q659" s="39"/>
    </row>
    <row r="660" ht="22.5" customHeight="1">
      <c r="A660" s="33"/>
      <c r="B660" s="34"/>
      <c r="C660" s="34"/>
      <c r="D660" s="34"/>
      <c r="E660" s="34"/>
      <c r="F660" s="35"/>
      <c r="G660" s="36"/>
      <c r="H660" s="37"/>
      <c r="I660" s="38"/>
      <c r="J660" s="35"/>
      <c r="K660" s="35"/>
      <c r="L660" s="39"/>
      <c r="M660" s="39"/>
      <c r="N660" s="39"/>
      <c r="O660" s="39"/>
      <c r="P660" s="39"/>
      <c r="Q660" s="39"/>
    </row>
    <row r="661" ht="22.5" customHeight="1">
      <c r="A661" s="33"/>
      <c r="B661" s="34"/>
      <c r="C661" s="34"/>
      <c r="D661" s="34"/>
      <c r="E661" s="34"/>
      <c r="F661" s="35"/>
      <c r="G661" s="40"/>
      <c r="H661" s="41"/>
      <c r="I661" s="38"/>
      <c r="J661" s="35"/>
      <c r="K661" s="35"/>
      <c r="L661" s="39"/>
      <c r="M661" s="39"/>
      <c r="N661" s="39"/>
      <c r="O661" s="39"/>
      <c r="P661" s="39"/>
      <c r="Q661" s="39"/>
    </row>
    <row r="662" ht="22.5" customHeight="1">
      <c r="A662" s="33"/>
      <c r="B662" s="34"/>
      <c r="C662" s="34"/>
      <c r="D662" s="34"/>
      <c r="E662" s="34"/>
      <c r="F662" s="35"/>
      <c r="G662" s="36"/>
      <c r="H662" s="37"/>
      <c r="I662" s="38"/>
      <c r="J662" s="35"/>
      <c r="K662" s="35"/>
      <c r="L662" s="39"/>
      <c r="M662" s="39"/>
      <c r="N662" s="39"/>
      <c r="O662" s="39"/>
      <c r="P662" s="39"/>
      <c r="Q662" s="39"/>
    </row>
    <row r="663" ht="22.5" customHeight="1">
      <c r="A663" s="33"/>
      <c r="B663" s="34"/>
      <c r="C663" s="34"/>
      <c r="D663" s="34"/>
      <c r="E663" s="34"/>
      <c r="F663" s="35"/>
      <c r="G663" s="40"/>
      <c r="H663" s="41"/>
      <c r="I663" s="38"/>
      <c r="J663" s="35"/>
      <c r="K663" s="35"/>
      <c r="L663" s="39"/>
      <c r="M663" s="39"/>
      <c r="N663" s="39"/>
      <c r="O663" s="39"/>
      <c r="P663" s="39"/>
      <c r="Q663" s="39"/>
    </row>
    <row r="664" ht="22.5" customHeight="1">
      <c r="A664" s="33"/>
      <c r="B664" s="34"/>
      <c r="C664" s="34"/>
      <c r="D664" s="34"/>
      <c r="E664" s="34"/>
      <c r="F664" s="35"/>
      <c r="G664" s="36"/>
      <c r="H664" s="37"/>
      <c r="I664" s="38"/>
      <c r="J664" s="35"/>
      <c r="K664" s="35"/>
      <c r="L664" s="39"/>
      <c r="M664" s="39"/>
      <c r="N664" s="39"/>
      <c r="O664" s="39"/>
      <c r="P664" s="39"/>
      <c r="Q664" s="39"/>
    </row>
    <row r="665" ht="22.5" customHeight="1">
      <c r="A665" s="33"/>
      <c r="B665" s="34"/>
      <c r="C665" s="34"/>
      <c r="D665" s="34"/>
      <c r="E665" s="34"/>
      <c r="F665" s="35"/>
      <c r="G665" s="40"/>
      <c r="H665" s="41"/>
      <c r="I665" s="38"/>
      <c r="J665" s="35"/>
      <c r="K665" s="35"/>
      <c r="L665" s="39"/>
      <c r="M665" s="39"/>
      <c r="N665" s="39"/>
      <c r="O665" s="39"/>
      <c r="P665" s="39"/>
      <c r="Q665" s="39"/>
    </row>
    <row r="666" ht="22.5" customHeight="1">
      <c r="A666" s="33"/>
      <c r="B666" s="34"/>
      <c r="C666" s="34"/>
      <c r="D666" s="34"/>
      <c r="E666" s="34"/>
      <c r="F666" s="35"/>
      <c r="G666" s="36"/>
      <c r="H666" s="37"/>
      <c r="I666" s="38"/>
      <c r="J666" s="35"/>
      <c r="K666" s="35"/>
      <c r="L666" s="39"/>
      <c r="M666" s="39"/>
      <c r="N666" s="39"/>
      <c r="O666" s="39"/>
      <c r="P666" s="39"/>
      <c r="Q666" s="39"/>
    </row>
    <row r="667" ht="22.5" customHeight="1">
      <c r="A667" s="33"/>
      <c r="B667" s="34"/>
      <c r="C667" s="34"/>
      <c r="D667" s="34"/>
      <c r="E667" s="34"/>
      <c r="F667" s="35"/>
      <c r="G667" s="40"/>
      <c r="H667" s="41"/>
      <c r="I667" s="38"/>
      <c r="J667" s="35"/>
      <c r="K667" s="35"/>
      <c r="L667" s="39"/>
      <c r="M667" s="39"/>
      <c r="N667" s="39"/>
      <c r="O667" s="39"/>
      <c r="P667" s="39"/>
      <c r="Q667" s="39"/>
    </row>
    <row r="668" ht="22.5" customHeight="1">
      <c r="A668" s="33"/>
      <c r="B668" s="34"/>
      <c r="C668" s="34"/>
      <c r="D668" s="34"/>
      <c r="E668" s="34"/>
      <c r="F668" s="35"/>
      <c r="G668" s="36"/>
      <c r="H668" s="37"/>
      <c r="I668" s="38"/>
      <c r="J668" s="35"/>
      <c r="K668" s="35"/>
      <c r="L668" s="39"/>
      <c r="M668" s="39"/>
      <c r="N668" s="39"/>
      <c r="O668" s="39"/>
      <c r="P668" s="39"/>
      <c r="Q668" s="39"/>
    </row>
    <row r="669" ht="22.5" customHeight="1">
      <c r="A669" s="33"/>
      <c r="B669" s="34"/>
      <c r="C669" s="34"/>
      <c r="D669" s="34"/>
      <c r="E669" s="34"/>
      <c r="F669" s="35"/>
      <c r="G669" s="40"/>
      <c r="H669" s="41"/>
      <c r="I669" s="38"/>
      <c r="J669" s="35"/>
      <c r="K669" s="35"/>
      <c r="L669" s="39"/>
      <c r="M669" s="39"/>
      <c r="N669" s="39"/>
      <c r="O669" s="39"/>
      <c r="P669" s="39"/>
      <c r="Q669" s="39"/>
    </row>
    <row r="670" ht="22.5" customHeight="1">
      <c r="A670" s="33"/>
      <c r="B670" s="34"/>
      <c r="C670" s="34"/>
      <c r="D670" s="34"/>
      <c r="E670" s="34"/>
      <c r="F670" s="35"/>
      <c r="G670" s="36"/>
      <c r="H670" s="37"/>
      <c r="I670" s="38"/>
      <c r="J670" s="35"/>
      <c r="K670" s="35"/>
      <c r="L670" s="39"/>
      <c r="M670" s="39"/>
      <c r="N670" s="39"/>
      <c r="O670" s="39"/>
      <c r="P670" s="39"/>
      <c r="Q670" s="39"/>
    </row>
    <row r="671" ht="22.5" customHeight="1">
      <c r="A671" s="33"/>
      <c r="B671" s="34"/>
      <c r="C671" s="34"/>
      <c r="D671" s="34"/>
      <c r="E671" s="34"/>
      <c r="F671" s="35"/>
      <c r="G671" s="40"/>
      <c r="H671" s="41"/>
      <c r="I671" s="38"/>
      <c r="J671" s="35"/>
      <c r="K671" s="35"/>
      <c r="L671" s="39"/>
      <c r="M671" s="39"/>
      <c r="N671" s="39"/>
      <c r="O671" s="39"/>
      <c r="P671" s="39"/>
      <c r="Q671" s="39"/>
    </row>
    <row r="672" ht="22.5" customHeight="1">
      <c r="A672" s="33"/>
      <c r="B672" s="34"/>
      <c r="C672" s="34"/>
      <c r="D672" s="34"/>
      <c r="E672" s="34"/>
      <c r="F672" s="35"/>
      <c r="G672" s="36"/>
      <c r="H672" s="37"/>
      <c r="I672" s="38"/>
      <c r="J672" s="35"/>
      <c r="K672" s="35"/>
      <c r="L672" s="39"/>
      <c r="M672" s="39"/>
      <c r="N672" s="39"/>
      <c r="O672" s="39"/>
      <c r="P672" s="39"/>
      <c r="Q672" s="39"/>
    </row>
    <row r="673" ht="22.5" customHeight="1">
      <c r="A673" s="33"/>
      <c r="B673" s="34"/>
      <c r="C673" s="34"/>
      <c r="D673" s="34"/>
      <c r="E673" s="34"/>
      <c r="F673" s="35"/>
      <c r="G673" s="40"/>
      <c r="H673" s="41"/>
      <c r="I673" s="38"/>
      <c r="J673" s="35"/>
      <c r="K673" s="35"/>
      <c r="L673" s="39"/>
      <c r="M673" s="39"/>
      <c r="N673" s="39"/>
      <c r="O673" s="39"/>
      <c r="P673" s="39"/>
      <c r="Q673" s="39"/>
    </row>
    <row r="674" ht="22.5" customHeight="1">
      <c r="A674" s="33"/>
      <c r="B674" s="34"/>
      <c r="C674" s="34"/>
      <c r="D674" s="34"/>
      <c r="E674" s="34"/>
      <c r="F674" s="35"/>
      <c r="G674" s="36"/>
      <c r="H674" s="37"/>
      <c r="I674" s="38"/>
      <c r="J674" s="35"/>
      <c r="K674" s="35"/>
      <c r="L674" s="39"/>
      <c r="M674" s="39"/>
      <c r="N674" s="39"/>
      <c r="O674" s="39"/>
      <c r="P674" s="39"/>
      <c r="Q674" s="39"/>
    </row>
    <row r="675" ht="22.5" customHeight="1">
      <c r="A675" s="33"/>
      <c r="B675" s="34"/>
      <c r="C675" s="34"/>
      <c r="D675" s="34"/>
      <c r="E675" s="34"/>
      <c r="F675" s="35"/>
      <c r="G675" s="40"/>
      <c r="H675" s="41"/>
      <c r="I675" s="38"/>
      <c r="J675" s="35"/>
      <c r="K675" s="35"/>
      <c r="L675" s="39"/>
      <c r="M675" s="39"/>
      <c r="N675" s="39"/>
      <c r="O675" s="39"/>
      <c r="P675" s="39"/>
      <c r="Q675" s="39"/>
    </row>
    <row r="676" ht="22.5" customHeight="1">
      <c r="A676" s="33"/>
      <c r="B676" s="34"/>
      <c r="C676" s="34"/>
      <c r="D676" s="34"/>
      <c r="E676" s="34"/>
      <c r="F676" s="35"/>
      <c r="G676" s="36"/>
      <c r="H676" s="37"/>
      <c r="I676" s="38"/>
      <c r="J676" s="35"/>
      <c r="K676" s="35"/>
      <c r="L676" s="39"/>
      <c r="M676" s="39"/>
      <c r="N676" s="39"/>
      <c r="O676" s="39"/>
      <c r="P676" s="39"/>
      <c r="Q676" s="39"/>
    </row>
    <row r="677" ht="22.5" customHeight="1">
      <c r="A677" s="33"/>
      <c r="B677" s="34"/>
      <c r="C677" s="34"/>
      <c r="D677" s="34"/>
      <c r="E677" s="34"/>
      <c r="F677" s="35"/>
      <c r="G677" s="40"/>
      <c r="H677" s="41"/>
      <c r="I677" s="38"/>
      <c r="J677" s="35"/>
      <c r="K677" s="35"/>
      <c r="L677" s="39"/>
      <c r="M677" s="39"/>
      <c r="N677" s="39"/>
      <c r="O677" s="39"/>
      <c r="P677" s="39"/>
      <c r="Q677" s="39"/>
    </row>
    <row r="678" ht="22.5" customHeight="1">
      <c r="A678" s="33"/>
      <c r="B678" s="34"/>
      <c r="C678" s="34"/>
      <c r="D678" s="34"/>
      <c r="E678" s="34"/>
      <c r="F678" s="35"/>
      <c r="G678" s="36"/>
      <c r="H678" s="37"/>
      <c r="I678" s="38"/>
      <c r="J678" s="35"/>
      <c r="K678" s="35"/>
      <c r="L678" s="39"/>
      <c r="M678" s="39"/>
      <c r="N678" s="39"/>
      <c r="O678" s="39"/>
      <c r="P678" s="39"/>
      <c r="Q678" s="39"/>
    </row>
    <row r="679" ht="22.5" customHeight="1">
      <c r="A679" s="33"/>
      <c r="B679" s="34"/>
      <c r="C679" s="34"/>
      <c r="D679" s="34"/>
      <c r="E679" s="34"/>
      <c r="F679" s="35"/>
      <c r="G679" s="40"/>
      <c r="H679" s="41"/>
      <c r="I679" s="38"/>
      <c r="J679" s="35"/>
      <c r="K679" s="35"/>
      <c r="L679" s="39"/>
      <c r="M679" s="39"/>
      <c r="N679" s="39"/>
      <c r="O679" s="39"/>
      <c r="P679" s="39"/>
      <c r="Q679" s="39"/>
    </row>
    <row r="680" ht="22.5" customHeight="1">
      <c r="A680" s="33"/>
      <c r="B680" s="34"/>
      <c r="C680" s="34"/>
      <c r="D680" s="34"/>
      <c r="E680" s="34"/>
      <c r="F680" s="35"/>
      <c r="G680" s="36"/>
      <c r="H680" s="37"/>
      <c r="I680" s="38"/>
      <c r="J680" s="35"/>
      <c r="K680" s="35"/>
      <c r="L680" s="39"/>
      <c r="M680" s="39"/>
      <c r="N680" s="39"/>
      <c r="O680" s="39"/>
      <c r="P680" s="39"/>
      <c r="Q680" s="39"/>
    </row>
    <row r="681" ht="22.5" customHeight="1">
      <c r="A681" s="33"/>
      <c r="B681" s="34"/>
      <c r="C681" s="34"/>
      <c r="D681" s="34"/>
      <c r="E681" s="34"/>
      <c r="F681" s="35"/>
      <c r="G681" s="40"/>
      <c r="H681" s="41"/>
      <c r="I681" s="38"/>
      <c r="J681" s="35"/>
      <c r="K681" s="35"/>
      <c r="L681" s="39"/>
      <c r="M681" s="39"/>
      <c r="N681" s="39"/>
      <c r="O681" s="39"/>
      <c r="P681" s="39"/>
      <c r="Q681" s="39"/>
    </row>
    <row r="682" ht="22.5" customHeight="1">
      <c r="A682" s="33"/>
      <c r="B682" s="34"/>
      <c r="C682" s="34"/>
      <c r="D682" s="34"/>
      <c r="E682" s="34"/>
      <c r="F682" s="35"/>
      <c r="G682" s="36"/>
      <c r="H682" s="37"/>
      <c r="I682" s="38"/>
      <c r="J682" s="35"/>
      <c r="K682" s="35"/>
      <c r="L682" s="39"/>
      <c r="M682" s="39"/>
      <c r="N682" s="39"/>
      <c r="O682" s="39"/>
      <c r="P682" s="39"/>
      <c r="Q682" s="39"/>
    </row>
    <row r="683" ht="22.5" customHeight="1">
      <c r="A683" s="33"/>
      <c r="B683" s="34"/>
      <c r="C683" s="34"/>
      <c r="D683" s="34"/>
      <c r="E683" s="34"/>
      <c r="F683" s="35"/>
      <c r="G683" s="40"/>
      <c r="H683" s="41"/>
      <c r="I683" s="38"/>
      <c r="J683" s="35"/>
      <c r="K683" s="35"/>
      <c r="L683" s="39"/>
      <c r="M683" s="39"/>
      <c r="N683" s="39"/>
      <c r="O683" s="39"/>
      <c r="P683" s="39"/>
      <c r="Q683" s="39"/>
    </row>
    <row r="684" ht="22.5" customHeight="1">
      <c r="A684" s="33"/>
      <c r="B684" s="34"/>
      <c r="C684" s="34"/>
      <c r="D684" s="34"/>
      <c r="E684" s="34"/>
      <c r="F684" s="35"/>
      <c r="G684" s="36"/>
      <c r="H684" s="37"/>
      <c r="I684" s="38"/>
      <c r="J684" s="35"/>
      <c r="K684" s="35"/>
      <c r="L684" s="39"/>
      <c r="M684" s="39"/>
      <c r="N684" s="39"/>
      <c r="O684" s="39"/>
      <c r="P684" s="39"/>
      <c r="Q684" s="39"/>
    </row>
    <row r="685" ht="22.5" customHeight="1">
      <c r="A685" s="33"/>
      <c r="B685" s="34"/>
      <c r="C685" s="34"/>
      <c r="D685" s="34"/>
      <c r="E685" s="34"/>
      <c r="F685" s="35"/>
      <c r="G685" s="40"/>
      <c r="H685" s="41"/>
      <c r="I685" s="38"/>
      <c r="J685" s="35"/>
      <c r="K685" s="35"/>
      <c r="L685" s="39"/>
      <c r="M685" s="39"/>
      <c r="N685" s="39"/>
      <c r="O685" s="39"/>
      <c r="P685" s="39"/>
      <c r="Q685" s="39"/>
    </row>
    <row r="686" ht="22.5" customHeight="1">
      <c r="A686" s="33"/>
      <c r="B686" s="34"/>
      <c r="C686" s="34"/>
      <c r="D686" s="34"/>
      <c r="E686" s="34"/>
      <c r="F686" s="35"/>
      <c r="G686" s="36"/>
      <c r="H686" s="37"/>
      <c r="I686" s="38"/>
      <c r="J686" s="35"/>
      <c r="K686" s="35"/>
      <c r="L686" s="39"/>
      <c r="M686" s="39"/>
      <c r="N686" s="39"/>
      <c r="O686" s="39"/>
      <c r="P686" s="39"/>
      <c r="Q686" s="39"/>
    </row>
    <row r="687" ht="22.5" customHeight="1">
      <c r="A687" s="33"/>
      <c r="B687" s="34"/>
      <c r="C687" s="34"/>
      <c r="D687" s="34"/>
      <c r="E687" s="34"/>
      <c r="F687" s="35"/>
      <c r="G687" s="40"/>
      <c r="H687" s="41"/>
      <c r="I687" s="38"/>
      <c r="J687" s="35"/>
      <c r="K687" s="35"/>
      <c r="L687" s="39"/>
      <c r="M687" s="39"/>
      <c r="N687" s="39"/>
      <c r="O687" s="39"/>
      <c r="P687" s="39"/>
      <c r="Q687" s="39"/>
    </row>
    <row r="688" ht="22.5" customHeight="1">
      <c r="A688" s="33"/>
      <c r="B688" s="34"/>
      <c r="C688" s="34"/>
      <c r="D688" s="34"/>
      <c r="E688" s="34"/>
      <c r="F688" s="35"/>
      <c r="G688" s="36"/>
      <c r="H688" s="37"/>
      <c r="I688" s="38"/>
      <c r="J688" s="35"/>
      <c r="K688" s="35"/>
      <c r="L688" s="39"/>
      <c r="M688" s="39"/>
      <c r="N688" s="39"/>
      <c r="O688" s="39"/>
      <c r="P688" s="39"/>
      <c r="Q688" s="39"/>
    </row>
    <row r="689" ht="22.5" customHeight="1">
      <c r="A689" s="33"/>
      <c r="B689" s="34"/>
      <c r="C689" s="34"/>
      <c r="D689" s="34"/>
      <c r="E689" s="34"/>
      <c r="F689" s="35"/>
      <c r="G689" s="40"/>
      <c r="H689" s="41"/>
      <c r="I689" s="38"/>
      <c r="J689" s="35"/>
      <c r="K689" s="35"/>
      <c r="L689" s="39"/>
      <c r="M689" s="39"/>
      <c r="N689" s="39"/>
      <c r="O689" s="39"/>
      <c r="P689" s="39"/>
      <c r="Q689" s="39"/>
    </row>
    <row r="690" ht="22.5" customHeight="1">
      <c r="A690" s="33"/>
      <c r="B690" s="34"/>
      <c r="C690" s="34"/>
      <c r="D690" s="34"/>
      <c r="E690" s="34"/>
      <c r="F690" s="35"/>
      <c r="G690" s="36"/>
      <c r="H690" s="37"/>
      <c r="I690" s="38"/>
      <c r="J690" s="35"/>
      <c r="K690" s="35"/>
      <c r="L690" s="39"/>
      <c r="M690" s="39"/>
      <c r="N690" s="39"/>
      <c r="O690" s="39"/>
      <c r="P690" s="39"/>
      <c r="Q690" s="39"/>
    </row>
    <row r="691" ht="22.5" customHeight="1">
      <c r="A691" s="33"/>
      <c r="B691" s="34"/>
      <c r="C691" s="34"/>
      <c r="D691" s="34"/>
      <c r="E691" s="34"/>
      <c r="F691" s="35"/>
      <c r="G691" s="40"/>
      <c r="H691" s="41"/>
      <c r="I691" s="38"/>
      <c r="J691" s="35"/>
      <c r="K691" s="35"/>
      <c r="L691" s="39"/>
      <c r="M691" s="39"/>
      <c r="N691" s="39"/>
      <c r="O691" s="39"/>
      <c r="P691" s="39"/>
      <c r="Q691" s="39"/>
    </row>
    <row r="692" ht="22.5" customHeight="1">
      <c r="A692" s="33"/>
      <c r="B692" s="34"/>
      <c r="C692" s="34"/>
      <c r="D692" s="34"/>
      <c r="E692" s="34"/>
      <c r="F692" s="35"/>
      <c r="G692" s="36"/>
      <c r="H692" s="37"/>
      <c r="I692" s="38"/>
      <c r="J692" s="35"/>
      <c r="K692" s="35"/>
      <c r="L692" s="39"/>
      <c r="M692" s="39"/>
      <c r="N692" s="39"/>
      <c r="O692" s="39"/>
      <c r="P692" s="39"/>
      <c r="Q692" s="39"/>
    </row>
    <row r="693" ht="22.5" customHeight="1">
      <c r="A693" s="33"/>
      <c r="B693" s="34"/>
      <c r="C693" s="34"/>
      <c r="D693" s="34"/>
      <c r="E693" s="34"/>
      <c r="F693" s="35"/>
      <c r="G693" s="40"/>
      <c r="H693" s="41"/>
      <c r="I693" s="38"/>
      <c r="J693" s="35"/>
      <c r="K693" s="35"/>
      <c r="L693" s="39"/>
      <c r="M693" s="39"/>
      <c r="N693" s="39"/>
      <c r="O693" s="39"/>
      <c r="P693" s="39"/>
      <c r="Q693" s="39"/>
    </row>
    <row r="694" ht="22.5" customHeight="1">
      <c r="A694" s="33"/>
      <c r="B694" s="34"/>
      <c r="C694" s="34"/>
      <c r="D694" s="34"/>
      <c r="E694" s="34"/>
      <c r="F694" s="35"/>
      <c r="G694" s="36"/>
      <c r="H694" s="37"/>
      <c r="I694" s="38"/>
      <c r="J694" s="35"/>
      <c r="K694" s="35"/>
      <c r="L694" s="39"/>
      <c r="M694" s="39"/>
      <c r="N694" s="39"/>
      <c r="O694" s="39"/>
      <c r="P694" s="39"/>
      <c r="Q694" s="39"/>
    </row>
    <row r="695" ht="22.5" customHeight="1">
      <c r="A695" s="33"/>
      <c r="B695" s="34"/>
      <c r="C695" s="34"/>
      <c r="D695" s="34"/>
      <c r="E695" s="34"/>
      <c r="F695" s="35"/>
      <c r="G695" s="40"/>
      <c r="H695" s="41"/>
      <c r="I695" s="38"/>
      <c r="J695" s="35"/>
      <c r="K695" s="35"/>
      <c r="L695" s="39"/>
      <c r="M695" s="39"/>
      <c r="N695" s="39"/>
      <c r="O695" s="39"/>
      <c r="P695" s="39"/>
      <c r="Q695" s="39"/>
    </row>
    <row r="696" ht="22.5" customHeight="1">
      <c r="A696" s="33"/>
      <c r="B696" s="34"/>
      <c r="C696" s="34"/>
      <c r="D696" s="34"/>
      <c r="E696" s="34"/>
      <c r="F696" s="35"/>
      <c r="G696" s="36"/>
      <c r="H696" s="37"/>
      <c r="I696" s="38"/>
      <c r="J696" s="35"/>
      <c r="K696" s="35"/>
      <c r="L696" s="39"/>
      <c r="M696" s="39"/>
      <c r="N696" s="39"/>
      <c r="O696" s="39"/>
      <c r="P696" s="39"/>
      <c r="Q696" s="39"/>
    </row>
    <row r="697" ht="22.5" customHeight="1">
      <c r="A697" s="33"/>
      <c r="B697" s="34"/>
      <c r="C697" s="34"/>
      <c r="D697" s="34"/>
      <c r="E697" s="34"/>
      <c r="F697" s="35"/>
      <c r="G697" s="40"/>
      <c r="H697" s="41"/>
      <c r="I697" s="38"/>
      <c r="J697" s="35"/>
      <c r="K697" s="35"/>
      <c r="L697" s="39"/>
      <c r="M697" s="39"/>
      <c r="N697" s="39"/>
      <c r="O697" s="39"/>
      <c r="P697" s="39"/>
      <c r="Q697" s="39"/>
    </row>
    <row r="698" ht="22.5" customHeight="1">
      <c r="A698" s="33"/>
      <c r="B698" s="34"/>
      <c r="C698" s="34"/>
      <c r="D698" s="34"/>
      <c r="E698" s="34"/>
      <c r="F698" s="35"/>
      <c r="G698" s="36"/>
      <c r="H698" s="37"/>
      <c r="I698" s="38"/>
      <c r="J698" s="35"/>
      <c r="K698" s="35"/>
      <c r="L698" s="39"/>
      <c r="M698" s="39"/>
      <c r="N698" s="39"/>
      <c r="O698" s="39"/>
      <c r="P698" s="39"/>
      <c r="Q698" s="39"/>
    </row>
    <row r="699" ht="22.5" customHeight="1">
      <c r="A699" s="33"/>
      <c r="B699" s="34"/>
      <c r="C699" s="34"/>
      <c r="D699" s="34"/>
      <c r="E699" s="34"/>
      <c r="F699" s="35"/>
      <c r="G699" s="40"/>
      <c r="H699" s="41"/>
      <c r="I699" s="38"/>
      <c r="J699" s="35"/>
      <c r="K699" s="35"/>
      <c r="L699" s="39"/>
      <c r="M699" s="39"/>
      <c r="N699" s="39"/>
      <c r="O699" s="39"/>
      <c r="P699" s="39"/>
      <c r="Q699" s="39"/>
    </row>
    <row r="700" ht="22.5" customHeight="1">
      <c r="A700" s="33"/>
      <c r="B700" s="34"/>
      <c r="C700" s="34"/>
      <c r="D700" s="34"/>
      <c r="E700" s="34"/>
      <c r="F700" s="35"/>
      <c r="G700" s="36"/>
      <c r="H700" s="37"/>
      <c r="I700" s="38"/>
      <c r="J700" s="35"/>
      <c r="K700" s="35"/>
      <c r="L700" s="39"/>
      <c r="M700" s="39"/>
      <c r="N700" s="39"/>
      <c r="O700" s="39"/>
      <c r="P700" s="39"/>
      <c r="Q700" s="39"/>
    </row>
    <row r="701" ht="22.5" customHeight="1">
      <c r="A701" s="33"/>
      <c r="B701" s="34"/>
      <c r="C701" s="34"/>
      <c r="D701" s="34"/>
      <c r="E701" s="34"/>
      <c r="F701" s="35"/>
      <c r="G701" s="40"/>
      <c r="H701" s="41"/>
      <c r="I701" s="38"/>
      <c r="J701" s="35"/>
      <c r="K701" s="35"/>
      <c r="L701" s="39"/>
      <c r="M701" s="39"/>
      <c r="N701" s="39"/>
      <c r="O701" s="39"/>
      <c r="P701" s="39"/>
      <c r="Q701" s="39"/>
    </row>
    <row r="702" ht="22.5" customHeight="1">
      <c r="A702" s="33"/>
      <c r="B702" s="34"/>
      <c r="C702" s="34"/>
      <c r="D702" s="34"/>
      <c r="E702" s="34"/>
      <c r="F702" s="35"/>
      <c r="G702" s="36"/>
      <c r="H702" s="37"/>
      <c r="I702" s="38"/>
      <c r="J702" s="35"/>
      <c r="K702" s="35"/>
      <c r="L702" s="39"/>
      <c r="M702" s="39"/>
      <c r="N702" s="39"/>
      <c r="O702" s="39"/>
      <c r="P702" s="39"/>
      <c r="Q702" s="39"/>
    </row>
    <row r="703" ht="22.5" customHeight="1">
      <c r="A703" s="33"/>
      <c r="B703" s="34"/>
      <c r="C703" s="34"/>
      <c r="D703" s="34"/>
      <c r="E703" s="34"/>
      <c r="F703" s="35"/>
      <c r="G703" s="40"/>
      <c r="H703" s="41"/>
      <c r="I703" s="38"/>
      <c r="J703" s="35"/>
      <c r="K703" s="35"/>
      <c r="L703" s="39"/>
      <c r="M703" s="39"/>
      <c r="N703" s="39"/>
      <c r="O703" s="39"/>
      <c r="P703" s="39"/>
      <c r="Q703" s="39"/>
    </row>
    <row r="704" ht="22.5" customHeight="1">
      <c r="A704" s="33"/>
      <c r="B704" s="34"/>
      <c r="C704" s="34"/>
      <c r="D704" s="34"/>
      <c r="E704" s="34"/>
      <c r="F704" s="35"/>
      <c r="G704" s="36"/>
      <c r="H704" s="37"/>
      <c r="I704" s="38"/>
      <c r="J704" s="35"/>
      <c r="K704" s="35"/>
      <c r="L704" s="39"/>
      <c r="M704" s="39"/>
      <c r="N704" s="39"/>
      <c r="O704" s="39"/>
      <c r="P704" s="39"/>
      <c r="Q704" s="39"/>
    </row>
    <row r="705" ht="22.5" customHeight="1">
      <c r="A705" s="33"/>
      <c r="B705" s="34"/>
      <c r="C705" s="34"/>
      <c r="D705" s="34"/>
      <c r="E705" s="34"/>
      <c r="F705" s="35"/>
      <c r="G705" s="40"/>
      <c r="H705" s="41"/>
      <c r="I705" s="38"/>
      <c r="J705" s="35"/>
      <c r="K705" s="35"/>
      <c r="L705" s="39"/>
      <c r="M705" s="39"/>
      <c r="N705" s="39"/>
      <c r="O705" s="39"/>
      <c r="P705" s="39"/>
      <c r="Q705" s="39"/>
    </row>
    <row r="706" ht="22.5" customHeight="1">
      <c r="A706" s="33"/>
      <c r="B706" s="34"/>
      <c r="C706" s="34"/>
      <c r="D706" s="34"/>
      <c r="E706" s="34"/>
      <c r="F706" s="35"/>
      <c r="G706" s="36"/>
      <c r="H706" s="37"/>
      <c r="I706" s="38"/>
      <c r="J706" s="35"/>
      <c r="K706" s="35"/>
      <c r="L706" s="39"/>
      <c r="M706" s="39"/>
      <c r="N706" s="39"/>
      <c r="O706" s="39"/>
      <c r="P706" s="39"/>
      <c r="Q706" s="39"/>
    </row>
    <row r="707" ht="22.5" customHeight="1">
      <c r="A707" s="33"/>
      <c r="B707" s="34"/>
      <c r="C707" s="34"/>
      <c r="D707" s="34"/>
      <c r="E707" s="34"/>
      <c r="F707" s="35"/>
      <c r="G707" s="40"/>
      <c r="H707" s="41"/>
      <c r="I707" s="38"/>
      <c r="J707" s="35"/>
      <c r="K707" s="35"/>
      <c r="L707" s="39"/>
      <c r="M707" s="39"/>
      <c r="N707" s="39"/>
      <c r="O707" s="39"/>
      <c r="P707" s="39"/>
      <c r="Q707" s="39"/>
    </row>
    <row r="708" ht="22.5" customHeight="1">
      <c r="A708" s="33"/>
      <c r="B708" s="34"/>
      <c r="C708" s="34"/>
      <c r="D708" s="34"/>
      <c r="E708" s="34"/>
      <c r="F708" s="35"/>
      <c r="G708" s="36"/>
      <c r="H708" s="37"/>
      <c r="I708" s="38"/>
      <c r="J708" s="35"/>
      <c r="K708" s="35"/>
      <c r="L708" s="39"/>
      <c r="M708" s="39"/>
      <c r="N708" s="39"/>
      <c r="O708" s="39"/>
      <c r="P708" s="39"/>
      <c r="Q708" s="39"/>
    </row>
    <row r="709" ht="22.5" customHeight="1">
      <c r="A709" s="33"/>
      <c r="B709" s="34"/>
      <c r="C709" s="34"/>
      <c r="D709" s="34"/>
      <c r="E709" s="34"/>
      <c r="F709" s="35"/>
      <c r="G709" s="40"/>
      <c r="H709" s="41"/>
      <c r="I709" s="38"/>
      <c r="J709" s="35"/>
      <c r="K709" s="35"/>
      <c r="L709" s="39"/>
      <c r="M709" s="39"/>
      <c r="N709" s="39"/>
      <c r="O709" s="39"/>
      <c r="P709" s="39"/>
      <c r="Q709" s="39"/>
    </row>
    <row r="710" ht="22.5" customHeight="1">
      <c r="A710" s="33"/>
      <c r="B710" s="34"/>
      <c r="C710" s="34"/>
      <c r="D710" s="34"/>
      <c r="E710" s="34"/>
      <c r="F710" s="35"/>
      <c r="G710" s="36"/>
      <c r="H710" s="37"/>
      <c r="I710" s="38"/>
      <c r="J710" s="35"/>
      <c r="K710" s="35"/>
      <c r="L710" s="39"/>
      <c r="M710" s="39"/>
      <c r="N710" s="39"/>
      <c r="O710" s="39"/>
      <c r="P710" s="39"/>
      <c r="Q710" s="39"/>
    </row>
    <row r="711" ht="22.5" customHeight="1">
      <c r="A711" s="33"/>
      <c r="B711" s="34"/>
      <c r="C711" s="34"/>
      <c r="D711" s="34"/>
      <c r="E711" s="34"/>
      <c r="F711" s="35"/>
      <c r="G711" s="40"/>
      <c r="H711" s="41"/>
      <c r="I711" s="38"/>
      <c r="J711" s="35"/>
      <c r="K711" s="35"/>
      <c r="L711" s="39"/>
      <c r="M711" s="39"/>
      <c r="N711" s="39"/>
      <c r="O711" s="39"/>
      <c r="P711" s="39"/>
      <c r="Q711" s="39"/>
    </row>
    <row r="712" ht="22.5" customHeight="1">
      <c r="A712" s="33"/>
      <c r="B712" s="34"/>
      <c r="C712" s="34"/>
      <c r="D712" s="34"/>
      <c r="E712" s="34"/>
      <c r="F712" s="35"/>
      <c r="G712" s="36"/>
      <c r="H712" s="37"/>
      <c r="I712" s="38"/>
      <c r="J712" s="35"/>
      <c r="K712" s="35"/>
      <c r="L712" s="39"/>
      <c r="M712" s="39"/>
      <c r="N712" s="39"/>
      <c r="O712" s="39"/>
      <c r="P712" s="39"/>
      <c r="Q712" s="39"/>
    </row>
    <row r="713" ht="22.5" customHeight="1">
      <c r="A713" s="33"/>
      <c r="B713" s="34"/>
      <c r="C713" s="34"/>
      <c r="D713" s="34"/>
      <c r="E713" s="34"/>
      <c r="F713" s="35"/>
      <c r="G713" s="40"/>
      <c r="H713" s="41"/>
      <c r="I713" s="38"/>
      <c r="J713" s="35"/>
      <c r="K713" s="35"/>
      <c r="L713" s="39"/>
      <c r="M713" s="39"/>
      <c r="N713" s="39"/>
      <c r="O713" s="39"/>
      <c r="P713" s="39"/>
      <c r="Q713" s="39"/>
    </row>
    <row r="714" ht="22.5" customHeight="1">
      <c r="A714" s="33"/>
      <c r="B714" s="34"/>
      <c r="C714" s="34"/>
      <c r="D714" s="34"/>
      <c r="E714" s="34"/>
      <c r="F714" s="35"/>
      <c r="G714" s="36"/>
      <c r="H714" s="37"/>
      <c r="I714" s="38"/>
      <c r="J714" s="35"/>
      <c r="K714" s="35"/>
      <c r="L714" s="39"/>
      <c r="M714" s="39"/>
      <c r="N714" s="39"/>
      <c r="O714" s="39"/>
      <c r="P714" s="39"/>
      <c r="Q714" s="39"/>
    </row>
    <row r="715" ht="22.5" customHeight="1">
      <c r="A715" s="33"/>
      <c r="B715" s="34"/>
      <c r="C715" s="34"/>
      <c r="D715" s="34"/>
      <c r="E715" s="34"/>
      <c r="F715" s="35"/>
      <c r="G715" s="40"/>
      <c r="H715" s="41"/>
      <c r="I715" s="38"/>
      <c r="J715" s="35"/>
      <c r="K715" s="35"/>
      <c r="L715" s="39"/>
      <c r="M715" s="39"/>
      <c r="N715" s="39"/>
      <c r="O715" s="39"/>
      <c r="P715" s="39"/>
      <c r="Q715" s="39"/>
    </row>
    <row r="716" ht="22.5" customHeight="1">
      <c r="A716" s="33"/>
      <c r="B716" s="34"/>
      <c r="C716" s="34"/>
      <c r="D716" s="34"/>
      <c r="E716" s="34"/>
      <c r="F716" s="35"/>
      <c r="G716" s="36"/>
      <c r="H716" s="37"/>
      <c r="I716" s="38"/>
      <c r="J716" s="35"/>
      <c r="K716" s="35"/>
      <c r="L716" s="39"/>
      <c r="M716" s="39"/>
      <c r="N716" s="39"/>
      <c r="O716" s="39"/>
      <c r="P716" s="39"/>
      <c r="Q716" s="39"/>
    </row>
    <row r="717" ht="22.5" customHeight="1">
      <c r="A717" s="33"/>
      <c r="B717" s="34"/>
      <c r="C717" s="34"/>
      <c r="D717" s="34"/>
      <c r="E717" s="34"/>
      <c r="F717" s="35"/>
      <c r="G717" s="40"/>
      <c r="H717" s="41"/>
      <c r="I717" s="38"/>
      <c r="J717" s="35"/>
      <c r="K717" s="35"/>
      <c r="L717" s="39"/>
      <c r="M717" s="39"/>
      <c r="N717" s="39"/>
      <c r="O717" s="39"/>
      <c r="P717" s="39"/>
      <c r="Q717" s="39"/>
    </row>
    <row r="718" ht="22.5" customHeight="1">
      <c r="A718" s="33"/>
      <c r="B718" s="34"/>
      <c r="C718" s="34"/>
      <c r="D718" s="34"/>
      <c r="E718" s="34"/>
      <c r="F718" s="35"/>
      <c r="G718" s="36"/>
      <c r="H718" s="37"/>
      <c r="I718" s="38"/>
      <c r="J718" s="35"/>
      <c r="K718" s="35"/>
      <c r="L718" s="39"/>
      <c r="M718" s="39"/>
      <c r="N718" s="39"/>
      <c r="O718" s="39"/>
      <c r="P718" s="39"/>
      <c r="Q718" s="39"/>
    </row>
    <row r="719" ht="22.5" customHeight="1">
      <c r="A719" s="33"/>
      <c r="B719" s="34"/>
      <c r="C719" s="34"/>
      <c r="D719" s="34"/>
      <c r="E719" s="34"/>
      <c r="F719" s="35"/>
      <c r="G719" s="40"/>
      <c r="H719" s="41"/>
      <c r="I719" s="38"/>
      <c r="J719" s="35"/>
      <c r="K719" s="35"/>
      <c r="L719" s="39"/>
      <c r="M719" s="39"/>
      <c r="N719" s="39"/>
      <c r="O719" s="39"/>
      <c r="P719" s="39"/>
      <c r="Q719" s="39"/>
    </row>
    <row r="720" ht="22.5" customHeight="1">
      <c r="A720" s="33"/>
      <c r="B720" s="34"/>
      <c r="C720" s="34"/>
      <c r="D720" s="34"/>
      <c r="E720" s="34"/>
      <c r="F720" s="35"/>
      <c r="G720" s="36"/>
      <c r="H720" s="37"/>
      <c r="I720" s="38"/>
      <c r="J720" s="35"/>
      <c r="K720" s="35"/>
      <c r="L720" s="39"/>
      <c r="M720" s="39"/>
      <c r="N720" s="39"/>
      <c r="O720" s="39"/>
      <c r="P720" s="39"/>
      <c r="Q720" s="39"/>
    </row>
    <row r="721" ht="22.5" customHeight="1">
      <c r="A721" s="33"/>
      <c r="B721" s="34"/>
      <c r="C721" s="34"/>
      <c r="D721" s="34"/>
      <c r="E721" s="34"/>
      <c r="F721" s="35"/>
      <c r="G721" s="40"/>
      <c r="H721" s="41"/>
      <c r="I721" s="38"/>
      <c r="J721" s="35"/>
      <c r="K721" s="35"/>
      <c r="L721" s="39"/>
      <c r="M721" s="39"/>
      <c r="N721" s="39"/>
      <c r="O721" s="39"/>
      <c r="P721" s="39"/>
      <c r="Q721" s="39"/>
    </row>
    <row r="722" ht="22.5" customHeight="1">
      <c r="A722" s="33"/>
      <c r="B722" s="34"/>
      <c r="C722" s="34"/>
      <c r="D722" s="34"/>
      <c r="E722" s="34"/>
      <c r="F722" s="35"/>
      <c r="G722" s="36"/>
      <c r="H722" s="37"/>
      <c r="I722" s="38"/>
      <c r="J722" s="35"/>
      <c r="K722" s="35"/>
      <c r="L722" s="39"/>
      <c r="M722" s="39"/>
      <c r="N722" s="39"/>
      <c r="O722" s="39"/>
      <c r="P722" s="39"/>
      <c r="Q722" s="39"/>
    </row>
    <row r="723" ht="22.5" customHeight="1">
      <c r="A723" s="33"/>
      <c r="B723" s="34"/>
      <c r="C723" s="34"/>
      <c r="D723" s="34"/>
      <c r="E723" s="34"/>
      <c r="F723" s="35"/>
      <c r="G723" s="40"/>
      <c r="H723" s="41"/>
      <c r="I723" s="38"/>
      <c r="J723" s="35"/>
      <c r="K723" s="35"/>
      <c r="L723" s="39"/>
      <c r="M723" s="39"/>
      <c r="N723" s="39"/>
      <c r="O723" s="39"/>
      <c r="P723" s="39"/>
      <c r="Q723" s="39"/>
    </row>
    <row r="724" ht="22.5" customHeight="1">
      <c r="A724" s="33"/>
      <c r="B724" s="34"/>
      <c r="C724" s="34"/>
      <c r="D724" s="34"/>
      <c r="E724" s="34"/>
      <c r="F724" s="35"/>
      <c r="G724" s="36"/>
      <c r="H724" s="37"/>
      <c r="I724" s="38"/>
      <c r="J724" s="35"/>
      <c r="K724" s="35"/>
      <c r="L724" s="39"/>
      <c r="M724" s="39"/>
      <c r="N724" s="39"/>
      <c r="O724" s="39"/>
      <c r="P724" s="39"/>
      <c r="Q724" s="39"/>
    </row>
    <row r="725" ht="22.5" customHeight="1">
      <c r="A725" s="33"/>
      <c r="B725" s="34"/>
      <c r="C725" s="34"/>
      <c r="D725" s="34"/>
      <c r="E725" s="34"/>
      <c r="F725" s="35"/>
      <c r="G725" s="40"/>
      <c r="H725" s="41"/>
      <c r="I725" s="38"/>
      <c r="J725" s="35"/>
      <c r="K725" s="35"/>
      <c r="L725" s="39"/>
      <c r="M725" s="39"/>
      <c r="N725" s="39"/>
      <c r="O725" s="39"/>
      <c r="P725" s="39"/>
      <c r="Q725" s="39"/>
    </row>
    <row r="726" ht="22.5" customHeight="1">
      <c r="A726" s="33"/>
      <c r="B726" s="34"/>
      <c r="C726" s="34"/>
      <c r="D726" s="34"/>
      <c r="E726" s="34"/>
      <c r="F726" s="35"/>
      <c r="G726" s="36"/>
      <c r="H726" s="37"/>
      <c r="I726" s="38"/>
      <c r="J726" s="35"/>
      <c r="K726" s="35"/>
      <c r="L726" s="39"/>
      <c r="M726" s="39"/>
      <c r="N726" s="39"/>
      <c r="O726" s="39"/>
      <c r="P726" s="39"/>
      <c r="Q726" s="39"/>
    </row>
    <row r="727" ht="22.5" customHeight="1">
      <c r="A727" s="33"/>
      <c r="B727" s="34"/>
      <c r="C727" s="34"/>
      <c r="D727" s="34"/>
      <c r="E727" s="34"/>
      <c r="F727" s="35"/>
      <c r="G727" s="40"/>
      <c r="H727" s="41"/>
      <c r="I727" s="38"/>
      <c r="J727" s="35"/>
      <c r="K727" s="35"/>
      <c r="L727" s="39"/>
      <c r="M727" s="39"/>
      <c r="N727" s="39"/>
      <c r="O727" s="39"/>
      <c r="P727" s="39"/>
      <c r="Q727" s="39"/>
    </row>
    <row r="728" ht="22.5" customHeight="1">
      <c r="A728" s="33"/>
      <c r="B728" s="34"/>
      <c r="C728" s="34"/>
      <c r="D728" s="34"/>
      <c r="E728" s="34"/>
      <c r="F728" s="35"/>
      <c r="G728" s="36"/>
      <c r="H728" s="37"/>
      <c r="I728" s="38"/>
      <c r="J728" s="35"/>
      <c r="K728" s="35"/>
      <c r="L728" s="39"/>
      <c r="M728" s="39"/>
      <c r="N728" s="39"/>
      <c r="O728" s="39"/>
      <c r="P728" s="39"/>
      <c r="Q728" s="39"/>
    </row>
    <row r="729" ht="22.5" customHeight="1">
      <c r="A729" s="33"/>
      <c r="B729" s="34"/>
      <c r="C729" s="34"/>
      <c r="D729" s="34"/>
      <c r="E729" s="34"/>
      <c r="F729" s="35"/>
      <c r="G729" s="40"/>
      <c r="H729" s="41"/>
      <c r="I729" s="38"/>
      <c r="J729" s="35"/>
      <c r="K729" s="35"/>
      <c r="L729" s="39"/>
      <c r="M729" s="39"/>
      <c r="N729" s="39"/>
      <c r="O729" s="39"/>
      <c r="P729" s="39"/>
      <c r="Q729" s="39"/>
    </row>
    <row r="730" ht="22.5" customHeight="1">
      <c r="A730" s="33"/>
      <c r="B730" s="34"/>
      <c r="C730" s="34"/>
      <c r="D730" s="34"/>
      <c r="E730" s="34"/>
      <c r="F730" s="35"/>
      <c r="G730" s="36"/>
      <c r="H730" s="37"/>
      <c r="I730" s="38"/>
      <c r="J730" s="35"/>
      <c r="K730" s="35"/>
      <c r="L730" s="39"/>
      <c r="M730" s="39"/>
      <c r="N730" s="39"/>
      <c r="O730" s="39"/>
      <c r="P730" s="39"/>
      <c r="Q730" s="39"/>
    </row>
    <row r="731" ht="22.5" customHeight="1">
      <c r="A731" s="33"/>
      <c r="B731" s="34"/>
      <c r="C731" s="34"/>
      <c r="D731" s="34"/>
      <c r="E731" s="34"/>
      <c r="F731" s="35"/>
      <c r="G731" s="40"/>
      <c r="H731" s="41"/>
      <c r="I731" s="38"/>
      <c r="J731" s="35"/>
      <c r="K731" s="35"/>
      <c r="L731" s="39"/>
      <c r="M731" s="39"/>
      <c r="N731" s="39"/>
      <c r="O731" s="39"/>
      <c r="P731" s="39"/>
      <c r="Q731" s="39"/>
    </row>
    <row r="732" ht="22.5" customHeight="1">
      <c r="A732" s="33"/>
      <c r="B732" s="34"/>
      <c r="C732" s="34"/>
      <c r="D732" s="34"/>
      <c r="E732" s="34"/>
      <c r="F732" s="35"/>
      <c r="G732" s="36"/>
      <c r="H732" s="37"/>
      <c r="I732" s="38"/>
      <c r="J732" s="35"/>
      <c r="K732" s="35"/>
      <c r="L732" s="39"/>
      <c r="M732" s="39"/>
      <c r="N732" s="39"/>
      <c r="O732" s="39"/>
      <c r="P732" s="39"/>
      <c r="Q732" s="39"/>
    </row>
    <row r="733" ht="22.5" customHeight="1">
      <c r="A733" s="33"/>
      <c r="B733" s="34"/>
      <c r="C733" s="34"/>
      <c r="D733" s="34"/>
      <c r="E733" s="34"/>
      <c r="F733" s="35"/>
      <c r="G733" s="40"/>
      <c r="H733" s="41"/>
      <c r="I733" s="38"/>
      <c r="J733" s="35"/>
      <c r="K733" s="35"/>
      <c r="L733" s="39"/>
      <c r="M733" s="39"/>
      <c r="N733" s="39"/>
      <c r="O733" s="39"/>
      <c r="P733" s="39"/>
      <c r="Q733" s="39"/>
    </row>
    <row r="734" ht="22.5" customHeight="1">
      <c r="A734" s="33"/>
      <c r="B734" s="34"/>
      <c r="C734" s="34"/>
      <c r="D734" s="34"/>
      <c r="E734" s="34"/>
      <c r="F734" s="35"/>
      <c r="G734" s="36"/>
      <c r="H734" s="37"/>
      <c r="I734" s="38"/>
      <c r="J734" s="35"/>
      <c r="K734" s="35"/>
      <c r="L734" s="39"/>
      <c r="M734" s="39"/>
      <c r="N734" s="39"/>
      <c r="O734" s="39"/>
      <c r="P734" s="39"/>
      <c r="Q734" s="39"/>
    </row>
    <row r="735" ht="22.5" customHeight="1">
      <c r="A735" s="33"/>
      <c r="B735" s="34"/>
      <c r="C735" s="34"/>
      <c r="D735" s="34"/>
      <c r="E735" s="34"/>
      <c r="F735" s="35"/>
      <c r="G735" s="40"/>
      <c r="H735" s="41"/>
      <c r="I735" s="38"/>
      <c r="J735" s="35"/>
      <c r="K735" s="35"/>
      <c r="L735" s="39"/>
      <c r="M735" s="39"/>
      <c r="N735" s="39"/>
      <c r="O735" s="39"/>
      <c r="P735" s="39"/>
      <c r="Q735" s="39"/>
    </row>
    <row r="736" ht="22.5" customHeight="1">
      <c r="A736" s="33"/>
      <c r="B736" s="34"/>
      <c r="C736" s="34"/>
      <c r="D736" s="34"/>
      <c r="E736" s="34"/>
      <c r="F736" s="35"/>
      <c r="G736" s="36"/>
      <c r="H736" s="37"/>
      <c r="I736" s="38"/>
      <c r="J736" s="35"/>
      <c r="K736" s="35"/>
      <c r="L736" s="39"/>
      <c r="M736" s="39"/>
      <c r="N736" s="39"/>
      <c r="O736" s="39"/>
      <c r="P736" s="39"/>
      <c r="Q736" s="39"/>
    </row>
    <row r="737" ht="22.5" customHeight="1">
      <c r="A737" s="33"/>
      <c r="B737" s="34"/>
      <c r="C737" s="34"/>
      <c r="D737" s="34"/>
      <c r="E737" s="34"/>
      <c r="F737" s="35"/>
      <c r="G737" s="40"/>
      <c r="H737" s="41"/>
      <c r="I737" s="38"/>
      <c r="J737" s="35"/>
      <c r="K737" s="35"/>
      <c r="L737" s="39"/>
      <c r="M737" s="39"/>
      <c r="N737" s="39"/>
      <c r="O737" s="39"/>
      <c r="P737" s="39"/>
      <c r="Q737" s="39"/>
    </row>
    <row r="738" ht="22.5" customHeight="1">
      <c r="A738" s="33"/>
      <c r="B738" s="34"/>
      <c r="C738" s="34"/>
      <c r="D738" s="34"/>
      <c r="E738" s="34"/>
      <c r="F738" s="35"/>
      <c r="G738" s="36"/>
      <c r="H738" s="37"/>
      <c r="I738" s="38"/>
      <c r="J738" s="35"/>
      <c r="K738" s="35"/>
      <c r="L738" s="39"/>
      <c r="M738" s="39"/>
      <c r="N738" s="39"/>
      <c r="O738" s="39"/>
      <c r="P738" s="39"/>
      <c r="Q738" s="39"/>
    </row>
    <row r="739" ht="22.5" customHeight="1">
      <c r="A739" s="33"/>
      <c r="B739" s="34"/>
      <c r="C739" s="34"/>
      <c r="D739" s="34"/>
      <c r="E739" s="34"/>
      <c r="F739" s="35"/>
      <c r="G739" s="40"/>
      <c r="H739" s="41"/>
      <c r="I739" s="38"/>
      <c r="J739" s="35"/>
      <c r="K739" s="35"/>
      <c r="L739" s="39"/>
      <c r="M739" s="39"/>
      <c r="N739" s="39"/>
      <c r="O739" s="39"/>
      <c r="P739" s="39"/>
      <c r="Q739" s="39"/>
    </row>
    <row r="740" ht="22.5" customHeight="1">
      <c r="A740" s="33"/>
      <c r="B740" s="34"/>
      <c r="C740" s="34"/>
      <c r="D740" s="34"/>
      <c r="E740" s="34"/>
      <c r="F740" s="35"/>
      <c r="G740" s="36"/>
      <c r="H740" s="37"/>
      <c r="I740" s="38"/>
      <c r="J740" s="35"/>
      <c r="K740" s="35"/>
      <c r="L740" s="39"/>
      <c r="M740" s="39"/>
      <c r="N740" s="39"/>
      <c r="O740" s="39"/>
      <c r="P740" s="39"/>
      <c r="Q740" s="39"/>
    </row>
    <row r="741" ht="22.5" customHeight="1">
      <c r="A741" s="33"/>
      <c r="B741" s="34"/>
      <c r="C741" s="34"/>
      <c r="D741" s="34"/>
      <c r="E741" s="34"/>
      <c r="F741" s="35"/>
      <c r="G741" s="40"/>
      <c r="H741" s="41"/>
      <c r="I741" s="38"/>
      <c r="J741" s="35"/>
      <c r="K741" s="35"/>
      <c r="L741" s="39"/>
      <c r="M741" s="39"/>
      <c r="N741" s="39"/>
      <c r="O741" s="39"/>
      <c r="P741" s="39"/>
      <c r="Q741" s="39"/>
    </row>
    <row r="742" ht="22.5" customHeight="1">
      <c r="A742" s="33"/>
      <c r="B742" s="34"/>
      <c r="C742" s="34"/>
      <c r="D742" s="34"/>
      <c r="E742" s="34"/>
      <c r="F742" s="35"/>
      <c r="G742" s="36"/>
      <c r="H742" s="37"/>
      <c r="I742" s="38"/>
      <c r="J742" s="35"/>
      <c r="K742" s="35"/>
      <c r="L742" s="39"/>
      <c r="M742" s="39"/>
      <c r="N742" s="39"/>
      <c r="O742" s="39"/>
      <c r="P742" s="39"/>
      <c r="Q742" s="39"/>
    </row>
    <row r="743" ht="22.5" customHeight="1">
      <c r="A743" s="33"/>
      <c r="B743" s="34"/>
      <c r="C743" s="34"/>
      <c r="D743" s="34"/>
      <c r="E743" s="34"/>
      <c r="F743" s="35"/>
      <c r="G743" s="40"/>
      <c r="H743" s="41"/>
      <c r="I743" s="38"/>
      <c r="J743" s="35"/>
      <c r="K743" s="35"/>
      <c r="L743" s="39"/>
      <c r="M743" s="39"/>
      <c r="N743" s="39"/>
      <c r="O743" s="39"/>
      <c r="P743" s="39"/>
      <c r="Q743" s="39"/>
    </row>
    <row r="744" ht="22.5" customHeight="1">
      <c r="A744" s="33"/>
      <c r="B744" s="34"/>
      <c r="C744" s="34"/>
      <c r="D744" s="34"/>
      <c r="E744" s="34"/>
      <c r="F744" s="35"/>
      <c r="G744" s="36"/>
      <c r="H744" s="37"/>
      <c r="I744" s="38"/>
      <c r="J744" s="35"/>
      <c r="K744" s="35"/>
      <c r="L744" s="39"/>
      <c r="M744" s="39"/>
      <c r="N744" s="39"/>
      <c r="O744" s="39"/>
      <c r="P744" s="39"/>
      <c r="Q744" s="39"/>
    </row>
    <row r="745" ht="22.5" customHeight="1">
      <c r="A745" s="33"/>
      <c r="B745" s="34"/>
      <c r="C745" s="34"/>
      <c r="D745" s="34"/>
      <c r="E745" s="34"/>
      <c r="F745" s="35"/>
      <c r="G745" s="40"/>
      <c r="H745" s="41"/>
      <c r="I745" s="38"/>
      <c r="J745" s="35"/>
      <c r="K745" s="35"/>
      <c r="L745" s="39"/>
      <c r="M745" s="39"/>
      <c r="N745" s="39"/>
      <c r="O745" s="39"/>
      <c r="P745" s="39"/>
      <c r="Q745" s="39"/>
    </row>
    <row r="746" ht="22.5" customHeight="1">
      <c r="A746" s="33"/>
      <c r="B746" s="34"/>
      <c r="C746" s="34"/>
      <c r="D746" s="34"/>
      <c r="E746" s="34"/>
      <c r="F746" s="35"/>
      <c r="G746" s="36"/>
      <c r="H746" s="37"/>
      <c r="I746" s="38"/>
      <c r="J746" s="35"/>
      <c r="K746" s="35"/>
      <c r="L746" s="39"/>
      <c r="M746" s="39"/>
      <c r="N746" s="39"/>
      <c r="O746" s="39"/>
      <c r="P746" s="39"/>
      <c r="Q746" s="39"/>
    </row>
    <row r="747" ht="22.5" customHeight="1">
      <c r="A747" s="33"/>
      <c r="B747" s="34"/>
      <c r="C747" s="34"/>
      <c r="D747" s="34"/>
      <c r="E747" s="34"/>
      <c r="F747" s="35"/>
      <c r="G747" s="40"/>
      <c r="H747" s="41"/>
      <c r="I747" s="38"/>
      <c r="J747" s="35"/>
      <c r="K747" s="35"/>
      <c r="L747" s="39"/>
      <c r="M747" s="39"/>
      <c r="N747" s="39"/>
      <c r="O747" s="39"/>
      <c r="P747" s="39"/>
      <c r="Q747" s="39"/>
    </row>
    <row r="748" ht="22.5" customHeight="1">
      <c r="A748" s="33"/>
      <c r="B748" s="34"/>
      <c r="C748" s="34"/>
      <c r="D748" s="34"/>
      <c r="E748" s="34"/>
      <c r="F748" s="35"/>
      <c r="G748" s="36"/>
      <c r="H748" s="37"/>
      <c r="I748" s="38"/>
      <c r="J748" s="35"/>
      <c r="K748" s="35"/>
      <c r="L748" s="39"/>
      <c r="M748" s="39"/>
      <c r="N748" s="39"/>
      <c r="O748" s="39"/>
      <c r="P748" s="39"/>
      <c r="Q748" s="39"/>
    </row>
    <row r="749" ht="22.5" customHeight="1">
      <c r="A749" s="33"/>
      <c r="B749" s="34"/>
      <c r="C749" s="34"/>
      <c r="D749" s="34"/>
      <c r="E749" s="34"/>
      <c r="F749" s="35"/>
      <c r="G749" s="40"/>
      <c r="H749" s="41"/>
      <c r="I749" s="38"/>
      <c r="J749" s="35"/>
      <c r="K749" s="35"/>
      <c r="L749" s="39"/>
      <c r="M749" s="39"/>
      <c r="N749" s="39"/>
      <c r="O749" s="39"/>
      <c r="P749" s="39"/>
      <c r="Q749" s="39"/>
    </row>
    <row r="750" ht="22.5" customHeight="1">
      <c r="A750" s="33"/>
      <c r="B750" s="34"/>
      <c r="C750" s="34"/>
      <c r="D750" s="34"/>
      <c r="E750" s="34"/>
      <c r="F750" s="35"/>
      <c r="G750" s="36"/>
      <c r="H750" s="37"/>
      <c r="I750" s="38"/>
      <c r="J750" s="35"/>
      <c r="K750" s="35"/>
      <c r="L750" s="39"/>
      <c r="M750" s="39"/>
      <c r="N750" s="39"/>
      <c r="O750" s="39"/>
      <c r="P750" s="39"/>
      <c r="Q750" s="39"/>
    </row>
    <row r="751" ht="22.5" customHeight="1">
      <c r="A751" s="33"/>
      <c r="B751" s="34"/>
      <c r="C751" s="34"/>
      <c r="D751" s="34"/>
      <c r="E751" s="34"/>
      <c r="F751" s="35"/>
      <c r="G751" s="40"/>
      <c r="H751" s="41"/>
      <c r="I751" s="38"/>
      <c r="J751" s="35"/>
      <c r="K751" s="35"/>
      <c r="L751" s="39"/>
      <c r="M751" s="39"/>
      <c r="N751" s="39"/>
      <c r="O751" s="39"/>
      <c r="P751" s="39"/>
      <c r="Q751" s="39"/>
    </row>
    <row r="752" ht="22.5" customHeight="1">
      <c r="A752" s="33"/>
      <c r="B752" s="34"/>
      <c r="C752" s="34"/>
      <c r="D752" s="34"/>
      <c r="E752" s="34"/>
      <c r="F752" s="35"/>
      <c r="G752" s="36"/>
      <c r="H752" s="37"/>
      <c r="I752" s="38"/>
      <c r="J752" s="35"/>
      <c r="K752" s="35"/>
      <c r="L752" s="39"/>
      <c r="M752" s="39"/>
      <c r="N752" s="39"/>
      <c r="O752" s="39"/>
      <c r="P752" s="39"/>
      <c r="Q752" s="39"/>
    </row>
    <row r="753" ht="22.5" customHeight="1">
      <c r="A753" s="33"/>
      <c r="B753" s="34"/>
      <c r="C753" s="34"/>
      <c r="D753" s="34"/>
      <c r="E753" s="34"/>
      <c r="F753" s="35"/>
      <c r="G753" s="40"/>
      <c r="H753" s="41"/>
      <c r="I753" s="38"/>
      <c r="J753" s="35"/>
      <c r="K753" s="35"/>
      <c r="L753" s="39"/>
      <c r="M753" s="39"/>
      <c r="N753" s="39"/>
      <c r="O753" s="39"/>
      <c r="P753" s="39"/>
      <c r="Q753" s="39"/>
    </row>
    <row r="754" ht="22.5" customHeight="1">
      <c r="A754" s="33"/>
      <c r="B754" s="34"/>
      <c r="C754" s="34"/>
      <c r="D754" s="34"/>
      <c r="E754" s="34"/>
      <c r="F754" s="35"/>
      <c r="G754" s="36"/>
      <c r="H754" s="37"/>
      <c r="I754" s="38"/>
      <c r="J754" s="35"/>
      <c r="K754" s="35"/>
      <c r="L754" s="39"/>
      <c r="M754" s="39"/>
      <c r="N754" s="39"/>
      <c r="O754" s="39"/>
      <c r="P754" s="39"/>
      <c r="Q754" s="39"/>
    </row>
    <row r="755" ht="22.5" customHeight="1">
      <c r="A755" s="33"/>
      <c r="B755" s="34"/>
      <c r="C755" s="34"/>
      <c r="D755" s="34"/>
      <c r="E755" s="34"/>
      <c r="F755" s="35"/>
      <c r="G755" s="40"/>
      <c r="H755" s="41"/>
      <c r="I755" s="38"/>
      <c r="J755" s="35"/>
      <c r="K755" s="35"/>
      <c r="L755" s="39"/>
      <c r="M755" s="39"/>
      <c r="N755" s="39"/>
      <c r="O755" s="39"/>
      <c r="P755" s="39"/>
      <c r="Q755" s="39"/>
    </row>
    <row r="756" ht="22.5" customHeight="1">
      <c r="A756" s="33"/>
      <c r="B756" s="34"/>
      <c r="C756" s="34"/>
      <c r="D756" s="34"/>
      <c r="E756" s="34"/>
      <c r="F756" s="35"/>
      <c r="G756" s="36"/>
      <c r="H756" s="37"/>
      <c r="I756" s="38"/>
      <c r="J756" s="35"/>
      <c r="K756" s="35"/>
      <c r="L756" s="39"/>
      <c r="M756" s="39"/>
      <c r="N756" s="39"/>
      <c r="O756" s="39"/>
      <c r="P756" s="39"/>
      <c r="Q756" s="39"/>
    </row>
    <row r="757" ht="22.5" customHeight="1">
      <c r="A757" s="33"/>
      <c r="B757" s="34"/>
      <c r="C757" s="34"/>
      <c r="D757" s="34"/>
      <c r="E757" s="34"/>
      <c r="F757" s="35"/>
      <c r="G757" s="40"/>
      <c r="H757" s="41"/>
      <c r="I757" s="38"/>
      <c r="J757" s="35"/>
      <c r="K757" s="35"/>
      <c r="L757" s="39"/>
      <c r="M757" s="39"/>
      <c r="N757" s="39"/>
      <c r="O757" s="39"/>
      <c r="P757" s="39"/>
      <c r="Q757" s="39"/>
    </row>
    <row r="758" ht="22.5" customHeight="1">
      <c r="A758" s="33"/>
      <c r="B758" s="34"/>
      <c r="C758" s="34"/>
      <c r="D758" s="34"/>
      <c r="E758" s="34"/>
      <c r="F758" s="35"/>
      <c r="G758" s="36"/>
      <c r="H758" s="37"/>
      <c r="I758" s="38"/>
      <c r="J758" s="35"/>
      <c r="K758" s="35"/>
      <c r="L758" s="39"/>
      <c r="M758" s="39"/>
      <c r="N758" s="39"/>
      <c r="O758" s="39"/>
      <c r="P758" s="39"/>
      <c r="Q758" s="39"/>
    </row>
    <row r="759" ht="22.5" customHeight="1">
      <c r="A759" s="33"/>
      <c r="B759" s="34"/>
      <c r="C759" s="34"/>
      <c r="D759" s="34"/>
      <c r="E759" s="34"/>
      <c r="F759" s="35"/>
      <c r="G759" s="40"/>
      <c r="H759" s="41"/>
      <c r="I759" s="38"/>
      <c r="J759" s="35"/>
      <c r="K759" s="35"/>
      <c r="L759" s="39"/>
      <c r="M759" s="39"/>
      <c r="N759" s="39"/>
      <c r="O759" s="39"/>
      <c r="P759" s="39"/>
      <c r="Q759" s="39"/>
    </row>
    <row r="760" ht="22.5" customHeight="1">
      <c r="A760" s="33"/>
      <c r="B760" s="34"/>
      <c r="C760" s="34"/>
      <c r="D760" s="34"/>
      <c r="E760" s="34"/>
      <c r="F760" s="35"/>
      <c r="G760" s="36"/>
      <c r="H760" s="37"/>
      <c r="I760" s="38"/>
      <c r="J760" s="35"/>
      <c r="K760" s="35"/>
      <c r="L760" s="39"/>
      <c r="M760" s="39"/>
      <c r="N760" s="39"/>
      <c r="O760" s="39"/>
      <c r="P760" s="39"/>
      <c r="Q760" s="39"/>
    </row>
    <row r="761" ht="22.5" customHeight="1">
      <c r="A761" s="33"/>
      <c r="B761" s="34"/>
      <c r="C761" s="34"/>
      <c r="D761" s="34"/>
      <c r="E761" s="34"/>
      <c r="F761" s="35"/>
      <c r="G761" s="40"/>
      <c r="H761" s="41"/>
      <c r="I761" s="38"/>
      <c r="J761" s="35"/>
      <c r="K761" s="35"/>
      <c r="L761" s="39"/>
      <c r="M761" s="39"/>
      <c r="N761" s="39"/>
      <c r="O761" s="39"/>
      <c r="P761" s="39"/>
      <c r="Q761" s="39"/>
    </row>
    <row r="762" ht="22.5" customHeight="1">
      <c r="A762" s="33"/>
      <c r="B762" s="34"/>
      <c r="C762" s="34"/>
      <c r="D762" s="34"/>
      <c r="E762" s="34"/>
      <c r="F762" s="35"/>
      <c r="G762" s="36"/>
      <c r="H762" s="37"/>
      <c r="I762" s="38"/>
      <c r="J762" s="35"/>
      <c r="K762" s="35"/>
      <c r="L762" s="39"/>
      <c r="M762" s="39"/>
      <c r="N762" s="39"/>
      <c r="O762" s="39"/>
      <c r="P762" s="39"/>
      <c r="Q762" s="39"/>
    </row>
    <row r="763" ht="22.5" customHeight="1">
      <c r="A763" s="33"/>
      <c r="B763" s="34"/>
      <c r="C763" s="34"/>
      <c r="D763" s="34"/>
      <c r="E763" s="34"/>
      <c r="F763" s="35"/>
      <c r="G763" s="40"/>
      <c r="H763" s="41"/>
      <c r="I763" s="38"/>
      <c r="J763" s="35"/>
      <c r="K763" s="35"/>
      <c r="L763" s="39"/>
      <c r="M763" s="39"/>
      <c r="N763" s="39"/>
      <c r="O763" s="39"/>
      <c r="P763" s="39"/>
      <c r="Q763" s="39"/>
    </row>
    <row r="764" ht="22.5" customHeight="1">
      <c r="A764" s="33"/>
      <c r="B764" s="34"/>
      <c r="C764" s="34"/>
      <c r="D764" s="34"/>
      <c r="E764" s="34"/>
      <c r="F764" s="35"/>
      <c r="G764" s="36"/>
      <c r="H764" s="37"/>
      <c r="I764" s="38"/>
      <c r="J764" s="35"/>
      <c r="K764" s="35"/>
      <c r="L764" s="39"/>
      <c r="M764" s="39"/>
      <c r="N764" s="39"/>
      <c r="O764" s="39"/>
      <c r="P764" s="39"/>
      <c r="Q764" s="39"/>
    </row>
    <row r="765" ht="22.5" customHeight="1">
      <c r="A765" s="33"/>
      <c r="B765" s="34"/>
      <c r="C765" s="34"/>
      <c r="D765" s="34"/>
      <c r="E765" s="34"/>
      <c r="F765" s="35"/>
      <c r="G765" s="40"/>
      <c r="H765" s="41"/>
      <c r="I765" s="38"/>
      <c r="J765" s="35"/>
      <c r="K765" s="35"/>
      <c r="L765" s="39"/>
      <c r="M765" s="39"/>
      <c r="N765" s="39"/>
      <c r="O765" s="39"/>
      <c r="P765" s="39"/>
      <c r="Q765" s="39"/>
    </row>
    <row r="766" ht="22.5" customHeight="1">
      <c r="A766" s="33"/>
      <c r="B766" s="34"/>
      <c r="C766" s="34"/>
      <c r="D766" s="34"/>
      <c r="E766" s="34"/>
      <c r="F766" s="35"/>
      <c r="G766" s="36"/>
      <c r="H766" s="37"/>
      <c r="I766" s="38"/>
      <c r="J766" s="35"/>
      <c r="K766" s="35"/>
      <c r="L766" s="39"/>
      <c r="M766" s="39"/>
      <c r="N766" s="39"/>
      <c r="O766" s="39"/>
      <c r="P766" s="39"/>
      <c r="Q766" s="39"/>
    </row>
    <row r="767" ht="22.5" customHeight="1">
      <c r="A767" s="33"/>
      <c r="B767" s="34"/>
      <c r="C767" s="34"/>
      <c r="D767" s="34"/>
      <c r="E767" s="34"/>
      <c r="F767" s="35"/>
      <c r="G767" s="40"/>
      <c r="H767" s="41"/>
      <c r="I767" s="38"/>
      <c r="J767" s="35"/>
      <c r="K767" s="35"/>
      <c r="L767" s="39"/>
      <c r="M767" s="39"/>
      <c r="N767" s="39"/>
      <c r="O767" s="39"/>
      <c r="P767" s="39"/>
      <c r="Q767" s="39"/>
    </row>
    <row r="768" ht="22.5" customHeight="1">
      <c r="A768" s="33"/>
      <c r="B768" s="34"/>
      <c r="C768" s="34"/>
      <c r="D768" s="34"/>
      <c r="E768" s="34"/>
      <c r="F768" s="35"/>
      <c r="G768" s="36"/>
      <c r="H768" s="37"/>
      <c r="I768" s="38"/>
      <c r="J768" s="35"/>
      <c r="K768" s="35"/>
      <c r="L768" s="39"/>
      <c r="M768" s="39"/>
      <c r="N768" s="39"/>
      <c r="O768" s="39"/>
      <c r="P768" s="39"/>
      <c r="Q768" s="39"/>
    </row>
    <row r="769" ht="22.5" customHeight="1">
      <c r="A769" s="33"/>
      <c r="B769" s="34"/>
      <c r="C769" s="34"/>
      <c r="D769" s="34"/>
      <c r="E769" s="34"/>
      <c r="F769" s="35"/>
      <c r="G769" s="40"/>
      <c r="H769" s="41"/>
      <c r="I769" s="38"/>
      <c r="J769" s="35"/>
      <c r="K769" s="35"/>
      <c r="L769" s="39"/>
      <c r="M769" s="39"/>
      <c r="N769" s="39"/>
      <c r="O769" s="39"/>
      <c r="P769" s="39"/>
      <c r="Q769" s="39"/>
    </row>
    <row r="770" ht="22.5" customHeight="1">
      <c r="A770" s="33"/>
      <c r="B770" s="34"/>
      <c r="C770" s="34"/>
      <c r="D770" s="34"/>
      <c r="E770" s="34"/>
      <c r="F770" s="35"/>
      <c r="G770" s="36"/>
      <c r="H770" s="37"/>
      <c r="I770" s="38"/>
      <c r="J770" s="35"/>
      <c r="K770" s="35"/>
      <c r="L770" s="39"/>
      <c r="M770" s="39"/>
      <c r="N770" s="39"/>
      <c r="O770" s="39"/>
      <c r="P770" s="39"/>
      <c r="Q770" s="39"/>
    </row>
    <row r="771" ht="22.5" customHeight="1">
      <c r="A771" s="33"/>
      <c r="B771" s="34"/>
      <c r="C771" s="34"/>
      <c r="D771" s="34"/>
      <c r="E771" s="34"/>
      <c r="F771" s="35"/>
      <c r="G771" s="40"/>
      <c r="H771" s="41"/>
      <c r="I771" s="38"/>
      <c r="J771" s="35"/>
      <c r="K771" s="35"/>
      <c r="L771" s="39"/>
      <c r="M771" s="39"/>
      <c r="N771" s="39"/>
      <c r="O771" s="39"/>
      <c r="P771" s="39"/>
      <c r="Q771" s="39"/>
    </row>
    <row r="772" ht="22.5" customHeight="1">
      <c r="A772" s="33"/>
      <c r="B772" s="34"/>
      <c r="C772" s="34"/>
      <c r="D772" s="34"/>
      <c r="E772" s="34"/>
      <c r="F772" s="35"/>
      <c r="G772" s="36"/>
      <c r="H772" s="37"/>
      <c r="I772" s="38"/>
      <c r="J772" s="35"/>
      <c r="K772" s="35"/>
      <c r="L772" s="39"/>
      <c r="M772" s="39"/>
      <c r="N772" s="39"/>
      <c r="O772" s="39"/>
      <c r="P772" s="39"/>
      <c r="Q772" s="39"/>
    </row>
    <row r="773" ht="22.5" customHeight="1">
      <c r="A773" s="33"/>
      <c r="B773" s="34"/>
      <c r="C773" s="34"/>
      <c r="D773" s="34"/>
      <c r="E773" s="34"/>
      <c r="F773" s="35"/>
      <c r="G773" s="40"/>
      <c r="H773" s="41"/>
      <c r="I773" s="38"/>
      <c r="J773" s="35"/>
      <c r="K773" s="35"/>
      <c r="L773" s="39"/>
      <c r="M773" s="39"/>
      <c r="N773" s="39"/>
      <c r="O773" s="39"/>
      <c r="P773" s="39"/>
      <c r="Q773" s="39"/>
    </row>
    <row r="774" ht="22.5" customHeight="1">
      <c r="A774" s="33"/>
      <c r="B774" s="34"/>
      <c r="C774" s="34"/>
      <c r="D774" s="34"/>
      <c r="E774" s="34"/>
      <c r="F774" s="35"/>
      <c r="G774" s="36"/>
      <c r="H774" s="37"/>
      <c r="I774" s="38"/>
      <c r="J774" s="35"/>
      <c r="K774" s="35"/>
      <c r="L774" s="39"/>
      <c r="M774" s="39"/>
      <c r="N774" s="39"/>
      <c r="O774" s="39"/>
      <c r="P774" s="39"/>
      <c r="Q774" s="39"/>
    </row>
    <row r="775" ht="22.5" customHeight="1">
      <c r="A775" s="33"/>
      <c r="B775" s="34"/>
      <c r="C775" s="34"/>
      <c r="D775" s="34"/>
      <c r="E775" s="34"/>
      <c r="F775" s="35"/>
      <c r="G775" s="40"/>
      <c r="H775" s="41"/>
      <c r="I775" s="38"/>
      <c r="J775" s="35"/>
      <c r="K775" s="35"/>
      <c r="L775" s="39"/>
      <c r="M775" s="39"/>
      <c r="N775" s="39"/>
      <c r="O775" s="39"/>
      <c r="P775" s="39"/>
      <c r="Q775" s="39"/>
    </row>
    <row r="776" ht="22.5" customHeight="1">
      <c r="A776" s="33"/>
      <c r="B776" s="34"/>
      <c r="C776" s="34"/>
      <c r="D776" s="34"/>
      <c r="E776" s="34"/>
      <c r="F776" s="35"/>
      <c r="G776" s="36"/>
      <c r="H776" s="37"/>
      <c r="I776" s="38"/>
      <c r="J776" s="35"/>
      <c r="K776" s="35"/>
      <c r="L776" s="39"/>
      <c r="M776" s="39"/>
      <c r="N776" s="39"/>
      <c r="O776" s="39"/>
      <c r="P776" s="39"/>
      <c r="Q776" s="39"/>
    </row>
    <row r="777" ht="22.5" customHeight="1">
      <c r="A777" s="33"/>
      <c r="B777" s="34"/>
      <c r="C777" s="34"/>
      <c r="D777" s="34"/>
      <c r="E777" s="34"/>
      <c r="F777" s="35"/>
      <c r="G777" s="40"/>
      <c r="H777" s="41"/>
      <c r="I777" s="38"/>
      <c r="J777" s="35"/>
      <c r="K777" s="35"/>
      <c r="L777" s="39"/>
      <c r="M777" s="39"/>
      <c r="N777" s="39"/>
      <c r="O777" s="39"/>
      <c r="P777" s="39"/>
      <c r="Q777" s="39"/>
    </row>
    <row r="778" ht="22.5" customHeight="1">
      <c r="A778" s="33"/>
      <c r="B778" s="34"/>
      <c r="C778" s="34"/>
      <c r="D778" s="34"/>
      <c r="E778" s="34"/>
      <c r="F778" s="35"/>
      <c r="G778" s="36"/>
      <c r="H778" s="37"/>
      <c r="I778" s="38"/>
      <c r="J778" s="35"/>
      <c r="K778" s="35"/>
      <c r="L778" s="39"/>
      <c r="M778" s="39"/>
      <c r="N778" s="39"/>
      <c r="O778" s="39"/>
      <c r="P778" s="39"/>
      <c r="Q778" s="39"/>
    </row>
    <row r="779" ht="22.5" customHeight="1">
      <c r="A779" s="33"/>
      <c r="B779" s="34"/>
      <c r="C779" s="34"/>
      <c r="D779" s="34"/>
      <c r="E779" s="34"/>
      <c r="F779" s="35"/>
      <c r="G779" s="40"/>
      <c r="H779" s="41"/>
      <c r="I779" s="38"/>
      <c r="J779" s="35"/>
      <c r="K779" s="35"/>
      <c r="L779" s="39"/>
      <c r="M779" s="39"/>
      <c r="N779" s="39"/>
      <c r="O779" s="39"/>
      <c r="P779" s="39"/>
      <c r="Q779" s="39"/>
    </row>
    <row r="780" ht="22.5" customHeight="1">
      <c r="A780" s="33"/>
      <c r="B780" s="34"/>
      <c r="C780" s="34"/>
      <c r="D780" s="34"/>
      <c r="E780" s="34"/>
      <c r="F780" s="35"/>
      <c r="G780" s="36"/>
      <c r="H780" s="37"/>
      <c r="I780" s="38"/>
      <c r="J780" s="35"/>
      <c r="K780" s="35"/>
      <c r="L780" s="39"/>
      <c r="M780" s="39"/>
      <c r="N780" s="39"/>
      <c r="O780" s="39"/>
      <c r="P780" s="39"/>
      <c r="Q780" s="39"/>
    </row>
    <row r="781" ht="22.5" customHeight="1">
      <c r="A781" s="33"/>
      <c r="B781" s="34"/>
      <c r="C781" s="34"/>
      <c r="D781" s="34"/>
      <c r="E781" s="34"/>
      <c r="F781" s="35"/>
      <c r="G781" s="40"/>
      <c r="H781" s="41"/>
      <c r="I781" s="38"/>
      <c r="J781" s="35"/>
      <c r="K781" s="35"/>
      <c r="L781" s="39"/>
      <c r="M781" s="39"/>
      <c r="N781" s="39"/>
      <c r="O781" s="39"/>
      <c r="P781" s="39"/>
      <c r="Q781" s="39"/>
    </row>
    <row r="782" ht="22.5" customHeight="1">
      <c r="A782" s="33"/>
      <c r="B782" s="34"/>
      <c r="C782" s="34"/>
      <c r="D782" s="34"/>
      <c r="E782" s="34"/>
      <c r="F782" s="35"/>
      <c r="G782" s="36"/>
      <c r="H782" s="37"/>
      <c r="I782" s="38"/>
      <c r="J782" s="35"/>
      <c r="K782" s="35"/>
      <c r="L782" s="39"/>
      <c r="M782" s="39"/>
      <c r="N782" s="39"/>
      <c r="O782" s="39"/>
      <c r="P782" s="39"/>
      <c r="Q782" s="39"/>
    </row>
    <row r="783" ht="22.5" customHeight="1">
      <c r="A783" s="33"/>
      <c r="B783" s="34"/>
      <c r="C783" s="34"/>
      <c r="D783" s="34"/>
      <c r="E783" s="34"/>
      <c r="F783" s="35"/>
      <c r="G783" s="40"/>
      <c r="H783" s="41"/>
      <c r="I783" s="38"/>
      <c r="J783" s="35"/>
      <c r="K783" s="35"/>
      <c r="L783" s="39"/>
      <c r="M783" s="39"/>
      <c r="N783" s="39"/>
      <c r="O783" s="39"/>
      <c r="P783" s="39"/>
      <c r="Q783" s="39"/>
    </row>
    <row r="784" ht="22.5" customHeight="1">
      <c r="A784" s="33"/>
      <c r="B784" s="34"/>
      <c r="C784" s="34"/>
      <c r="D784" s="34"/>
      <c r="E784" s="34"/>
      <c r="F784" s="35"/>
      <c r="G784" s="36"/>
      <c r="H784" s="37"/>
      <c r="I784" s="38"/>
      <c r="J784" s="35"/>
      <c r="K784" s="35"/>
      <c r="L784" s="39"/>
      <c r="M784" s="39"/>
      <c r="N784" s="39"/>
      <c r="O784" s="39"/>
      <c r="P784" s="39"/>
      <c r="Q784" s="39"/>
    </row>
    <row r="785" ht="22.5" customHeight="1">
      <c r="A785" s="33"/>
      <c r="B785" s="34"/>
      <c r="C785" s="34"/>
      <c r="D785" s="34"/>
      <c r="E785" s="34"/>
      <c r="F785" s="35"/>
      <c r="G785" s="40"/>
      <c r="H785" s="41"/>
      <c r="I785" s="38"/>
      <c r="J785" s="35"/>
      <c r="K785" s="35"/>
      <c r="L785" s="39"/>
      <c r="M785" s="39"/>
      <c r="N785" s="39"/>
      <c r="O785" s="39"/>
      <c r="P785" s="39"/>
      <c r="Q785" s="39"/>
    </row>
    <row r="786" ht="22.5" customHeight="1">
      <c r="A786" s="33"/>
      <c r="B786" s="34"/>
      <c r="C786" s="34"/>
      <c r="D786" s="34"/>
      <c r="E786" s="34"/>
      <c r="F786" s="35"/>
      <c r="G786" s="36"/>
      <c r="H786" s="37"/>
      <c r="I786" s="38"/>
      <c r="J786" s="35"/>
      <c r="K786" s="35"/>
      <c r="L786" s="39"/>
      <c r="M786" s="39"/>
      <c r="N786" s="39"/>
      <c r="O786" s="39"/>
      <c r="P786" s="39"/>
      <c r="Q786" s="39"/>
    </row>
    <row r="787" ht="22.5" customHeight="1">
      <c r="A787" s="33"/>
      <c r="B787" s="34"/>
      <c r="C787" s="34"/>
      <c r="D787" s="34"/>
      <c r="E787" s="34"/>
      <c r="F787" s="35"/>
      <c r="G787" s="40"/>
      <c r="H787" s="41"/>
      <c r="I787" s="38"/>
      <c r="J787" s="35"/>
      <c r="K787" s="35"/>
      <c r="L787" s="39"/>
      <c r="M787" s="39"/>
      <c r="N787" s="39"/>
      <c r="O787" s="39"/>
      <c r="P787" s="39"/>
      <c r="Q787" s="39"/>
    </row>
    <row r="788" ht="22.5" customHeight="1">
      <c r="A788" s="33"/>
      <c r="B788" s="34"/>
      <c r="C788" s="34"/>
      <c r="D788" s="34"/>
      <c r="E788" s="34"/>
      <c r="F788" s="35"/>
      <c r="G788" s="36"/>
      <c r="H788" s="37"/>
      <c r="I788" s="38"/>
      <c r="J788" s="35"/>
      <c r="K788" s="35"/>
      <c r="L788" s="39"/>
      <c r="M788" s="39"/>
      <c r="N788" s="39"/>
      <c r="O788" s="39"/>
      <c r="P788" s="39"/>
      <c r="Q788" s="39"/>
    </row>
    <row r="789" ht="22.5" customHeight="1">
      <c r="A789" s="33"/>
      <c r="B789" s="34"/>
      <c r="C789" s="34"/>
      <c r="D789" s="34"/>
      <c r="E789" s="34"/>
      <c r="F789" s="35"/>
      <c r="G789" s="40"/>
      <c r="H789" s="41"/>
      <c r="I789" s="38"/>
      <c r="J789" s="35"/>
      <c r="K789" s="35"/>
      <c r="L789" s="39"/>
      <c r="M789" s="39"/>
      <c r="N789" s="39"/>
      <c r="O789" s="39"/>
      <c r="P789" s="39"/>
      <c r="Q789" s="39"/>
    </row>
    <row r="790" ht="22.5" customHeight="1">
      <c r="A790" s="33"/>
      <c r="B790" s="34"/>
      <c r="C790" s="34"/>
      <c r="D790" s="34"/>
      <c r="E790" s="34"/>
      <c r="F790" s="35"/>
      <c r="G790" s="36"/>
      <c r="H790" s="37"/>
      <c r="I790" s="38"/>
      <c r="J790" s="35"/>
      <c r="K790" s="35"/>
      <c r="L790" s="39"/>
      <c r="M790" s="39"/>
      <c r="N790" s="39"/>
      <c r="O790" s="39"/>
      <c r="P790" s="39"/>
      <c r="Q790" s="39"/>
    </row>
    <row r="791" ht="22.5" customHeight="1">
      <c r="A791" s="33"/>
      <c r="B791" s="34"/>
      <c r="C791" s="34"/>
      <c r="D791" s="34"/>
      <c r="E791" s="34"/>
      <c r="F791" s="35"/>
      <c r="G791" s="40"/>
      <c r="H791" s="41"/>
      <c r="I791" s="38"/>
      <c r="J791" s="35"/>
      <c r="K791" s="35"/>
      <c r="L791" s="39"/>
      <c r="M791" s="39"/>
      <c r="N791" s="39"/>
      <c r="O791" s="39"/>
      <c r="P791" s="39"/>
      <c r="Q791" s="39"/>
    </row>
    <row r="792" ht="22.5" customHeight="1">
      <c r="A792" s="33"/>
      <c r="B792" s="34"/>
      <c r="C792" s="34"/>
      <c r="D792" s="34"/>
      <c r="E792" s="34"/>
      <c r="F792" s="35"/>
      <c r="G792" s="36"/>
      <c r="H792" s="37"/>
      <c r="I792" s="38"/>
      <c r="J792" s="35"/>
      <c r="K792" s="35"/>
      <c r="L792" s="39"/>
      <c r="M792" s="39"/>
      <c r="N792" s="39"/>
      <c r="O792" s="39"/>
      <c r="P792" s="39"/>
      <c r="Q792" s="39"/>
    </row>
    <row r="793" ht="22.5" customHeight="1">
      <c r="A793" s="33"/>
      <c r="B793" s="34"/>
      <c r="C793" s="34"/>
      <c r="D793" s="34"/>
      <c r="E793" s="34"/>
      <c r="F793" s="35"/>
      <c r="G793" s="40"/>
      <c r="H793" s="41"/>
      <c r="I793" s="38"/>
      <c r="J793" s="35"/>
      <c r="K793" s="35"/>
      <c r="L793" s="39"/>
      <c r="M793" s="39"/>
      <c r="N793" s="39"/>
      <c r="O793" s="39"/>
      <c r="P793" s="39"/>
      <c r="Q793" s="39"/>
    </row>
    <row r="794" ht="22.5" customHeight="1">
      <c r="A794" s="33"/>
      <c r="B794" s="34"/>
      <c r="C794" s="34"/>
      <c r="D794" s="34"/>
      <c r="E794" s="34"/>
      <c r="F794" s="35"/>
      <c r="G794" s="36"/>
      <c r="H794" s="37"/>
      <c r="I794" s="38"/>
      <c r="J794" s="35"/>
      <c r="K794" s="35"/>
      <c r="L794" s="39"/>
      <c r="M794" s="39"/>
      <c r="N794" s="39"/>
      <c r="O794" s="39"/>
      <c r="P794" s="39"/>
      <c r="Q794" s="39"/>
    </row>
    <row r="795" ht="22.5" customHeight="1">
      <c r="A795" s="33"/>
      <c r="B795" s="34"/>
      <c r="C795" s="34"/>
      <c r="D795" s="34"/>
      <c r="E795" s="34"/>
      <c r="F795" s="35"/>
      <c r="G795" s="40"/>
      <c r="H795" s="41"/>
      <c r="I795" s="38"/>
      <c r="J795" s="35"/>
      <c r="K795" s="35"/>
      <c r="L795" s="39"/>
      <c r="M795" s="39"/>
      <c r="N795" s="39"/>
      <c r="O795" s="39"/>
      <c r="P795" s="39"/>
      <c r="Q795" s="39"/>
    </row>
    <row r="796" ht="22.5" customHeight="1">
      <c r="A796" s="33"/>
      <c r="B796" s="34"/>
      <c r="C796" s="34"/>
      <c r="D796" s="34"/>
      <c r="E796" s="34"/>
      <c r="F796" s="35"/>
      <c r="G796" s="36"/>
      <c r="H796" s="37"/>
      <c r="I796" s="38"/>
      <c r="J796" s="35"/>
      <c r="K796" s="35"/>
      <c r="L796" s="39"/>
      <c r="M796" s="39"/>
      <c r="N796" s="39"/>
      <c r="O796" s="39"/>
      <c r="P796" s="39"/>
      <c r="Q796" s="39"/>
    </row>
    <row r="797" ht="22.5" customHeight="1">
      <c r="A797" s="33"/>
      <c r="B797" s="34"/>
      <c r="C797" s="34"/>
      <c r="D797" s="34"/>
      <c r="E797" s="34"/>
      <c r="F797" s="35"/>
      <c r="G797" s="40"/>
      <c r="H797" s="41"/>
      <c r="I797" s="38"/>
      <c r="J797" s="35"/>
      <c r="K797" s="35"/>
      <c r="L797" s="39"/>
      <c r="M797" s="39"/>
      <c r="N797" s="39"/>
      <c r="O797" s="39"/>
      <c r="P797" s="39"/>
      <c r="Q797" s="39"/>
    </row>
    <row r="798" ht="22.5" customHeight="1">
      <c r="A798" s="33"/>
      <c r="B798" s="34"/>
      <c r="C798" s="34"/>
      <c r="D798" s="34"/>
      <c r="E798" s="34"/>
      <c r="F798" s="35"/>
      <c r="G798" s="36"/>
      <c r="H798" s="37"/>
      <c r="I798" s="38"/>
      <c r="J798" s="35"/>
      <c r="K798" s="35"/>
      <c r="L798" s="39"/>
      <c r="M798" s="39"/>
      <c r="N798" s="39"/>
      <c r="O798" s="39"/>
      <c r="P798" s="39"/>
      <c r="Q798" s="39"/>
    </row>
    <row r="799" ht="22.5" customHeight="1">
      <c r="A799" s="33"/>
      <c r="B799" s="34"/>
      <c r="C799" s="34"/>
      <c r="D799" s="34"/>
      <c r="E799" s="34"/>
      <c r="F799" s="35"/>
      <c r="G799" s="40"/>
      <c r="H799" s="41"/>
      <c r="I799" s="38"/>
      <c r="J799" s="35"/>
      <c r="K799" s="35"/>
      <c r="L799" s="39"/>
      <c r="M799" s="39"/>
      <c r="N799" s="39"/>
      <c r="O799" s="39"/>
      <c r="P799" s="39"/>
      <c r="Q799" s="39"/>
    </row>
    <row r="800" ht="22.5" customHeight="1">
      <c r="A800" s="33"/>
      <c r="B800" s="34"/>
      <c r="C800" s="34"/>
      <c r="D800" s="34"/>
      <c r="E800" s="34"/>
      <c r="F800" s="35"/>
      <c r="G800" s="36"/>
      <c r="H800" s="37"/>
      <c r="I800" s="38"/>
      <c r="J800" s="35"/>
      <c r="K800" s="35"/>
      <c r="L800" s="39"/>
      <c r="M800" s="39"/>
      <c r="N800" s="39"/>
      <c r="O800" s="39"/>
      <c r="P800" s="39"/>
      <c r="Q800" s="39"/>
    </row>
    <row r="801" ht="22.5" customHeight="1">
      <c r="A801" s="33"/>
      <c r="B801" s="34"/>
      <c r="C801" s="34"/>
      <c r="D801" s="34"/>
      <c r="E801" s="34"/>
      <c r="F801" s="35"/>
      <c r="G801" s="40"/>
      <c r="H801" s="41"/>
      <c r="I801" s="38"/>
      <c r="J801" s="35"/>
      <c r="K801" s="35"/>
      <c r="L801" s="39"/>
      <c r="M801" s="39"/>
      <c r="N801" s="39"/>
      <c r="O801" s="39"/>
      <c r="P801" s="39"/>
      <c r="Q801" s="39"/>
    </row>
    <row r="802" ht="22.5" customHeight="1">
      <c r="A802" s="33"/>
      <c r="B802" s="34"/>
      <c r="C802" s="34"/>
      <c r="D802" s="34"/>
      <c r="E802" s="34"/>
      <c r="F802" s="35"/>
      <c r="G802" s="36"/>
      <c r="H802" s="37"/>
      <c r="I802" s="38"/>
      <c r="J802" s="35"/>
      <c r="K802" s="35"/>
      <c r="L802" s="39"/>
      <c r="M802" s="39"/>
      <c r="N802" s="39"/>
      <c r="O802" s="39"/>
      <c r="P802" s="39"/>
      <c r="Q802" s="39"/>
    </row>
    <row r="803" ht="22.5" customHeight="1">
      <c r="A803" s="33"/>
      <c r="B803" s="34"/>
      <c r="C803" s="34"/>
      <c r="D803" s="34"/>
      <c r="E803" s="34"/>
      <c r="F803" s="35"/>
      <c r="G803" s="40"/>
      <c r="H803" s="41"/>
      <c r="I803" s="38"/>
      <c r="J803" s="35"/>
      <c r="K803" s="35"/>
      <c r="L803" s="39"/>
      <c r="M803" s="39"/>
      <c r="N803" s="39"/>
      <c r="O803" s="39"/>
      <c r="P803" s="39"/>
      <c r="Q803" s="39"/>
    </row>
    <row r="804" ht="22.5" customHeight="1">
      <c r="A804" s="33"/>
      <c r="B804" s="34"/>
      <c r="C804" s="34"/>
      <c r="D804" s="34"/>
      <c r="E804" s="34"/>
      <c r="F804" s="35"/>
      <c r="G804" s="36"/>
      <c r="H804" s="37"/>
      <c r="I804" s="38"/>
      <c r="J804" s="35"/>
      <c r="K804" s="35"/>
      <c r="L804" s="39"/>
      <c r="M804" s="39"/>
      <c r="N804" s="39"/>
      <c r="O804" s="39"/>
      <c r="P804" s="39"/>
      <c r="Q804" s="39"/>
    </row>
    <row r="805" ht="22.5" customHeight="1">
      <c r="A805" s="33"/>
      <c r="B805" s="34"/>
      <c r="C805" s="34"/>
      <c r="D805" s="34"/>
      <c r="E805" s="34"/>
      <c r="F805" s="35"/>
      <c r="G805" s="40"/>
      <c r="H805" s="41"/>
      <c r="I805" s="38"/>
      <c r="J805" s="35"/>
      <c r="K805" s="35"/>
      <c r="L805" s="39"/>
      <c r="M805" s="39"/>
      <c r="N805" s="39"/>
      <c r="O805" s="39"/>
      <c r="P805" s="39"/>
      <c r="Q805" s="39"/>
    </row>
    <row r="806" ht="22.5" customHeight="1">
      <c r="A806" s="33"/>
      <c r="B806" s="34"/>
      <c r="C806" s="34"/>
      <c r="D806" s="34"/>
      <c r="E806" s="34"/>
      <c r="F806" s="35"/>
      <c r="G806" s="36"/>
      <c r="H806" s="37"/>
      <c r="I806" s="38"/>
      <c r="J806" s="35"/>
      <c r="K806" s="35"/>
      <c r="L806" s="39"/>
      <c r="M806" s="39"/>
      <c r="N806" s="39"/>
      <c r="O806" s="39"/>
      <c r="P806" s="39"/>
      <c r="Q806" s="39"/>
    </row>
    <row r="807" ht="22.5" customHeight="1">
      <c r="A807" s="33"/>
      <c r="B807" s="34"/>
      <c r="C807" s="34"/>
      <c r="D807" s="34"/>
      <c r="E807" s="34"/>
      <c r="F807" s="35"/>
      <c r="G807" s="40"/>
      <c r="H807" s="41"/>
      <c r="I807" s="38"/>
      <c r="J807" s="35"/>
      <c r="K807" s="35"/>
      <c r="L807" s="39"/>
      <c r="M807" s="39"/>
      <c r="N807" s="39"/>
      <c r="O807" s="39"/>
      <c r="P807" s="39"/>
      <c r="Q807" s="39"/>
    </row>
    <row r="808" ht="22.5" customHeight="1">
      <c r="A808" s="33"/>
      <c r="B808" s="34"/>
      <c r="C808" s="34"/>
      <c r="D808" s="34"/>
      <c r="E808" s="34"/>
      <c r="F808" s="35"/>
      <c r="G808" s="36"/>
      <c r="H808" s="37"/>
      <c r="I808" s="38"/>
      <c r="J808" s="35"/>
      <c r="K808" s="35"/>
      <c r="L808" s="39"/>
      <c r="M808" s="39"/>
      <c r="N808" s="39"/>
      <c r="O808" s="39"/>
      <c r="P808" s="39"/>
      <c r="Q808" s="39"/>
    </row>
    <row r="809" ht="22.5" customHeight="1">
      <c r="A809" s="33"/>
      <c r="B809" s="34"/>
      <c r="C809" s="34"/>
      <c r="D809" s="34"/>
      <c r="E809" s="34"/>
      <c r="F809" s="35"/>
      <c r="G809" s="40"/>
      <c r="H809" s="41"/>
      <c r="I809" s="38"/>
      <c r="J809" s="35"/>
      <c r="K809" s="35"/>
      <c r="L809" s="39"/>
      <c r="M809" s="39"/>
      <c r="N809" s="39"/>
      <c r="O809" s="39"/>
      <c r="P809" s="39"/>
      <c r="Q809" s="39"/>
    </row>
    <row r="810" ht="22.5" customHeight="1">
      <c r="A810" s="33"/>
      <c r="B810" s="34"/>
      <c r="C810" s="34"/>
      <c r="D810" s="34"/>
      <c r="E810" s="34"/>
      <c r="F810" s="35"/>
      <c r="G810" s="36"/>
      <c r="H810" s="37"/>
      <c r="I810" s="38"/>
      <c r="J810" s="35"/>
      <c r="K810" s="35"/>
      <c r="L810" s="39"/>
      <c r="M810" s="39"/>
      <c r="N810" s="39"/>
      <c r="O810" s="39"/>
      <c r="P810" s="39"/>
      <c r="Q810" s="39"/>
    </row>
    <row r="811" ht="22.5" customHeight="1">
      <c r="A811" s="33"/>
      <c r="B811" s="34"/>
      <c r="C811" s="34"/>
      <c r="D811" s="34"/>
      <c r="E811" s="34"/>
      <c r="F811" s="35"/>
      <c r="G811" s="40"/>
      <c r="H811" s="41"/>
      <c r="I811" s="38"/>
      <c r="J811" s="35"/>
      <c r="K811" s="35"/>
      <c r="L811" s="39"/>
      <c r="M811" s="39"/>
      <c r="N811" s="39"/>
      <c r="O811" s="39"/>
      <c r="P811" s="39"/>
      <c r="Q811" s="39"/>
    </row>
    <row r="812" ht="22.5" customHeight="1">
      <c r="A812" s="33"/>
      <c r="B812" s="34"/>
      <c r="C812" s="34"/>
      <c r="D812" s="34"/>
      <c r="E812" s="34"/>
      <c r="F812" s="35"/>
      <c r="G812" s="36"/>
      <c r="H812" s="37"/>
      <c r="I812" s="38"/>
      <c r="J812" s="35"/>
      <c r="K812" s="35"/>
      <c r="L812" s="39"/>
      <c r="M812" s="39"/>
      <c r="N812" s="39"/>
      <c r="O812" s="39"/>
      <c r="P812" s="39"/>
      <c r="Q812" s="39"/>
    </row>
    <row r="813" ht="22.5" customHeight="1">
      <c r="A813" s="33"/>
      <c r="B813" s="34"/>
      <c r="C813" s="34"/>
      <c r="D813" s="34"/>
      <c r="E813" s="34"/>
      <c r="F813" s="35"/>
      <c r="G813" s="40"/>
      <c r="H813" s="41"/>
      <c r="I813" s="38"/>
      <c r="J813" s="35"/>
      <c r="K813" s="35"/>
      <c r="L813" s="39"/>
      <c r="M813" s="39"/>
      <c r="N813" s="39"/>
      <c r="O813" s="39"/>
      <c r="P813" s="39"/>
      <c r="Q813" s="39"/>
    </row>
    <row r="814" ht="22.5" customHeight="1">
      <c r="A814" s="33"/>
      <c r="B814" s="34"/>
      <c r="C814" s="34"/>
      <c r="D814" s="34"/>
      <c r="E814" s="34"/>
      <c r="F814" s="35"/>
      <c r="G814" s="36"/>
      <c r="H814" s="37"/>
      <c r="I814" s="38"/>
      <c r="J814" s="35"/>
      <c r="K814" s="35"/>
      <c r="L814" s="39"/>
      <c r="M814" s="39"/>
      <c r="N814" s="39"/>
      <c r="O814" s="39"/>
      <c r="P814" s="39"/>
      <c r="Q814" s="39"/>
    </row>
    <row r="815" ht="22.5" customHeight="1">
      <c r="A815" s="33"/>
      <c r="B815" s="34"/>
      <c r="C815" s="34"/>
      <c r="D815" s="34"/>
      <c r="E815" s="34"/>
      <c r="F815" s="35"/>
      <c r="G815" s="40"/>
      <c r="H815" s="41"/>
      <c r="I815" s="38"/>
      <c r="J815" s="35"/>
      <c r="K815" s="35"/>
      <c r="L815" s="39"/>
      <c r="M815" s="39"/>
      <c r="N815" s="39"/>
      <c r="O815" s="39"/>
      <c r="P815" s="39"/>
      <c r="Q815" s="39"/>
    </row>
    <row r="816" ht="22.5" customHeight="1">
      <c r="A816" s="33"/>
      <c r="B816" s="34"/>
      <c r="C816" s="34"/>
      <c r="D816" s="34"/>
      <c r="E816" s="34"/>
      <c r="F816" s="35"/>
      <c r="G816" s="36"/>
      <c r="H816" s="37"/>
      <c r="I816" s="38"/>
      <c r="J816" s="35"/>
      <c r="K816" s="35"/>
      <c r="L816" s="39"/>
      <c r="M816" s="39"/>
      <c r="N816" s="39"/>
      <c r="O816" s="39"/>
      <c r="P816" s="39"/>
      <c r="Q816" s="39"/>
    </row>
    <row r="817" ht="22.5" customHeight="1">
      <c r="A817" s="33"/>
      <c r="B817" s="34"/>
      <c r="C817" s="34"/>
      <c r="D817" s="34"/>
      <c r="E817" s="34"/>
      <c r="F817" s="35"/>
      <c r="G817" s="40"/>
      <c r="H817" s="41"/>
      <c r="I817" s="38"/>
      <c r="J817" s="35"/>
      <c r="K817" s="35"/>
      <c r="L817" s="39"/>
      <c r="M817" s="39"/>
      <c r="N817" s="39"/>
      <c r="O817" s="39"/>
      <c r="P817" s="39"/>
      <c r="Q817" s="39"/>
    </row>
    <row r="818" ht="22.5" customHeight="1">
      <c r="A818" s="33"/>
      <c r="B818" s="34"/>
      <c r="C818" s="34"/>
      <c r="D818" s="34"/>
      <c r="E818" s="34"/>
      <c r="F818" s="35"/>
      <c r="G818" s="36"/>
      <c r="H818" s="37"/>
      <c r="I818" s="38"/>
      <c r="J818" s="35"/>
      <c r="K818" s="35"/>
      <c r="L818" s="39"/>
      <c r="M818" s="39"/>
      <c r="N818" s="39"/>
      <c r="O818" s="39"/>
      <c r="P818" s="39"/>
      <c r="Q818" s="39"/>
    </row>
    <row r="819" ht="22.5" customHeight="1">
      <c r="A819" s="33"/>
      <c r="B819" s="34"/>
      <c r="C819" s="34"/>
      <c r="D819" s="34"/>
      <c r="E819" s="34"/>
      <c r="F819" s="35"/>
      <c r="G819" s="40"/>
      <c r="H819" s="41"/>
      <c r="I819" s="38"/>
      <c r="J819" s="35"/>
      <c r="K819" s="35"/>
      <c r="L819" s="39"/>
      <c r="M819" s="39"/>
      <c r="N819" s="39"/>
      <c r="O819" s="39"/>
      <c r="P819" s="39"/>
      <c r="Q819" s="39"/>
    </row>
    <row r="820" ht="22.5" customHeight="1">
      <c r="A820" s="33"/>
      <c r="B820" s="34"/>
      <c r="C820" s="34"/>
      <c r="D820" s="34"/>
      <c r="E820" s="34"/>
      <c r="F820" s="35"/>
      <c r="G820" s="36"/>
      <c r="H820" s="37"/>
      <c r="I820" s="38"/>
      <c r="J820" s="35"/>
      <c r="K820" s="35"/>
      <c r="L820" s="39"/>
      <c r="M820" s="39"/>
      <c r="N820" s="39"/>
      <c r="O820" s="39"/>
      <c r="P820" s="39"/>
      <c r="Q820" s="39"/>
    </row>
    <row r="821" ht="22.5" customHeight="1">
      <c r="A821" s="33"/>
      <c r="B821" s="34"/>
      <c r="C821" s="34"/>
      <c r="D821" s="34"/>
      <c r="E821" s="34"/>
      <c r="F821" s="35"/>
      <c r="G821" s="40"/>
      <c r="H821" s="41"/>
      <c r="I821" s="38"/>
      <c r="J821" s="35"/>
      <c r="K821" s="35"/>
      <c r="L821" s="39"/>
      <c r="M821" s="39"/>
      <c r="N821" s="39"/>
      <c r="O821" s="39"/>
      <c r="P821" s="39"/>
      <c r="Q821" s="39"/>
    </row>
    <row r="822" ht="22.5" customHeight="1">
      <c r="A822" s="33"/>
      <c r="B822" s="34"/>
      <c r="C822" s="34"/>
      <c r="D822" s="34"/>
      <c r="E822" s="34"/>
      <c r="F822" s="35"/>
      <c r="G822" s="36"/>
      <c r="H822" s="37"/>
      <c r="I822" s="38"/>
      <c r="J822" s="35"/>
      <c r="K822" s="35"/>
      <c r="L822" s="39"/>
      <c r="M822" s="39"/>
      <c r="N822" s="39"/>
      <c r="O822" s="39"/>
      <c r="P822" s="39"/>
      <c r="Q822" s="39"/>
    </row>
    <row r="823" ht="22.5" customHeight="1">
      <c r="A823" s="33"/>
      <c r="B823" s="34"/>
      <c r="C823" s="34"/>
      <c r="D823" s="34"/>
      <c r="E823" s="34"/>
      <c r="F823" s="35"/>
      <c r="G823" s="40"/>
      <c r="H823" s="41"/>
      <c r="I823" s="38"/>
      <c r="J823" s="35"/>
      <c r="K823" s="35"/>
      <c r="L823" s="39"/>
      <c r="M823" s="39"/>
      <c r="N823" s="39"/>
      <c r="O823" s="39"/>
      <c r="P823" s="39"/>
      <c r="Q823" s="39"/>
    </row>
    <row r="824" ht="22.5" customHeight="1">
      <c r="A824" s="33"/>
      <c r="B824" s="34"/>
      <c r="C824" s="34"/>
      <c r="D824" s="34"/>
      <c r="E824" s="34"/>
      <c r="F824" s="35"/>
      <c r="G824" s="36"/>
      <c r="H824" s="37"/>
      <c r="I824" s="38"/>
      <c r="J824" s="35"/>
      <c r="K824" s="35"/>
      <c r="L824" s="39"/>
      <c r="M824" s="39"/>
      <c r="N824" s="39"/>
      <c r="O824" s="39"/>
      <c r="P824" s="39"/>
      <c r="Q824" s="39"/>
    </row>
    <row r="825" ht="22.5" customHeight="1">
      <c r="A825" s="33"/>
      <c r="B825" s="34"/>
      <c r="C825" s="34"/>
      <c r="D825" s="34"/>
      <c r="E825" s="34"/>
      <c r="F825" s="35"/>
      <c r="G825" s="40"/>
      <c r="H825" s="41"/>
      <c r="I825" s="38"/>
      <c r="J825" s="35"/>
      <c r="K825" s="35"/>
      <c r="L825" s="39"/>
      <c r="M825" s="39"/>
      <c r="N825" s="39"/>
      <c r="O825" s="39"/>
      <c r="P825" s="39"/>
      <c r="Q825" s="39"/>
    </row>
    <row r="826" ht="22.5" customHeight="1">
      <c r="A826" s="33"/>
      <c r="B826" s="34"/>
      <c r="C826" s="34"/>
      <c r="D826" s="34"/>
      <c r="E826" s="34"/>
      <c r="F826" s="35"/>
      <c r="G826" s="36"/>
      <c r="H826" s="37"/>
      <c r="I826" s="38"/>
      <c r="J826" s="35"/>
      <c r="K826" s="35"/>
      <c r="L826" s="39"/>
      <c r="M826" s="39"/>
      <c r="N826" s="39"/>
      <c r="O826" s="39"/>
      <c r="P826" s="39"/>
      <c r="Q826" s="39"/>
    </row>
    <row r="827" ht="22.5" customHeight="1">
      <c r="A827" s="33"/>
      <c r="B827" s="34"/>
      <c r="C827" s="34"/>
      <c r="D827" s="34"/>
      <c r="E827" s="34"/>
      <c r="F827" s="35"/>
      <c r="G827" s="40"/>
      <c r="H827" s="41"/>
      <c r="I827" s="38"/>
      <c r="J827" s="35"/>
      <c r="K827" s="35"/>
      <c r="L827" s="39"/>
      <c r="M827" s="39"/>
      <c r="N827" s="39"/>
      <c r="O827" s="39"/>
      <c r="P827" s="39"/>
      <c r="Q827" s="39"/>
    </row>
    <row r="828" ht="22.5" customHeight="1">
      <c r="A828" s="33"/>
      <c r="B828" s="34"/>
      <c r="C828" s="34"/>
      <c r="D828" s="34"/>
      <c r="E828" s="34"/>
      <c r="F828" s="35"/>
      <c r="G828" s="36"/>
      <c r="H828" s="37"/>
      <c r="I828" s="38"/>
      <c r="J828" s="35"/>
      <c r="K828" s="35"/>
      <c r="L828" s="39"/>
      <c r="M828" s="39"/>
      <c r="N828" s="39"/>
      <c r="O828" s="39"/>
      <c r="P828" s="39"/>
      <c r="Q828" s="39"/>
    </row>
    <row r="829" ht="22.5" customHeight="1">
      <c r="A829" s="33"/>
      <c r="B829" s="34"/>
      <c r="C829" s="34"/>
      <c r="D829" s="34"/>
      <c r="E829" s="34"/>
      <c r="F829" s="35"/>
      <c r="G829" s="40"/>
      <c r="H829" s="41"/>
      <c r="I829" s="38"/>
      <c r="J829" s="35"/>
      <c r="K829" s="35"/>
      <c r="L829" s="39"/>
      <c r="M829" s="39"/>
      <c r="N829" s="39"/>
      <c r="O829" s="39"/>
      <c r="P829" s="39"/>
      <c r="Q829" s="39"/>
    </row>
    <row r="830" ht="22.5" customHeight="1">
      <c r="A830" s="33"/>
      <c r="B830" s="34"/>
      <c r="C830" s="34"/>
      <c r="D830" s="34"/>
      <c r="E830" s="34"/>
      <c r="F830" s="35"/>
      <c r="G830" s="36"/>
      <c r="H830" s="37"/>
      <c r="I830" s="38"/>
      <c r="J830" s="35"/>
      <c r="K830" s="35"/>
      <c r="L830" s="39"/>
      <c r="M830" s="39"/>
      <c r="N830" s="39"/>
      <c r="O830" s="39"/>
      <c r="P830" s="39"/>
      <c r="Q830" s="39"/>
    </row>
    <row r="831" ht="22.5" customHeight="1">
      <c r="A831" s="33"/>
      <c r="B831" s="34"/>
      <c r="C831" s="34"/>
      <c r="D831" s="34"/>
      <c r="E831" s="34"/>
      <c r="F831" s="35"/>
      <c r="G831" s="40"/>
      <c r="H831" s="41"/>
      <c r="I831" s="38"/>
      <c r="J831" s="35"/>
      <c r="K831" s="35"/>
      <c r="L831" s="39"/>
      <c r="M831" s="39"/>
      <c r="N831" s="39"/>
      <c r="O831" s="39"/>
      <c r="P831" s="39"/>
      <c r="Q831" s="39"/>
    </row>
    <row r="832" ht="22.5" customHeight="1">
      <c r="A832" s="33"/>
      <c r="B832" s="34"/>
      <c r="C832" s="34"/>
      <c r="D832" s="34"/>
      <c r="E832" s="34"/>
      <c r="F832" s="35"/>
      <c r="G832" s="36"/>
      <c r="H832" s="37"/>
      <c r="I832" s="38"/>
      <c r="J832" s="35"/>
      <c r="K832" s="35"/>
      <c r="L832" s="39"/>
      <c r="M832" s="39"/>
      <c r="N832" s="39"/>
      <c r="O832" s="39"/>
      <c r="P832" s="39"/>
      <c r="Q832" s="39"/>
    </row>
    <row r="833" ht="22.5" customHeight="1">
      <c r="A833" s="33"/>
      <c r="B833" s="34"/>
      <c r="C833" s="34"/>
      <c r="D833" s="34"/>
      <c r="E833" s="34"/>
      <c r="F833" s="35"/>
      <c r="G833" s="40"/>
      <c r="H833" s="41"/>
      <c r="I833" s="38"/>
      <c r="J833" s="35"/>
      <c r="K833" s="35"/>
      <c r="L833" s="39"/>
      <c r="M833" s="39"/>
      <c r="N833" s="39"/>
      <c r="O833" s="39"/>
      <c r="P833" s="39"/>
      <c r="Q833" s="39"/>
    </row>
    <row r="834" ht="22.5" customHeight="1">
      <c r="A834" s="33"/>
      <c r="B834" s="34"/>
      <c r="C834" s="34"/>
      <c r="D834" s="34"/>
      <c r="E834" s="34"/>
      <c r="F834" s="35"/>
      <c r="G834" s="36"/>
      <c r="H834" s="37"/>
      <c r="I834" s="38"/>
      <c r="J834" s="35"/>
      <c r="K834" s="35"/>
      <c r="L834" s="39"/>
      <c r="M834" s="39"/>
      <c r="N834" s="39"/>
      <c r="O834" s="39"/>
      <c r="P834" s="39"/>
      <c r="Q834" s="39"/>
    </row>
    <row r="835" ht="22.5" customHeight="1">
      <c r="A835" s="33"/>
      <c r="B835" s="34"/>
      <c r="C835" s="34"/>
      <c r="D835" s="34"/>
      <c r="E835" s="34"/>
      <c r="F835" s="35"/>
      <c r="G835" s="40"/>
      <c r="H835" s="41"/>
      <c r="I835" s="38"/>
      <c r="J835" s="35"/>
      <c r="K835" s="35"/>
      <c r="L835" s="39"/>
      <c r="M835" s="39"/>
      <c r="N835" s="39"/>
      <c r="O835" s="39"/>
      <c r="P835" s="39"/>
      <c r="Q835" s="39"/>
    </row>
    <row r="836" ht="22.5" customHeight="1">
      <c r="A836" s="33"/>
      <c r="B836" s="34"/>
      <c r="C836" s="34"/>
      <c r="D836" s="34"/>
      <c r="E836" s="34"/>
      <c r="F836" s="35"/>
      <c r="G836" s="36"/>
      <c r="H836" s="37"/>
      <c r="I836" s="38"/>
      <c r="J836" s="35"/>
      <c r="K836" s="35"/>
      <c r="L836" s="39"/>
      <c r="M836" s="39"/>
      <c r="N836" s="39"/>
      <c r="O836" s="39"/>
      <c r="P836" s="39"/>
      <c r="Q836" s="39"/>
    </row>
    <row r="837" ht="22.5" customHeight="1">
      <c r="A837" s="33"/>
      <c r="B837" s="34"/>
      <c r="C837" s="34"/>
      <c r="D837" s="34"/>
      <c r="E837" s="34"/>
      <c r="F837" s="35"/>
      <c r="G837" s="40"/>
      <c r="H837" s="41"/>
      <c r="I837" s="38"/>
      <c r="J837" s="35"/>
      <c r="K837" s="35"/>
      <c r="L837" s="39"/>
      <c r="M837" s="39"/>
      <c r="N837" s="39"/>
      <c r="O837" s="39"/>
      <c r="P837" s="39"/>
      <c r="Q837" s="39"/>
    </row>
    <row r="838" ht="22.5" customHeight="1">
      <c r="A838" s="33"/>
      <c r="B838" s="34"/>
      <c r="C838" s="34"/>
      <c r="D838" s="34"/>
      <c r="E838" s="34"/>
      <c r="F838" s="35"/>
      <c r="G838" s="36"/>
      <c r="H838" s="37"/>
      <c r="I838" s="38"/>
      <c r="J838" s="35"/>
      <c r="K838" s="35"/>
      <c r="L838" s="39"/>
      <c r="M838" s="39"/>
      <c r="N838" s="39"/>
      <c r="O838" s="39"/>
      <c r="P838" s="39"/>
      <c r="Q838" s="39"/>
    </row>
    <row r="839" ht="22.5" customHeight="1">
      <c r="A839" s="33"/>
      <c r="B839" s="34"/>
      <c r="C839" s="34"/>
      <c r="D839" s="34"/>
      <c r="E839" s="34"/>
      <c r="F839" s="35"/>
      <c r="G839" s="40"/>
      <c r="H839" s="41"/>
      <c r="I839" s="38"/>
      <c r="J839" s="35"/>
      <c r="K839" s="35"/>
      <c r="L839" s="39"/>
      <c r="M839" s="39"/>
      <c r="N839" s="39"/>
      <c r="O839" s="39"/>
      <c r="P839" s="39"/>
      <c r="Q839" s="39"/>
    </row>
    <row r="840" ht="22.5" customHeight="1">
      <c r="A840" s="33"/>
      <c r="B840" s="34"/>
      <c r="C840" s="34"/>
      <c r="D840" s="34"/>
      <c r="E840" s="34"/>
      <c r="F840" s="35"/>
      <c r="G840" s="36"/>
      <c r="H840" s="37"/>
      <c r="I840" s="38"/>
      <c r="J840" s="35"/>
      <c r="K840" s="35"/>
      <c r="L840" s="39"/>
      <c r="M840" s="39"/>
      <c r="N840" s="39"/>
      <c r="O840" s="39"/>
      <c r="P840" s="39"/>
      <c r="Q840" s="39"/>
    </row>
    <row r="841" ht="22.5" customHeight="1">
      <c r="A841" s="33"/>
      <c r="B841" s="34"/>
      <c r="C841" s="34"/>
      <c r="D841" s="34"/>
      <c r="E841" s="34"/>
      <c r="F841" s="35"/>
      <c r="G841" s="40"/>
      <c r="H841" s="41"/>
      <c r="I841" s="38"/>
      <c r="J841" s="35"/>
      <c r="K841" s="35"/>
      <c r="L841" s="39"/>
      <c r="M841" s="39"/>
      <c r="N841" s="39"/>
      <c r="O841" s="39"/>
      <c r="P841" s="39"/>
      <c r="Q841" s="39"/>
    </row>
    <row r="842" ht="22.5" customHeight="1">
      <c r="A842" s="33"/>
      <c r="B842" s="34"/>
      <c r="C842" s="34"/>
      <c r="D842" s="34"/>
      <c r="E842" s="34"/>
      <c r="F842" s="35"/>
      <c r="G842" s="36"/>
      <c r="H842" s="37"/>
      <c r="I842" s="38"/>
      <c r="J842" s="35"/>
      <c r="K842" s="35"/>
      <c r="L842" s="39"/>
      <c r="M842" s="39"/>
      <c r="N842" s="39"/>
      <c r="O842" s="39"/>
      <c r="P842" s="39"/>
      <c r="Q842" s="39"/>
    </row>
    <row r="843" ht="22.5" customHeight="1">
      <c r="A843" s="33"/>
      <c r="B843" s="34"/>
      <c r="C843" s="34"/>
      <c r="D843" s="34"/>
      <c r="E843" s="34"/>
      <c r="F843" s="35"/>
      <c r="G843" s="40"/>
      <c r="H843" s="41"/>
      <c r="I843" s="38"/>
      <c r="J843" s="35"/>
      <c r="K843" s="35"/>
      <c r="L843" s="39"/>
      <c r="M843" s="39"/>
      <c r="N843" s="39"/>
      <c r="O843" s="39"/>
      <c r="P843" s="39"/>
      <c r="Q843" s="39"/>
    </row>
    <row r="844" ht="22.5" customHeight="1">
      <c r="A844" s="33"/>
      <c r="B844" s="34"/>
      <c r="C844" s="34"/>
      <c r="D844" s="34"/>
      <c r="E844" s="34"/>
      <c r="F844" s="35"/>
      <c r="G844" s="36"/>
      <c r="H844" s="37"/>
      <c r="I844" s="38"/>
      <c r="J844" s="35"/>
      <c r="K844" s="35"/>
      <c r="L844" s="39"/>
      <c r="M844" s="39"/>
      <c r="N844" s="39"/>
      <c r="O844" s="39"/>
      <c r="P844" s="39"/>
      <c r="Q844" s="39"/>
    </row>
    <row r="845" ht="22.5" customHeight="1">
      <c r="A845" s="33"/>
      <c r="B845" s="34"/>
      <c r="C845" s="34"/>
      <c r="D845" s="34"/>
      <c r="E845" s="34"/>
      <c r="F845" s="35"/>
      <c r="G845" s="40"/>
      <c r="H845" s="41"/>
      <c r="I845" s="38"/>
      <c r="J845" s="35"/>
      <c r="K845" s="35"/>
      <c r="L845" s="39"/>
      <c r="M845" s="39"/>
      <c r="N845" s="39"/>
      <c r="O845" s="39"/>
      <c r="P845" s="39"/>
      <c r="Q845" s="39"/>
    </row>
    <row r="846" ht="22.5" customHeight="1">
      <c r="A846" s="33"/>
      <c r="B846" s="34"/>
      <c r="C846" s="34"/>
      <c r="D846" s="34"/>
      <c r="E846" s="34"/>
      <c r="F846" s="35"/>
      <c r="G846" s="36"/>
      <c r="H846" s="37"/>
      <c r="I846" s="38"/>
      <c r="J846" s="35"/>
      <c r="K846" s="35"/>
      <c r="L846" s="39"/>
      <c r="M846" s="39"/>
      <c r="N846" s="39"/>
      <c r="O846" s="39"/>
      <c r="P846" s="39"/>
      <c r="Q846" s="39"/>
    </row>
    <row r="847" ht="22.5" customHeight="1">
      <c r="A847" s="33"/>
      <c r="B847" s="34"/>
      <c r="C847" s="34"/>
      <c r="D847" s="34"/>
      <c r="E847" s="34"/>
      <c r="F847" s="35"/>
      <c r="G847" s="40"/>
      <c r="H847" s="41"/>
      <c r="I847" s="38"/>
      <c r="J847" s="35"/>
      <c r="K847" s="35"/>
      <c r="L847" s="39"/>
      <c r="M847" s="39"/>
      <c r="N847" s="39"/>
      <c r="O847" s="39"/>
      <c r="P847" s="39"/>
      <c r="Q847" s="39"/>
    </row>
    <row r="848" ht="22.5" customHeight="1">
      <c r="A848" s="33"/>
      <c r="B848" s="34"/>
      <c r="C848" s="34"/>
      <c r="D848" s="34"/>
      <c r="E848" s="34"/>
      <c r="F848" s="35"/>
      <c r="G848" s="36"/>
      <c r="H848" s="37"/>
      <c r="I848" s="38"/>
      <c r="J848" s="35"/>
      <c r="K848" s="35"/>
      <c r="L848" s="39"/>
      <c r="M848" s="39"/>
      <c r="N848" s="39"/>
      <c r="O848" s="39"/>
      <c r="P848" s="39"/>
      <c r="Q848" s="39"/>
    </row>
    <row r="849" ht="22.5" customHeight="1">
      <c r="A849" s="33"/>
      <c r="B849" s="34"/>
      <c r="C849" s="34"/>
      <c r="D849" s="34"/>
      <c r="E849" s="34"/>
      <c r="F849" s="35"/>
      <c r="G849" s="40"/>
      <c r="H849" s="41"/>
      <c r="I849" s="38"/>
      <c r="J849" s="35"/>
      <c r="K849" s="35"/>
      <c r="L849" s="39"/>
      <c r="M849" s="39"/>
      <c r="N849" s="39"/>
      <c r="O849" s="39"/>
      <c r="P849" s="39"/>
      <c r="Q849" s="39"/>
    </row>
    <row r="850" ht="22.5" customHeight="1">
      <c r="A850" s="33"/>
      <c r="B850" s="34"/>
      <c r="C850" s="34"/>
      <c r="D850" s="34"/>
      <c r="E850" s="34"/>
      <c r="F850" s="35"/>
      <c r="G850" s="36"/>
      <c r="H850" s="37"/>
      <c r="I850" s="38"/>
      <c r="J850" s="35"/>
      <c r="K850" s="35"/>
      <c r="L850" s="39"/>
      <c r="M850" s="39"/>
      <c r="N850" s="39"/>
      <c r="O850" s="39"/>
      <c r="P850" s="39"/>
      <c r="Q850" s="39"/>
    </row>
    <row r="851" ht="22.5" customHeight="1">
      <c r="A851" s="33"/>
      <c r="B851" s="34"/>
      <c r="C851" s="34"/>
      <c r="D851" s="34"/>
      <c r="E851" s="34"/>
      <c r="F851" s="35"/>
      <c r="G851" s="40"/>
      <c r="H851" s="41"/>
      <c r="I851" s="38"/>
      <c r="J851" s="35"/>
      <c r="K851" s="35"/>
      <c r="L851" s="39"/>
      <c r="M851" s="39"/>
      <c r="N851" s="39"/>
      <c r="O851" s="39"/>
      <c r="P851" s="39"/>
      <c r="Q851" s="39"/>
    </row>
    <row r="852" ht="22.5" customHeight="1">
      <c r="A852" s="33"/>
      <c r="B852" s="34"/>
      <c r="C852" s="34"/>
      <c r="D852" s="34"/>
      <c r="E852" s="34"/>
      <c r="F852" s="35"/>
      <c r="G852" s="36"/>
      <c r="H852" s="37"/>
      <c r="I852" s="38"/>
      <c r="J852" s="35"/>
      <c r="K852" s="35"/>
      <c r="L852" s="39"/>
      <c r="M852" s="39"/>
      <c r="N852" s="39"/>
      <c r="O852" s="39"/>
      <c r="P852" s="39"/>
      <c r="Q852" s="39"/>
    </row>
    <row r="853" ht="22.5" customHeight="1">
      <c r="A853" s="33"/>
      <c r="B853" s="34"/>
      <c r="C853" s="34"/>
      <c r="D853" s="34"/>
      <c r="E853" s="34"/>
      <c r="F853" s="35"/>
      <c r="G853" s="40"/>
      <c r="H853" s="41"/>
      <c r="I853" s="38"/>
      <c r="J853" s="35"/>
      <c r="K853" s="35"/>
      <c r="L853" s="39"/>
      <c r="M853" s="39"/>
      <c r="N853" s="39"/>
      <c r="O853" s="39"/>
      <c r="P853" s="39"/>
      <c r="Q853" s="39"/>
    </row>
    <row r="854" ht="22.5" customHeight="1">
      <c r="A854" s="33"/>
      <c r="B854" s="34"/>
      <c r="C854" s="34"/>
      <c r="D854" s="34"/>
      <c r="E854" s="34"/>
      <c r="F854" s="35"/>
      <c r="G854" s="36"/>
      <c r="H854" s="37"/>
      <c r="I854" s="38"/>
      <c r="J854" s="35"/>
      <c r="K854" s="35"/>
      <c r="L854" s="39"/>
      <c r="M854" s="39"/>
      <c r="N854" s="39"/>
      <c r="O854" s="39"/>
      <c r="P854" s="39"/>
      <c r="Q854" s="39"/>
    </row>
    <row r="855" ht="22.5" customHeight="1">
      <c r="A855" s="33"/>
      <c r="B855" s="34"/>
      <c r="C855" s="34"/>
      <c r="D855" s="34"/>
      <c r="E855" s="34"/>
      <c r="F855" s="35"/>
      <c r="G855" s="40"/>
      <c r="H855" s="41"/>
      <c r="I855" s="38"/>
      <c r="J855" s="35"/>
      <c r="K855" s="35"/>
      <c r="L855" s="39"/>
      <c r="M855" s="39"/>
      <c r="N855" s="39"/>
      <c r="O855" s="39"/>
      <c r="P855" s="39"/>
      <c r="Q855" s="39"/>
    </row>
    <row r="856" ht="22.5" customHeight="1">
      <c r="A856" s="33"/>
      <c r="B856" s="34"/>
      <c r="C856" s="34"/>
      <c r="D856" s="34"/>
      <c r="E856" s="34"/>
      <c r="F856" s="35"/>
      <c r="G856" s="36"/>
      <c r="H856" s="37"/>
      <c r="I856" s="38"/>
      <c r="J856" s="35"/>
      <c r="K856" s="35"/>
      <c r="L856" s="39"/>
      <c r="M856" s="39"/>
      <c r="N856" s="39"/>
      <c r="O856" s="39"/>
      <c r="P856" s="39"/>
      <c r="Q856" s="39"/>
    </row>
    <row r="857" ht="22.5" customHeight="1">
      <c r="A857" s="33"/>
      <c r="B857" s="34"/>
      <c r="C857" s="34"/>
      <c r="D857" s="34"/>
      <c r="E857" s="34"/>
      <c r="F857" s="35"/>
      <c r="G857" s="40"/>
      <c r="H857" s="41"/>
      <c r="I857" s="38"/>
      <c r="J857" s="35"/>
      <c r="K857" s="35"/>
      <c r="L857" s="39"/>
      <c r="M857" s="39"/>
      <c r="N857" s="39"/>
      <c r="O857" s="39"/>
      <c r="P857" s="39"/>
      <c r="Q857" s="39"/>
    </row>
    <row r="858" ht="22.5" customHeight="1">
      <c r="A858" s="33"/>
      <c r="B858" s="34"/>
      <c r="C858" s="34"/>
      <c r="D858" s="34"/>
      <c r="E858" s="34"/>
      <c r="F858" s="35"/>
      <c r="G858" s="36"/>
      <c r="H858" s="37"/>
      <c r="I858" s="38"/>
      <c r="J858" s="35"/>
      <c r="K858" s="35"/>
      <c r="L858" s="39"/>
      <c r="M858" s="39"/>
      <c r="N858" s="39"/>
      <c r="O858" s="39"/>
      <c r="P858" s="39"/>
      <c r="Q858" s="39"/>
    </row>
    <row r="859" ht="22.5" customHeight="1">
      <c r="A859" s="33"/>
      <c r="B859" s="34"/>
      <c r="C859" s="34"/>
      <c r="D859" s="34"/>
      <c r="E859" s="34"/>
      <c r="F859" s="35"/>
      <c r="G859" s="40"/>
      <c r="H859" s="41"/>
      <c r="I859" s="38"/>
      <c r="J859" s="35"/>
      <c r="K859" s="35"/>
      <c r="L859" s="39"/>
      <c r="M859" s="39"/>
      <c r="N859" s="39"/>
      <c r="O859" s="39"/>
      <c r="P859" s="39"/>
      <c r="Q859" s="39"/>
    </row>
    <row r="860" ht="22.5" customHeight="1">
      <c r="A860" s="33"/>
      <c r="B860" s="34"/>
      <c r="C860" s="34"/>
      <c r="D860" s="34"/>
      <c r="E860" s="34"/>
      <c r="F860" s="35"/>
      <c r="G860" s="36"/>
      <c r="H860" s="37"/>
      <c r="I860" s="38"/>
      <c r="J860" s="35"/>
      <c r="K860" s="35"/>
      <c r="L860" s="39"/>
      <c r="M860" s="39"/>
      <c r="N860" s="39"/>
      <c r="O860" s="39"/>
      <c r="P860" s="39"/>
      <c r="Q860" s="39"/>
    </row>
    <row r="861" ht="22.5" customHeight="1">
      <c r="A861" s="33"/>
      <c r="B861" s="34"/>
      <c r="C861" s="34"/>
      <c r="D861" s="34"/>
      <c r="E861" s="34"/>
      <c r="F861" s="35"/>
      <c r="G861" s="40"/>
      <c r="H861" s="41"/>
      <c r="I861" s="38"/>
      <c r="J861" s="35"/>
      <c r="K861" s="35"/>
      <c r="L861" s="39"/>
      <c r="M861" s="39"/>
      <c r="N861" s="39"/>
      <c r="O861" s="39"/>
      <c r="P861" s="39"/>
      <c r="Q861" s="39"/>
    </row>
    <row r="862" ht="22.5" customHeight="1">
      <c r="A862" s="33"/>
      <c r="B862" s="34"/>
      <c r="C862" s="34"/>
      <c r="D862" s="34"/>
      <c r="E862" s="34"/>
      <c r="F862" s="35"/>
      <c r="G862" s="36"/>
      <c r="H862" s="37"/>
      <c r="I862" s="38"/>
      <c r="J862" s="35"/>
      <c r="K862" s="35"/>
      <c r="L862" s="39"/>
      <c r="M862" s="39"/>
      <c r="N862" s="39"/>
      <c r="O862" s="39"/>
      <c r="P862" s="39"/>
      <c r="Q862" s="39"/>
    </row>
    <row r="863" ht="22.5" customHeight="1">
      <c r="A863" s="33"/>
      <c r="B863" s="34"/>
      <c r="C863" s="34"/>
      <c r="D863" s="34"/>
      <c r="E863" s="34"/>
      <c r="F863" s="35"/>
      <c r="G863" s="40"/>
      <c r="H863" s="41"/>
      <c r="I863" s="38"/>
      <c r="J863" s="35"/>
      <c r="K863" s="35"/>
      <c r="L863" s="39"/>
      <c r="M863" s="39"/>
      <c r="N863" s="39"/>
      <c r="O863" s="39"/>
      <c r="P863" s="39"/>
      <c r="Q863" s="39"/>
    </row>
    <row r="864" ht="22.5" customHeight="1">
      <c r="A864" s="33"/>
      <c r="B864" s="34"/>
      <c r="C864" s="34"/>
      <c r="D864" s="34"/>
      <c r="E864" s="34"/>
      <c r="F864" s="35"/>
      <c r="G864" s="36"/>
      <c r="H864" s="37"/>
      <c r="I864" s="38"/>
      <c r="J864" s="35"/>
      <c r="K864" s="35"/>
      <c r="L864" s="39"/>
      <c r="M864" s="39"/>
      <c r="N864" s="39"/>
      <c r="O864" s="39"/>
      <c r="P864" s="39"/>
      <c r="Q864" s="39"/>
    </row>
    <row r="865" ht="22.5" customHeight="1">
      <c r="A865" s="33"/>
      <c r="B865" s="34"/>
      <c r="C865" s="34"/>
      <c r="D865" s="34"/>
      <c r="E865" s="34"/>
      <c r="F865" s="35"/>
      <c r="G865" s="40"/>
      <c r="H865" s="41"/>
      <c r="I865" s="38"/>
      <c r="J865" s="35"/>
      <c r="K865" s="35"/>
      <c r="L865" s="39"/>
      <c r="M865" s="39"/>
      <c r="N865" s="39"/>
      <c r="O865" s="39"/>
      <c r="P865" s="39"/>
      <c r="Q865" s="39"/>
    </row>
    <row r="866" ht="22.5" customHeight="1">
      <c r="A866" s="33"/>
      <c r="B866" s="34"/>
      <c r="C866" s="34"/>
      <c r="D866" s="34"/>
      <c r="E866" s="34"/>
      <c r="F866" s="35"/>
      <c r="G866" s="36"/>
      <c r="H866" s="37"/>
      <c r="I866" s="38"/>
      <c r="J866" s="35"/>
      <c r="K866" s="35"/>
      <c r="L866" s="39"/>
      <c r="M866" s="39"/>
      <c r="N866" s="39"/>
      <c r="O866" s="39"/>
      <c r="P866" s="39"/>
      <c r="Q866" s="39"/>
    </row>
    <row r="867" ht="22.5" customHeight="1">
      <c r="A867" s="33"/>
      <c r="B867" s="34"/>
      <c r="C867" s="34"/>
      <c r="D867" s="34"/>
      <c r="E867" s="34"/>
      <c r="F867" s="35"/>
      <c r="G867" s="40"/>
      <c r="H867" s="41"/>
      <c r="I867" s="38"/>
      <c r="J867" s="35"/>
      <c r="K867" s="35"/>
      <c r="L867" s="39"/>
      <c r="M867" s="39"/>
      <c r="N867" s="39"/>
      <c r="O867" s="39"/>
      <c r="P867" s="39"/>
      <c r="Q867" s="39"/>
    </row>
    <row r="868" ht="22.5" customHeight="1">
      <c r="A868" s="33"/>
      <c r="B868" s="34"/>
      <c r="C868" s="34"/>
      <c r="D868" s="34"/>
      <c r="E868" s="34"/>
      <c r="F868" s="35"/>
      <c r="G868" s="36"/>
      <c r="H868" s="37"/>
      <c r="I868" s="38"/>
      <c r="J868" s="35"/>
      <c r="K868" s="35"/>
      <c r="L868" s="39"/>
      <c r="M868" s="39"/>
      <c r="N868" s="39"/>
      <c r="O868" s="39"/>
      <c r="P868" s="39"/>
      <c r="Q868" s="39"/>
    </row>
    <row r="869" ht="22.5" customHeight="1">
      <c r="A869" s="33"/>
      <c r="B869" s="34"/>
      <c r="C869" s="34"/>
      <c r="D869" s="34"/>
      <c r="E869" s="34"/>
      <c r="F869" s="35"/>
      <c r="G869" s="40"/>
      <c r="H869" s="41"/>
      <c r="I869" s="38"/>
      <c r="J869" s="35"/>
      <c r="K869" s="35"/>
      <c r="L869" s="39"/>
      <c r="M869" s="39"/>
      <c r="N869" s="39"/>
      <c r="O869" s="39"/>
      <c r="P869" s="39"/>
      <c r="Q869" s="39"/>
    </row>
    <row r="870" ht="22.5" customHeight="1">
      <c r="A870" s="33"/>
      <c r="B870" s="34"/>
      <c r="C870" s="34"/>
      <c r="D870" s="34"/>
      <c r="E870" s="34"/>
      <c r="F870" s="35"/>
      <c r="G870" s="36"/>
      <c r="H870" s="37"/>
      <c r="I870" s="38"/>
      <c r="J870" s="35"/>
      <c r="K870" s="35"/>
      <c r="L870" s="39"/>
      <c r="M870" s="39"/>
      <c r="N870" s="39"/>
      <c r="O870" s="39"/>
      <c r="P870" s="39"/>
      <c r="Q870" s="39"/>
    </row>
    <row r="871" ht="22.5" customHeight="1">
      <c r="A871" s="33"/>
      <c r="B871" s="34"/>
      <c r="C871" s="34"/>
      <c r="D871" s="34"/>
      <c r="E871" s="34"/>
      <c r="F871" s="35"/>
      <c r="G871" s="40"/>
      <c r="H871" s="41"/>
      <c r="I871" s="38"/>
      <c r="J871" s="35"/>
      <c r="K871" s="35"/>
      <c r="L871" s="39"/>
      <c r="M871" s="39"/>
      <c r="N871" s="39"/>
      <c r="O871" s="39"/>
      <c r="P871" s="39"/>
      <c r="Q871" s="39"/>
    </row>
    <row r="872" ht="22.5" customHeight="1">
      <c r="A872" s="33"/>
      <c r="B872" s="34"/>
      <c r="C872" s="34"/>
      <c r="D872" s="34"/>
      <c r="E872" s="34"/>
      <c r="F872" s="35"/>
      <c r="G872" s="36"/>
      <c r="H872" s="37"/>
      <c r="I872" s="38"/>
      <c r="J872" s="35"/>
      <c r="K872" s="35"/>
      <c r="L872" s="39"/>
      <c r="M872" s="39"/>
      <c r="N872" s="39"/>
      <c r="O872" s="39"/>
      <c r="P872" s="39"/>
      <c r="Q872" s="39"/>
    </row>
    <row r="873" ht="22.5" customHeight="1">
      <c r="A873" s="33"/>
      <c r="B873" s="34"/>
      <c r="C873" s="34"/>
      <c r="D873" s="34"/>
      <c r="E873" s="34"/>
      <c r="F873" s="35"/>
      <c r="G873" s="40"/>
      <c r="H873" s="41"/>
      <c r="I873" s="38"/>
      <c r="J873" s="35"/>
      <c r="K873" s="35"/>
      <c r="L873" s="39"/>
      <c r="M873" s="39"/>
      <c r="N873" s="39"/>
      <c r="O873" s="39"/>
      <c r="P873" s="39"/>
      <c r="Q873" s="39"/>
    </row>
    <row r="874" ht="22.5" customHeight="1">
      <c r="A874" s="33"/>
      <c r="B874" s="34"/>
      <c r="C874" s="34"/>
      <c r="D874" s="34"/>
      <c r="E874" s="34"/>
      <c r="F874" s="35"/>
      <c r="G874" s="36"/>
      <c r="H874" s="37"/>
      <c r="I874" s="38"/>
      <c r="J874" s="35"/>
      <c r="K874" s="35"/>
      <c r="L874" s="39"/>
      <c r="M874" s="39"/>
      <c r="N874" s="39"/>
      <c r="O874" s="39"/>
      <c r="P874" s="39"/>
      <c r="Q874" s="39"/>
    </row>
    <row r="875" ht="22.5" customHeight="1">
      <c r="A875" s="33"/>
      <c r="B875" s="34"/>
      <c r="C875" s="34"/>
      <c r="D875" s="34"/>
      <c r="E875" s="34"/>
      <c r="F875" s="35"/>
      <c r="G875" s="40"/>
      <c r="H875" s="41"/>
      <c r="I875" s="38"/>
      <c r="J875" s="35"/>
      <c r="K875" s="35"/>
      <c r="L875" s="39"/>
      <c r="M875" s="39"/>
      <c r="N875" s="39"/>
      <c r="O875" s="39"/>
      <c r="P875" s="39"/>
      <c r="Q875" s="39"/>
    </row>
    <row r="876" ht="22.5" customHeight="1">
      <c r="A876" s="33"/>
      <c r="B876" s="34"/>
      <c r="C876" s="34"/>
      <c r="D876" s="34"/>
      <c r="E876" s="34"/>
      <c r="F876" s="35"/>
      <c r="G876" s="36"/>
      <c r="H876" s="37"/>
      <c r="I876" s="38"/>
      <c r="J876" s="35"/>
      <c r="K876" s="35"/>
      <c r="L876" s="39"/>
      <c r="M876" s="39"/>
      <c r="N876" s="39"/>
      <c r="O876" s="39"/>
      <c r="P876" s="39"/>
      <c r="Q876" s="39"/>
    </row>
    <row r="877" ht="22.5" customHeight="1">
      <c r="A877" s="33"/>
      <c r="B877" s="34"/>
      <c r="C877" s="34"/>
      <c r="D877" s="34"/>
      <c r="E877" s="34"/>
      <c r="F877" s="35"/>
      <c r="G877" s="40"/>
      <c r="H877" s="41"/>
      <c r="I877" s="38"/>
      <c r="J877" s="35"/>
      <c r="K877" s="35"/>
      <c r="L877" s="39"/>
      <c r="M877" s="39"/>
      <c r="N877" s="39"/>
      <c r="O877" s="39"/>
      <c r="P877" s="39"/>
      <c r="Q877" s="39"/>
    </row>
    <row r="878" ht="22.5" customHeight="1">
      <c r="A878" s="33"/>
      <c r="B878" s="34"/>
      <c r="C878" s="34"/>
      <c r="D878" s="34"/>
      <c r="E878" s="34"/>
      <c r="F878" s="35"/>
      <c r="G878" s="36"/>
      <c r="H878" s="37"/>
      <c r="I878" s="38"/>
      <c r="J878" s="35"/>
      <c r="K878" s="35"/>
      <c r="L878" s="39"/>
      <c r="M878" s="39"/>
      <c r="N878" s="39"/>
      <c r="O878" s="39"/>
      <c r="P878" s="39"/>
      <c r="Q878" s="39"/>
    </row>
    <row r="879" ht="22.5" customHeight="1">
      <c r="A879" s="33"/>
      <c r="B879" s="34"/>
      <c r="C879" s="34"/>
      <c r="D879" s="34"/>
      <c r="E879" s="34"/>
      <c r="F879" s="35"/>
      <c r="G879" s="40"/>
      <c r="H879" s="41"/>
      <c r="I879" s="38"/>
      <c r="J879" s="35"/>
      <c r="K879" s="35"/>
      <c r="L879" s="39"/>
      <c r="M879" s="39"/>
      <c r="N879" s="39"/>
      <c r="O879" s="39"/>
      <c r="P879" s="39"/>
      <c r="Q879" s="39"/>
    </row>
    <row r="880" ht="22.5" customHeight="1">
      <c r="A880" s="33"/>
      <c r="B880" s="34"/>
      <c r="C880" s="34"/>
      <c r="D880" s="34"/>
      <c r="E880" s="34"/>
      <c r="F880" s="35"/>
      <c r="G880" s="36"/>
      <c r="H880" s="37"/>
      <c r="I880" s="38"/>
      <c r="J880" s="35"/>
      <c r="K880" s="35"/>
      <c r="L880" s="39"/>
      <c r="M880" s="39"/>
      <c r="N880" s="39"/>
      <c r="O880" s="39"/>
      <c r="P880" s="39"/>
      <c r="Q880" s="39"/>
    </row>
    <row r="881" ht="22.5" customHeight="1">
      <c r="A881" s="33"/>
      <c r="B881" s="34"/>
      <c r="C881" s="34"/>
      <c r="D881" s="34"/>
      <c r="E881" s="34"/>
      <c r="F881" s="35"/>
      <c r="G881" s="40"/>
      <c r="H881" s="41"/>
      <c r="I881" s="38"/>
      <c r="J881" s="35"/>
      <c r="K881" s="35"/>
      <c r="L881" s="39"/>
      <c r="M881" s="39"/>
      <c r="N881" s="39"/>
      <c r="O881" s="39"/>
      <c r="P881" s="39"/>
      <c r="Q881" s="39"/>
    </row>
    <row r="882" ht="22.5" customHeight="1">
      <c r="A882" s="33"/>
      <c r="B882" s="34"/>
      <c r="C882" s="34"/>
      <c r="D882" s="34"/>
      <c r="E882" s="34"/>
      <c r="F882" s="35"/>
      <c r="G882" s="36"/>
      <c r="H882" s="37"/>
      <c r="I882" s="38"/>
      <c r="J882" s="35"/>
      <c r="K882" s="35"/>
      <c r="L882" s="39"/>
      <c r="M882" s="39"/>
      <c r="N882" s="39"/>
      <c r="O882" s="39"/>
      <c r="P882" s="39"/>
      <c r="Q882" s="39"/>
    </row>
    <row r="883" ht="22.5" customHeight="1">
      <c r="A883" s="33"/>
      <c r="B883" s="34"/>
      <c r="C883" s="34"/>
      <c r="D883" s="34"/>
      <c r="E883" s="34"/>
      <c r="F883" s="35"/>
      <c r="G883" s="40"/>
      <c r="H883" s="41"/>
      <c r="I883" s="38"/>
      <c r="J883" s="35"/>
      <c r="K883" s="35"/>
      <c r="L883" s="39"/>
      <c r="M883" s="39"/>
      <c r="N883" s="39"/>
      <c r="O883" s="39"/>
      <c r="P883" s="39"/>
      <c r="Q883" s="39"/>
    </row>
    <row r="884" ht="22.5" customHeight="1">
      <c r="A884" s="33"/>
      <c r="B884" s="34"/>
      <c r="C884" s="34"/>
      <c r="D884" s="34"/>
      <c r="E884" s="34"/>
      <c r="F884" s="35"/>
      <c r="G884" s="36"/>
      <c r="H884" s="37"/>
      <c r="I884" s="38"/>
      <c r="J884" s="35"/>
      <c r="K884" s="35"/>
      <c r="L884" s="39"/>
      <c r="M884" s="39"/>
      <c r="N884" s="39"/>
      <c r="O884" s="39"/>
      <c r="P884" s="39"/>
      <c r="Q884" s="39"/>
    </row>
    <row r="885" ht="22.5" customHeight="1">
      <c r="A885" s="33"/>
      <c r="B885" s="34"/>
      <c r="C885" s="34"/>
      <c r="D885" s="34"/>
      <c r="E885" s="34"/>
      <c r="F885" s="35"/>
      <c r="G885" s="40"/>
      <c r="H885" s="41"/>
      <c r="I885" s="38"/>
      <c r="J885" s="35"/>
      <c r="K885" s="35"/>
      <c r="L885" s="39"/>
      <c r="M885" s="39"/>
      <c r="N885" s="39"/>
      <c r="O885" s="39"/>
      <c r="P885" s="39"/>
      <c r="Q885" s="39"/>
    </row>
    <row r="886" ht="22.5" customHeight="1">
      <c r="A886" s="33"/>
      <c r="B886" s="34"/>
      <c r="C886" s="34"/>
      <c r="D886" s="34"/>
      <c r="E886" s="34"/>
      <c r="F886" s="35"/>
      <c r="G886" s="36"/>
      <c r="H886" s="37"/>
      <c r="I886" s="38"/>
      <c r="J886" s="35"/>
      <c r="K886" s="35"/>
      <c r="L886" s="39"/>
      <c r="M886" s="39"/>
      <c r="N886" s="39"/>
      <c r="O886" s="39"/>
      <c r="P886" s="39"/>
      <c r="Q886" s="39"/>
    </row>
    <row r="887" ht="22.5" customHeight="1">
      <c r="A887" s="33"/>
      <c r="B887" s="34"/>
      <c r="C887" s="34"/>
      <c r="D887" s="34"/>
      <c r="E887" s="34"/>
      <c r="F887" s="35"/>
      <c r="G887" s="40"/>
      <c r="H887" s="41"/>
      <c r="I887" s="38"/>
      <c r="J887" s="35"/>
      <c r="K887" s="35"/>
      <c r="L887" s="39"/>
      <c r="M887" s="39"/>
      <c r="N887" s="39"/>
      <c r="O887" s="39"/>
      <c r="P887" s="39"/>
      <c r="Q887" s="39"/>
    </row>
    <row r="888" ht="22.5" customHeight="1">
      <c r="A888" s="33"/>
      <c r="B888" s="34"/>
      <c r="C888" s="34"/>
      <c r="D888" s="34"/>
      <c r="E888" s="34"/>
      <c r="F888" s="35"/>
      <c r="G888" s="36"/>
      <c r="H888" s="37"/>
      <c r="I888" s="38"/>
      <c r="J888" s="35"/>
      <c r="K888" s="35"/>
      <c r="L888" s="39"/>
      <c r="M888" s="39"/>
      <c r="N888" s="39"/>
      <c r="O888" s="39"/>
      <c r="P888" s="39"/>
      <c r="Q888" s="39"/>
    </row>
    <row r="889" ht="22.5" customHeight="1">
      <c r="A889" s="33"/>
      <c r="B889" s="34"/>
      <c r="C889" s="34"/>
      <c r="D889" s="34"/>
      <c r="E889" s="34"/>
      <c r="F889" s="35"/>
      <c r="G889" s="40"/>
      <c r="H889" s="41"/>
      <c r="I889" s="38"/>
      <c r="J889" s="35"/>
      <c r="K889" s="35"/>
      <c r="L889" s="39"/>
      <c r="M889" s="39"/>
      <c r="N889" s="39"/>
      <c r="O889" s="39"/>
      <c r="P889" s="39"/>
      <c r="Q889" s="39"/>
    </row>
    <row r="890" ht="22.5" customHeight="1">
      <c r="A890" s="33"/>
      <c r="B890" s="34"/>
      <c r="C890" s="34"/>
      <c r="D890" s="34"/>
      <c r="E890" s="34"/>
      <c r="F890" s="35"/>
      <c r="G890" s="36"/>
      <c r="H890" s="37"/>
      <c r="I890" s="38"/>
      <c r="J890" s="35"/>
      <c r="K890" s="35"/>
      <c r="L890" s="39"/>
      <c r="M890" s="39"/>
      <c r="N890" s="39"/>
      <c r="O890" s="39"/>
      <c r="P890" s="39"/>
      <c r="Q890" s="39"/>
    </row>
    <row r="891" ht="22.5" customHeight="1">
      <c r="A891" s="33"/>
      <c r="B891" s="34"/>
      <c r="C891" s="34"/>
      <c r="D891" s="34"/>
      <c r="E891" s="34"/>
      <c r="F891" s="35"/>
      <c r="G891" s="40"/>
      <c r="H891" s="41"/>
      <c r="I891" s="38"/>
      <c r="J891" s="35"/>
      <c r="K891" s="35"/>
      <c r="L891" s="39"/>
      <c r="M891" s="39"/>
      <c r="N891" s="39"/>
      <c r="O891" s="39"/>
      <c r="P891" s="39"/>
      <c r="Q891" s="39"/>
    </row>
    <row r="892" ht="22.5" customHeight="1">
      <c r="A892" s="33"/>
      <c r="B892" s="34"/>
      <c r="C892" s="34"/>
      <c r="D892" s="34"/>
      <c r="E892" s="34"/>
      <c r="F892" s="35"/>
      <c r="G892" s="36"/>
      <c r="H892" s="37"/>
      <c r="I892" s="38"/>
      <c r="J892" s="35"/>
      <c r="K892" s="35"/>
      <c r="L892" s="39"/>
      <c r="M892" s="39"/>
      <c r="N892" s="39"/>
      <c r="O892" s="39"/>
      <c r="P892" s="39"/>
      <c r="Q892" s="39"/>
    </row>
    <row r="893" ht="22.5" customHeight="1">
      <c r="A893" s="33"/>
      <c r="B893" s="34"/>
      <c r="C893" s="34"/>
      <c r="D893" s="34"/>
      <c r="E893" s="34"/>
      <c r="F893" s="35"/>
      <c r="G893" s="40"/>
      <c r="H893" s="41"/>
      <c r="I893" s="38"/>
      <c r="J893" s="35"/>
      <c r="K893" s="35"/>
      <c r="L893" s="39"/>
      <c r="M893" s="39"/>
      <c r="N893" s="39"/>
      <c r="O893" s="39"/>
      <c r="P893" s="39"/>
      <c r="Q893" s="39"/>
    </row>
    <row r="894" ht="22.5" customHeight="1">
      <c r="A894" s="33"/>
      <c r="B894" s="34"/>
      <c r="C894" s="34"/>
      <c r="D894" s="34"/>
      <c r="E894" s="34"/>
      <c r="F894" s="35"/>
      <c r="G894" s="36"/>
      <c r="H894" s="37"/>
      <c r="I894" s="38"/>
      <c r="J894" s="35"/>
      <c r="K894" s="35"/>
      <c r="L894" s="39"/>
      <c r="M894" s="39"/>
      <c r="N894" s="39"/>
      <c r="O894" s="39"/>
      <c r="P894" s="39"/>
      <c r="Q894" s="39"/>
    </row>
    <row r="895" ht="22.5" customHeight="1">
      <c r="A895" s="33"/>
      <c r="B895" s="34"/>
      <c r="C895" s="34"/>
      <c r="D895" s="34"/>
      <c r="E895" s="34"/>
      <c r="F895" s="35"/>
      <c r="G895" s="40"/>
      <c r="H895" s="41"/>
      <c r="I895" s="38"/>
      <c r="J895" s="35"/>
      <c r="K895" s="35"/>
      <c r="L895" s="39"/>
      <c r="M895" s="39"/>
      <c r="N895" s="39"/>
      <c r="O895" s="39"/>
      <c r="P895" s="39"/>
      <c r="Q895" s="39"/>
    </row>
    <row r="896" ht="22.5" customHeight="1">
      <c r="A896" s="33"/>
      <c r="B896" s="34"/>
      <c r="C896" s="34"/>
      <c r="D896" s="34"/>
      <c r="E896" s="34"/>
      <c r="F896" s="35"/>
      <c r="G896" s="36"/>
      <c r="H896" s="37"/>
      <c r="I896" s="38"/>
      <c r="J896" s="35"/>
      <c r="K896" s="35"/>
      <c r="L896" s="39"/>
      <c r="M896" s="39"/>
      <c r="N896" s="39"/>
      <c r="O896" s="39"/>
      <c r="P896" s="39"/>
      <c r="Q896" s="39"/>
    </row>
    <row r="897" ht="22.5" customHeight="1">
      <c r="A897" s="33"/>
      <c r="B897" s="34"/>
      <c r="C897" s="34"/>
      <c r="D897" s="34"/>
      <c r="E897" s="34"/>
      <c r="F897" s="35"/>
      <c r="G897" s="40"/>
      <c r="H897" s="41"/>
      <c r="I897" s="38"/>
      <c r="J897" s="35"/>
      <c r="K897" s="35"/>
      <c r="L897" s="39"/>
      <c r="M897" s="39"/>
      <c r="N897" s="39"/>
      <c r="O897" s="39"/>
      <c r="P897" s="39"/>
      <c r="Q897" s="39"/>
    </row>
    <row r="898" ht="22.5" customHeight="1">
      <c r="A898" s="33"/>
      <c r="B898" s="34"/>
      <c r="C898" s="34"/>
      <c r="D898" s="34"/>
      <c r="E898" s="34"/>
      <c r="F898" s="35"/>
      <c r="G898" s="36"/>
      <c r="H898" s="37"/>
      <c r="I898" s="38"/>
      <c r="J898" s="35"/>
      <c r="K898" s="35"/>
      <c r="L898" s="39"/>
      <c r="M898" s="39"/>
      <c r="N898" s="39"/>
      <c r="O898" s="39"/>
      <c r="P898" s="39"/>
      <c r="Q898" s="39"/>
    </row>
    <row r="899" ht="22.5" customHeight="1">
      <c r="A899" s="33"/>
      <c r="B899" s="34"/>
      <c r="C899" s="34"/>
      <c r="D899" s="34"/>
      <c r="E899" s="34"/>
      <c r="F899" s="35"/>
      <c r="G899" s="40"/>
      <c r="H899" s="41"/>
      <c r="I899" s="38"/>
      <c r="J899" s="35"/>
      <c r="K899" s="35"/>
      <c r="L899" s="39"/>
      <c r="M899" s="39"/>
      <c r="N899" s="39"/>
      <c r="O899" s="39"/>
      <c r="P899" s="39"/>
      <c r="Q899" s="39"/>
    </row>
    <row r="900" ht="22.5" customHeight="1">
      <c r="A900" s="33"/>
      <c r="B900" s="34"/>
      <c r="C900" s="34"/>
      <c r="D900" s="34"/>
      <c r="E900" s="34"/>
      <c r="F900" s="35"/>
      <c r="G900" s="36"/>
      <c r="H900" s="37"/>
      <c r="I900" s="38"/>
      <c r="J900" s="35"/>
      <c r="K900" s="35"/>
      <c r="L900" s="39"/>
      <c r="M900" s="39"/>
      <c r="N900" s="39"/>
      <c r="O900" s="39"/>
      <c r="P900" s="39"/>
      <c r="Q900" s="39"/>
    </row>
    <row r="901" ht="22.5" customHeight="1">
      <c r="A901" s="33"/>
      <c r="B901" s="34"/>
      <c r="C901" s="34"/>
      <c r="D901" s="34"/>
      <c r="E901" s="34"/>
      <c r="F901" s="35"/>
      <c r="G901" s="40"/>
      <c r="H901" s="41"/>
      <c r="I901" s="38"/>
      <c r="J901" s="35"/>
      <c r="K901" s="35"/>
      <c r="L901" s="39"/>
      <c r="M901" s="39"/>
      <c r="N901" s="39"/>
      <c r="O901" s="39"/>
      <c r="P901" s="39"/>
      <c r="Q901" s="39"/>
    </row>
    <row r="902" ht="22.5" customHeight="1">
      <c r="A902" s="33"/>
      <c r="B902" s="34"/>
      <c r="C902" s="34"/>
      <c r="D902" s="34"/>
      <c r="E902" s="34"/>
      <c r="F902" s="35"/>
      <c r="G902" s="36"/>
      <c r="H902" s="37"/>
      <c r="I902" s="38"/>
      <c r="J902" s="35"/>
      <c r="K902" s="35"/>
      <c r="L902" s="39"/>
      <c r="M902" s="39"/>
      <c r="N902" s="39"/>
      <c r="O902" s="39"/>
      <c r="P902" s="39"/>
      <c r="Q902" s="39"/>
    </row>
    <row r="903" ht="22.5" customHeight="1">
      <c r="A903" s="33"/>
      <c r="B903" s="34"/>
      <c r="C903" s="34"/>
      <c r="D903" s="34"/>
      <c r="E903" s="34"/>
      <c r="F903" s="35"/>
      <c r="G903" s="40"/>
      <c r="H903" s="41"/>
      <c r="I903" s="38"/>
      <c r="J903" s="35"/>
      <c r="K903" s="35"/>
      <c r="L903" s="39"/>
      <c r="M903" s="39"/>
      <c r="N903" s="39"/>
      <c r="O903" s="39"/>
      <c r="P903" s="39"/>
      <c r="Q903" s="39"/>
    </row>
    <row r="904" ht="22.5" customHeight="1">
      <c r="A904" s="33"/>
      <c r="B904" s="34"/>
      <c r="C904" s="34"/>
      <c r="D904" s="34"/>
      <c r="E904" s="34"/>
      <c r="F904" s="35"/>
      <c r="G904" s="36"/>
      <c r="H904" s="37"/>
      <c r="I904" s="38"/>
      <c r="J904" s="35"/>
      <c r="K904" s="35"/>
      <c r="L904" s="39"/>
      <c r="M904" s="39"/>
      <c r="N904" s="39"/>
      <c r="O904" s="39"/>
      <c r="P904" s="39"/>
      <c r="Q904" s="39"/>
    </row>
    <row r="905" ht="22.5" customHeight="1">
      <c r="A905" s="33"/>
      <c r="B905" s="34"/>
      <c r="C905" s="34"/>
      <c r="D905" s="34"/>
      <c r="E905" s="34"/>
      <c r="F905" s="35"/>
      <c r="G905" s="40"/>
      <c r="H905" s="41"/>
      <c r="I905" s="38"/>
      <c r="J905" s="35"/>
      <c r="K905" s="35"/>
      <c r="L905" s="39"/>
      <c r="M905" s="39"/>
      <c r="N905" s="39"/>
      <c r="O905" s="39"/>
      <c r="P905" s="39"/>
      <c r="Q905" s="39"/>
    </row>
    <row r="906" ht="22.5" customHeight="1">
      <c r="A906" s="33"/>
      <c r="B906" s="34"/>
      <c r="C906" s="34"/>
      <c r="D906" s="34"/>
      <c r="E906" s="34"/>
      <c r="F906" s="35"/>
      <c r="G906" s="36"/>
      <c r="H906" s="37"/>
      <c r="I906" s="38"/>
      <c r="J906" s="35"/>
      <c r="K906" s="35"/>
      <c r="L906" s="39"/>
      <c r="M906" s="39"/>
      <c r="N906" s="39"/>
      <c r="O906" s="39"/>
      <c r="P906" s="39"/>
      <c r="Q906" s="39"/>
    </row>
    <row r="907" ht="22.5" customHeight="1">
      <c r="A907" s="33"/>
      <c r="B907" s="34"/>
      <c r="C907" s="34"/>
      <c r="D907" s="34"/>
      <c r="E907" s="34"/>
      <c r="F907" s="35"/>
      <c r="G907" s="40"/>
      <c r="H907" s="41"/>
      <c r="I907" s="38"/>
      <c r="J907" s="35"/>
      <c r="K907" s="35"/>
      <c r="L907" s="39"/>
      <c r="M907" s="39"/>
      <c r="N907" s="39"/>
      <c r="O907" s="39"/>
      <c r="P907" s="39"/>
      <c r="Q907" s="39"/>
    </row>
    <row r="908" ht="22.5" customHeight="1">
      <c r="A908" s="33"/>
      <c r="B908" s="34"/>
      <c r="C908" s="34"/>
      <c r="D908" s="34"/>
      <c r="E908" s="34"/>
      <c r="F908" s="35"/>
      <c r="G908" s="36"/>
      <c r="H908" s="37"/>
      <c r="I908" s="38"/>
      <c r="J908" s="35"/>
      <c r="K908" s="35"/>
      <c r="L908" s="39"/>
      <c r="M908" s="39"/>
      <c r="N908" s="39"/>
      <c r="O908" s="39"/>
      <c r="P908" s="39"/>
      <c r="Q908" s="39"/>
    </row>
    <row r="909" ht="22.5" customHeight="1">
      <c r="A909" s="33"/>
      <c r="B909" s="34"/>
      <c r="C909" s="34"/>
      <c r="D909" s="34"/>
      <c r="E909" s="34"/>
      <c r="F909" s="35"/>
      <c r="G909" s="40"/>
      <c r="H909" s="41"/>
      <c r="I909" s="38"/>
      <c r="J909" s="35"/>
      <c r="K909" s="35"/>
      <c r="L909" s="39"/>
      <c r="M909" s="39"/>
      <c r="N909" s="39"/>
      <c r="O909" s="39"/>
      <c r="P909" s="39"/>
      <c r="Q909" s="39"/>
    </row>
    <row r="910" ht="22.5" customHeight="1">
      <c r="A910" s="33"/>
      <c r="B910" s="34"/>
      <c r="C910" s="34"/>
      <c r="D910" s="34"/>
      <c r="E910" s="34"/>
      <c r="F910" s="35"/>
      <c r="G910" s="36"/>
      <c r="H910" s="37"/>
      <c r="I910" s="38"/>
      <c r="J910" s="35"/>
      <c r="K910" s="35"/>
      <c r="L910" s="39"/>
      <c r="M910" s="39"/>
      <c r="N910" s="39"/>
      <c r="O910" s="39"/>
      <c r="P910" s="39"/>
      <c r="Q910" s="39"/>
    </row>
    <row r="911" ht="22.5" customHeight="1">
      <c r="A911" s="33"/>
      <c r="B911" s="34"/>
      <c r="C911" s="34"/>
      <c r="D911" s="34"/>
      <c r="E911" s="34"/>
      <c r="F911" s="35"/>
      <c r="G911" s="40"/>
      <c r="H911" s="41"/>
      <c r="I911" s="38"/>
      <c r="J911" s="35"/>
      <c r="K911" s="35"/>
      <c r="L911" s="39"/>
      <c r="M911" s="39"/>
      <c r="N911" s="39"/>
      <c r="O911" s="39"/>
      <c r="P911" s="39"/>
      <c r="Q911" s="39"/>
    </row>
    <row r="912" ht="22.5" customHeight="1">
      <c r="A912" s="33"/>
      <c r="B912" s="34"/>
      <c r="C912" s="34"/>
      <c r="D912" s="34"/>
      <c r="E912" s="34"/>
      <c r="F912" s="35"/>
      <c r="G912" s="36"/>
      <c r="H912" s="37"/>
      <c r="I912" s="38"/>
      <c r="J912" s="35"/>
      <c r="K912" s="35"/>
      <c r="L912" s="39"/>
      <c r="M912" s="39"/>
      <c r="N912" s="39"/>
      <c r="O912" s="39"/>
      <c r="P912" s="39"/>
      <c r="Q912" s="39"/>
    </row>
    <row r="913" ht="22.5" customHeight="1">
      <c r="A913" s="33"/>
      <c r="B913" s="34"/>
      <c r="C913" s="34"/>
      <c r="D913" s="34"/>
      <c r="E913" s="34"/>
      <c r="F913" s="35"/>
      <c r="G913" s="40"/>
      <c r="H913" s="41"/>
      <c r="I913" s="38"/>
      <c r="J913" s="35"/>
      <c r="K913" s="35"/>
      <c r="L913" s="39"/>
      <c r="M913" s="39"/>
      <c r="N913" s="39"/>
      <c r="O913" s="39"/>
      <c r="P913" s="39"/>
      <c r="Q913" s="39"/>
    </row>
    <row r="914" ht="22.5" customHeight="1">
      <c r="A914" s="33"/>
      <c r="B914" s="34"/>
      <c r="C914" s="34"/>
      <c r="D914" s="34"/>
      <c r="E914" s="34"/>
      <c r="F914" s="35"/>
      <c r="G914" s="36"/>
      <c r="H914" s="37"/>
      <c r="I914" s="38"/>
      <c r="J914" s="35"/>
      <c r="K914" s="35"/>
      <c r="L914" s="39"/>
      <c r="M914" s="39"/>
      <c r="N914" s="39"/>
      <c r="O914" s="39"/>
      <c r="P914" s="39"/>
      <c r="Q914" s="39"/>
    </row>
    <row r="915" ht="22.5" customHeight="1">
      <c r="A915" s="33"/>
      <c r="B915" s="34"/>
      <c r="C915" s="34"/>
      <c r="D915" s="34"/>
      <c r="E915" s="34"/>
      <c r="F915" s="35"/>
      <c r="G915" s="40"/>
      <c r="H915" s="41"/>
      <c r="I915" s="38"/>
      <c r="J915" s="35"/>
      <c r="K915" s="35"/>
      <c r="L915" s="39"/>
      <c r="M915" s="39"/>
      <c r="N915" s="39"/>
      <c r="O915" s="39"/>
      <c r="P915" s="39"/>
      <c r="Q915" s="39"/>
    </row>
    <row r="916" ht="22.5" customHeight="1">
      <c r="A916" s="33"/>
      <c r="B916" s="34"/>
      <c r="C916" s="34"/>
      <c r="D916" s="34"/>
      <c r="E916" s="34"/>
      <c r="F916" s="35"/>
      <c r="G916" s="36"/>
      <c r="H916" s="37"/>
      <c r="I916" s="38"/>
      <c r="J916" s="35"/>
      <c r="K916" s="35"/>
      <c r="L916" s="39"/>
      <c r="M916" s="39"/>
      <c r="N916" s="39"/>
      <c r="O916" s="39"/>
      <c r="P916" s="39"/>
      <c r="Q916" s="39"/>
    </row>
    <row r="917" ht="22.5" customHeight="1">
      <c r="A917" s="33"/>
      <c r="B917" s="34"/>
      <c r="C917" s="34"/>
      <c r="D917" s="34"/>
      <c r="E917" s="34"/>
      <c r="F917" s="35"/>
      <c r="G917" s="40"/>
      <c r="H917" s="41"/>
      <c r="I917" s="38"/>
      <c r="J917" s="35"/>
      <c r="K917" s="35"/>
      <c r="L917" s="39"/>
      <c r="M917" s="39"/>
      <c r="N917" s="39"/>
      <c r="O917" s="39"/>
      <c r="P917" s="39"/>
      <c r="Q917" s="39"/>
    </row>
    <row r="918" ht="22.5" customHeight="1">
      <c r="A918" s="33"/>
      <c r="B918" s="34"/>
      <c r="C918" s="34"/>
      <c r="D918" s="34"/>
      <c r="E918" s="34"/>
      <c r="F918" s="35"/>
      <c r="G918" s="36"/>
      <c r="H918" s="37"/>
      <c r="I918" s="38"/>
      <c r="J918" s="35"/>
      <c r="K918" s="35"/>
      <c r="L918" s="39"/>
      <c r="M918" s="39"/>
      <c r="N918" s="39"/>
      <c r="O918" s="39"/>
      <c r="P918" s="39"/>
      <c r="Q918" s="39"/>
    </row>
    <row r="919" ht="22.5" customHeight="1">
      <c r="A919" s="33"/>
      <c r="B919" s="34"/>
      <c r="C919" s="34"/>
      <c r="D919" s="34"/>
      <c r="E919" s="34"/>
      <c r="F919" s="35"/>
      <c r="G919" s="40"/>
      <c r="H919" s="41"/>
      <c r="I919" s="38"/>
      <c r="J919" s="35"/>
      <c r="K919" s="35"/>
      <c r="L919" s="39"/>
      <c r="M919" s="39"/>
      <c r="N919" s="39"/>
      <c r="O919" s="39"/>
      <c r="P919" s="39"/>
      <c r="Q919" s="39"/>
    </row>
    <row r="920" ht="22.5" customHeight="1">
      <c r="A920" s="33"/>
      <c r="B920" s="34"/>
      <c r="C920" s="34"/>
      <c r="D920" s="34"/>
      <c r="E920" s="34"/>
      <c r="F920" s="35"/>
      <c r="G920" s="36"/>
      <c r="H920" s="37"/>
      <c r="I920" s="38"/>
      <c r="J920" s="35"/>
      <c r="K920" s="35"/>
      <c r="L920" s="39"/>
      <c r="M920" s="39"/>
      <c r="N920" s="39"/>
      <c r="O920" s="39"/>
      <c r="P920" s="39"/>
      <c r="Q920" s="39"/>
    </row>
    <row r="921" ht="22.5" customHeight="1">
      <c r="A921" s="33"/>
      <c r="B921" s="34"/>
      <c r="C921" s="34"/>
      <c r="D921" s="34"/>
      <c r="E921" s="34"/>
      <c r="F921" s="35"/>
      <c r="G921" s="40"/>
      <c r="H921" s="41"/>
      <c r="I921" s="38"/>
      <c r="J921" s="35"/>
      <c r="K921" s="35"/>
      <c r="L921" s="39"/>
      <c r="M921" s="39"/>
      <c r="N921" s="39"/>
      <c r="O921" s="39"/>
      <c r="P921" s="39"/>
      <c r="Q921" s="39"/>
    </row>
    <row r="922" ht="22.5" customHeight="1">
      <c r="A922" s="33"/>
      <c r="B922" s="34"/>
      <c r="C922" s="34"/>
      <c r="D922" s="34"/>
      <c r="E922" s="34"/>
      <c r="F922" s="35"/>
      <c r="G922" s="36"/>
      <c r="H922" s="37"/>
      <c r="I922" s="38"/>
      <c r="J922" s="35"/>
      <c r="K922" s="35"/>
      <c r="L922" s="39"/>
      <c r="M922" s="39"/>
      <c r="N922" s="39"/>
      <c r="O922" s="39"/>
      <c r="P922" s="39"/>
      <c r="Q922" s="39"/>
    </row>
    <row r="923" ht="22.5" customHeight="1">
      <c r="A923" s="33"/>
      <c r="B923" s="34"/>
      <c r="C923" s="34"/>
      <c r="D923" s="34"/>
      <c r="E923" s="34"/>
      <c r="F923" s="35"/>
      <c r="G923" s="40"/>
      <c r="H923" s="41"/>
      <c r="I923" s="38"/>
      <c r="J923" s="35"/>
      <c r="K923" s="35"/>
      <c r="L923" s="39"/>
      <c r="M923" s="39"/>
      <c r="N923" s="39"/>
      <c r="O923" s="39"/>
      <c r="P923" s="39"/>
      <c r="Q923" s="39"/>
    </row>
    <row r="924" ht="22.5" customHeight="1">
      <c r="A924" s="33"/>
      <c r="B924" s="34"/>
      <c r="C924" s="34"/>
      <c r="D924" s="34"/>
      <c r="E924" s="34"/>
      <c r="F924" s="35"/>
      <c r="G924" s="36"/>
      <c r="H924" s="37"/>
      <c r="I924" s="38"/>
      <c r="J924" s="35"/>
      <c r="K924" s="35"/>
      <c r="L924" s="39"/>
      <c r="M924" s="39"/>
      <c r="N924" s="39"/>
      <c r="O924" s="39"/>
      <c r="P924" s="39"/>
      <c r="Q924" s="39"/>
    </row>
    <row r="925" ht="22.5" customHeight="1">
      <c r="A925" s="33"/>
      <c r="B925" s="34"/>
      <c r="C925" s="34"/>
      <c r="D925" s="34"/>
      <c r="E925" s="34"/>
      <c r="F925" s="35"/>
      <c r="G925" s="40"/>
      <c r="H925" s="41"/>
      <c r="I925" s="38"/>
      <c r="J925" s="35"/>
      <c r="K925" s="35"/>
      <c r="L925" s="39"/>
      <c r="M925" s="39"/>
      <c r="N925" s="39"/>
      <c r="O925" s="39"/>
      <c r="P925" s="39"/>
      <c r="Q925" s="39"/>
    </row>
    <row r="926" ht="22.5" customHeight="1">
      <c r="A926" s="33"/>
      <c r="B926" s="34"/>
      <c r="C926" s="34"/>
      <c r="D926" s="34"/>
      <c r="E926" s="34"/>
      <c r="F926" s="35"/>
      <c r="G926" s="36"/>
      <c r="H926" s="37"/>
      <c r="I926" s="38"/>
      <c r="J926" s="35"/>
      <c r="K926" s="35"/>
      <c r="L926" s="39"/>
      <c r="M926" s="39"/>
      <c r="N926" s="39"/>
      <c r="O926" s="39"/>
      <c r="P926" s="39"/>
      <c r="Q926" s="39"/>
    </row>
    <row r="927" ht="22.5" customHeight="1">
      <c r="A927" s="33"/>
      <c r="B927" s="34"/>
      <c r="C927" s="34"/>
      <c r="D927" s="34"/>
      <c r="E927" s="34"/>
      <c r="F927" s="35"/>
      <c r="G927" s="40"/>
      <c r="H927" s="41"/>
      <c r="I927" s="38"/>
      <c r="J927" s="35"/>
      <c r="K927" s="35"/>
      <c r="L927" s="39"/>
      <c r="M927" s="39"/>
      <c r="N927" s="39"/>
      <c r="O927" s="39"/>
      <c r="P927" s="39"/>
      <c r="Q927" s="39"/>
    </row>
    <row r="928" ht="22.5" customHeight="1">
      <c r="A928" s="33"/>
      <c r="B928" s="34"/>
      <c r="C928" s="34"/>
      <c r="D928" s="34"/>
      <c r="E928" s="34"/>
      <c r="F928" s="35"/>
      <c r="G928" s="36"/>
      <c r="H928" s="37"/>
      <c r="I928" s="38"/>
      <c r="J928" s="35"/>
      <c r="K928" s="35"/>
      <c r="L928" s="39"/>
      <c r="M928" s="39"/>
      <c r="N928" s="39"/>
      <c r="O928" s="39"/>
      <c r="P928" s="39"/>
      <c r="Q928" s="39"/>
    </row>
    <row r="929" ht="22.5" customHeight="1">
      <c r="A929" s="33"/>
      <c r="B929" s="34"/>
      <c r="C929" s="34"/>
      <c r="D929" s="34"/>
      <c r="E929" s="34"/>
      <c r="F929" s="35"/>
      <c r="G929" s="40"/>
      <c r="H929" s="41"/>
      <c r="I929" s="38"/>
      <c r="J929" s="35"/>
      <c r="K929" s="35"/>
      <c r="L929" s="39"/>
      <c r="M929" s="39"/>
      <c r="N929" s="39"/>
      <c r="O929" s="39"/>
      <c r="P929" s="39"/>
      <c r="Q929" s="39"/>
    </row>
    <row r="930" ht="22.5" customHeight="1">
      <c r="A930" s="33"/>
      <c r="B930" s="34"/>
      <c r="C930" s="34"/>
      <c r="D930" s="34"/>
      <c r="E930" s="34"/>
      <c r="F930" s="35"/>
      <c r="G930" s="36"/>
      <c r="H930" s="37"/>
      <c r="I930" s="38"/>
      <c r="J930" s="35"/>
      <c r="K930" s="35"/>
      <c r="L930" s="39"/>
      <c r="M930" s="39"/>
      <c r="N930" s="39"/>
      <c r="O930" s="39"/>
      <c r="P930" s="39"/>
      <c r="Q930" s="39"/>
    </row>
    <row r="931" ht="22.5" customHeight="1">
      <c r="A931" s="33"/>
      <c r="B931" s="34"/>
      <c r="C931" s="34"/>
      <c r="D931" s="34"/>
      <c r="E931" s="34"/>
      <c r="F931" s="35"/>
      <c r="G931" s="40"/>
      <c r="H931" s="41"/>
      <c r="I931" s="38"/>
      <c r="J931" s="35"/>
      <c r="K931" s="35"/>
      <c r="L931" s="39"/>
      <c r="M931" s="39"/>
      <c r="N931" s="39"/>
      <c r="O931" s="39"/>
      <c r="P931" s="39"/>
      <c r="Q931" s="39"/>
    </row>
    <row r="932" ht="22.5" customHeight="1">
      <c r="A932" s="33"/>
      <c r="B932" s="34"/>
      <c r="C932" s="34"/>
      <c r="D932" s="34"/>
      <c r="E932" s="34"/>
      <c r="F932" s="35"/>
      <c r="G932" s="36"/>
      <c r="H932" s="37"/>
      <c r="I932" s="38"/>
      <c r="J932" s="35"/>
      <c r="K932" s="35"/>
      <c r="L932" s="39"/>
      <c r="M932" s="39"/>
      <c r="N932" s="39"/>
      <c r="O932" s="39"/>
      <c r="P932" s="39"/>
      <c r="Q932" s="39"/>
    </row>
    <row r="933" ht="22.5" customHeight="1">
      <c r="A933" s="33"/>
      <c r="B933" s="34"/>
      <c r="C933" s="34"/>
      <c r="D933" s="34"/>
      <c r="E933" s="34"/>
      <c r="F933" s="35"/>
      <c r="G933" s="40"/>
      <c r="H933" s="41"/>
      <c r="I933" s="38"/>
      <c r="J933" s="35"/>
      <c r="K933" s="35"/>
      <c r="L933" s="39"/>
      <c r="M933" s="39"/>
      <c r="N933" s="39"/>
      <c r="O933" s="39"/>
      <c r="P933" s="39"/>
      <c r="Q933" s="39"/>
    </row>
    <row r="934" ht="22.5" customHeight="1">
      <c r="A934" s="33"/>
      <c r="B934" s="34"/>
      <c r="C934" s="34"/>
      <c r="D934" s="34"/>
      <c r="E934" s="34"/>
      <c r="F934" s="35"/>
      <c r="G934" s="36"/>
      <c r="H934" s="37"/>
      <c r="I934" s="38"/>
      <c r="J934" s="35"/>
      <c r="K934" s="35"/>
      <c r="L934" s="39"/>
      <c r="M934" s="39"/>
      <c r="N934" s="39"/>
      <c r="O934" s="39"/>
      <c r="P934" s="39"/>
      <c r="Q934" s="39"/>
    </row>
    <row r="935" ht="22.5" customHeight="1">
      <c r="A935" s="33"/>
      <c r="B935" s="34"/>
      <c r="C935" s="34"/>
      <c r="D935" s="34"/>
      <c r="E935" s="34"/>
      <c r="F935" s="35"/>
      <c r="G935" s="40"/>
      <c r="H935" s="41"/>
      <c r="I935" s="38"/>
      <c r="J935" s="35"/>
      <c r="K935" s="35"/>
      <c r="L935" s="39"/>
      <c r="M935" s="39"/>
      <c r="N935" s="39"/>
      <c r="O935" s="39"/>
      <c r="P935" s="39"/>
      <c r="Q935" s="39"/>
    </row>
    <row r="936" ht="22.5" customHeight="1">
      <c r="A936" s="33"/>
      <c r="B936" s="34"/>
      <c r="C936" s="34"/>
      <c r="D936" s="34"/>
      <c r="E936" s="34"/>
      <c r="F936" s="35"/>
      <c r="G936" s="36"/>
      <c r="H936" s="37"/>
      <c r="I936" s="38"/>
      <c r="J936" s="35"/>
      <c r="K936" s="35"/>
      <c r="L936" s="39"/>
      <c r="M936" s="39"/>
      <c r="N936" s="39"/>
      <c r="O936" s="39"/>
      <c r="P936" s="39"/>
      <c r="Q936" s="39"/>
    </row>
    <row r="937" ht="22.5" customHeight="1">
      <c r="A937" s="33"/>
      <c r="B937" s="34"/>
      <c r="C937" s="34"/>
      <c r="D937" s="34"/>
      <c r="E937" s="34"/>
      <c r="F937" s="35"/>
      <c r="G937" s="40"/>
      <c r="H937" s="41"/>
      <c r="I937" s="38"/>
      <c r="J937" s="35"/>
      <c r="K937" s="35"/>
      <c r="L937" s="39"/>
      <c r="M937" s="39"/>
      <c r="N937" s="39"/>
      <c r="O937" s="39"/>
      <c r="P937" s="39"/>
      <c r="Q937" s="39"/>
    </row>
    <row r="938" ht="22.5" customHeight="1">
      <c r="A938" s="33"/>
      <c r="B938" s="34"/>
      <c r="C938" s="34"/>
      <c r="D938" s="34"/>
      <c r="E938" s="34"/>
      <c r="F938" s="35"/>
      <c r="G938" s="36"/>
      <c r="H938" s="37"/>
      <c r="I938" s="38"/>
      <c r="J938" s="35"/>
      <c r="K938" s="35"/>
      <c r="L938" s="39"/>
      <c r="M938" s="39"/>
      <c r="N938" s="39"/>
      <c r="O938" s="39"/>
      <c r="P938" s="39"/>
      <c r="Q938" s="39"/>
    </row>
    <row r="939" ht="22.5" customHeight="1">
      <c r="A939" s="33"/>
      <c r="B939" s="34"/>
      <c r="C939" s="34"/>
      <c r="D939" s="34"/>
      <c r="E939" s="34"/>
      <c r="F939" s="35"/>
      <c r="G939" s="40"/>
      <c r="H939" s="41"/>
      <c r="I939" s="38"/>
      <c r="J939" s="35"/>
      <c r="K939" s="35"/>
      <c r="L939" s="39"/>
      <c r="M939" s="39"/>
      <c r="N939" s="39"/>
      <c r="O939" s="39"/>
      <c r="P939" s="39"/>
      <c r="Q939" s="39"/>
    </row>
    <row r="940" ht="22.5" customHeight="1">
      <c r="A940" s="33"/>
      <c r="B940" s="34"/>
      <c r="C940" s="34"/>
      <c r="D940" s="34"/>
      <c r="E940" s="34"/>
      <c r="F940" s="35"/>
      <c r="G940" s="36"/>
      <c r="H940" s="37"/>
      <c r="I940" s="38"/>
      <c r="J940" s="35"/>
      <c r="K940" s="35"/>
      <c r="L940" s="39"/>
      <c r="M940" s="39"/>
      <c r="N940" s="39"/>
      <c r="O940" s="39"/>
      <c r="P940" s="39"/>
      <c r="Q940" s="39"/>
    </row>
    <row r="941" ht="22.5" customHeight="1">
      <c r="A941" s="33"/>
      <c r="B941" s="34"/>
      <c r="C941" s="34"/>
      <c r="D941" s="34"/>
      <c r="E941" s="34"/>
      <c r="F941" s="35"/>
      <c r="G941" s="40"/>
      <c r="H941" s="41"/>
      <c r="I941" s="38"/>
      <c r="J941" s="35"/>
      <c r="K941" s="35"/>
      <c r="L941" s="39"/>
      <c r="M941" s="39"/>
      <c r="N941" s="39"/>
      <c r="O941" s="39"/>
      <c r="P941" s="39"/>
      <c r="Q941" s="39"/>
    </row>
    <row r="942" ht="22.5" customHeight="1">
      <c r="A942" s="33"/>
      <c r="B942" s="34"/>
      <c r="C942" s="34"/>
      <c r="D942" s="34"/>
      <c r="E942" s="34"/>
      <c r="F942" s="35"/>
      <c r="G942" s="36"/>
      <c r="H942" s="37"/>
      <c r="I942" s="38"/>
      <c r="J942" s="35"/>
      <c r="K942" s="35"/>
      <c r="L942" s="39"/>
      <c r="M942" s="39"/>
      <c r="N942" s="39"/>
      <c r="O942" s="39"/>
      <c r="P942" s="39"/>
      <c r="Q942" s="39"/>
    </row>
    <row r="943" ht="22.5" customHeight="1">
      <c r="A943" s="33"/>
      <c r="B943" s="34"/>
      <c r="C943" s="34"/>
      <c r="D943" s="34"/>
      <c r="E943" s="34"/>
      <c r="F943" s="35"/>
      <c r="G943" s="40"/>
      <c r="H943" s="41"/>
      <c r="I943" s="38"/>
      <c r="J943" s="35"/>
      <c r="K943" s="35"/>
      <c r="L943" s="39"/>
      <c r="M943" s="39"/>
      <c r="N943" s="39"/>
      <c r="O943" s="39"/>
      <c r="P943" s="39"/>
      <c r="Q943" s="39"/>
    </row>
    <row r="944" ht="22.5" customHeight="1">
      <c r="A944" s="33"/>
      <c r="B944" s="34"/>
      <c r="C944" s="34"/>
      <c r="D944" s="34"/>
      <c r="E944" s="34"/>
      <c r="F944" s="35"/>
      <c r="G944" s="36"/>
      <c r="H944" s="37"/>
      <c r="I944" s="38"/>
      <c r="J944" s="35"/>
      <c r="K944" s="35"/>
      <c r="L944" s="39"/>
      <c r="M944" s="39"/>
      <c r="N944" s="39"/>
      <c r="O944" s="39"/>
      <c r="P944" s="39"/>
      <c r="Q944" s="39"/>
    </row>
    <row r="945" ht="22.5" customHeight="1">
      <c r="A945" s="33"/>
      <c r="B945" s="34"/>
      <c r="C945" s="34"/>
      <c r="D945" s="34"/>
      <c r="E945" s="34"/>
      <c r="F945" s="35"/>
      <c r="G945" s="40"/>
      <c r="H945" s="41"/>
      <c r="I945" s="38"/>
      <c r="J945" s="35"/>
      <c r="K945" s="35"/>
      <c r="L945" s="39"/>
      <c r="M945" s="39"/>
      <c r="N945" s="39"/>
      <c r="O945" s="39"/>
      <c r="P945" s="39"/>
      <c r="Q945" s="39"/>
    </row>
    <row r="946" ht="22.5" customHeight="1">
      <c r="A946" s="33"/>
      <c r="B946" s="34"/>
      <c r="C946" s="34"/>
      <c r="D946" s="34"/>
      <c r="E946" s="34"/>
      <c r="F946" s="35"/>
      <c r="G946" s="36"/>
      <c r="H946" s="37"/>
      <c r="I946" s="38"/>
      <c r="J946" s="35"/>
      <c r="K946" s="35"/>
      <c r="L946" s="39"/>
      <c r="M946" s="39"/>
      <c r="N946" s="39"/>
      <c r="O946" s="39"/>
      <c r="P946" s="39"/>
      <c r="Q946" s="39"/>
    </row>
    <row r="947" ht="22.5" customHeight="1">
      <c r="A947" s="33"/>
      <c r="B947" s="34"/>
      <c r="C947" s="34"/>
      <c r="D947" s="34"/>
      <c r="E947" s="34"/>
      <c r="F947" s="35"/>
      <c r="G947" s="40"/>
      <c r="H947" s="41"/>
      <c r="I947" s="38"/>
      <c r="J947" s="35"/>
      <c r="K947" s="35"/>
      <c r="L947" s="39"/>
      <c r="M947" s="39"/>
      <c r="N947" s="39"/>
      <c r="O947" s="39"/>
      <c r="P947" s="39"/>
      <c r="Q947" s="39"/>
    </row>
    <row r="948" ht="22.5" customHeight="1">
      <c r="A948" s="33"/>
      <c r="B948" s="34"/>
      <c r="C948" s="34"/>
      <c r="D948" s="34"/>
      <c r="E948" s="34"/>
      <c r="F948" s="35"/>
      <c r="G948" s="36"/>
      <c r="H948" s="37"/>
      <c r="I948" s="38"/>
      <c r="J948" s="35"/>
      <c r="K948" s="35"/>
      <c r="L948" s="39"/>
      <c r="M948" s="39"/>
      <c r="N948" s="39"/>
      <c r="O948" s="39"/>
      <c r="P948" s="39"/>
      <c r="Q948" s="39"/>
    </row>
    <row r="949" ht="22.5" customHeight="1">
      <c r="A949" s="33"/>
      <c r="B949" s="34"/>
      <c r="C949" s="34"/>
      <c r="D949" s="34"/>
      <c r="E949" s="34"/>
      <c r="F949" s="35"/>
      <c r="G949" s="40"/>
      <c r="H949" s="41"/>
      <c r="I949" s="38"/>
      <c r="J949" s="35"/>
      <c r="K949" s="35"/>
      <c r="L949" s="39"/>
      <c r="M949" s="39"/>
      <c r="N949" s="39"/>
      <c r="O949" s="39"/>
      <c r="P949" s="39"/>
      <c r="Q949" s="39"/>
    </row>
    <row r="950" ht="22.5" customHeight="1">
      <c r="A950" s="33"/>
      <c r="B950" s="34"/>
      <c r="C950" s="34"/>
      <c r="D950" s="34"/>
      <c r="E950" s="34"/>
      <c r="F950" s="35"/>
      <c r="G950" s="36"/>
      <c r="H950" s="37"/>
      <c r="I950" s="38"/>
      <c r="J950" s="35"/>
      <c r="K950" s="35"/>
      <c r="L950" s="39"/>
      <c r="M950" s="39"/>
      <c r="N950" s="39"/>
      <c r="O950" s="39"/>
      <c r="P950" s="39"/>
      <c r="Q950" s="39"/>
    </row>
    <row r="951" ht="22.5" customHeight="1">
      <c r="A951" s="33"/>
      <c r="B951" s="34"/>
      <c r="C951" s="34"/>
      <c r="D951" s="34"/>
      <c r="E951" s="34"/>
      <c r="F951" s="35"/>
      <c r="G951" s="40"/>
      <c r="H951" s="41"/>
      <c r="I951" s="38"/>
      <c r="J951" s="35"/>
      <c r="K951" s="35"/>
      <c r="L951" s="39"/>
      <c r="M951" s="39"/>
      <c r="N951" s="39"/>
      <c r="O951" s="39"/>
      <c r="P951" s="39"/>
      <c r="Q951" s="39"/>
    </row>
    <row r="952" ht="22.5" customHeight="1">
      <c r="A952" s="33"/>
      <c r="B952" s="34"/>
      <c r="C952" s="34"/>
      <c r="D952" s="34"/>
      <c r="E952" s="34"/>
      <c r="F952" s="35"/>
      <c r="G952" s="36"/>
      <c r="H952" s="37"/>
      <c r="I952" s="38"/>
      <c r="J952" s="35"/>
      <c r="K952" s="35"/>
      <c r="L952" s="39"/>
      <c r="M952" s="39"/>
      <c r="N952" s="39"/>
      <c r="O952" s="39"/>
      <c r="P952" s="39"/>
      <c r="Q952" s="39"/>
    </row>
    <row r="953" ht="22.5" customHeight="1">
      <c r="A953" s="33"/>
      <c r="B953" s="34"/>
      <c r="C953" s="34"/>
      <c r="D953" s="34"/>
      <c r="E953" s="34"/>
      <c r="F953" s="35"/>
      <c r="G953" s="40"/>
      <c r="H953" s="41"/>
      <c r="I953" s="38"/>
      <c r="J953" s="35"/>
      <c r="K953" s="35"/>
      <c r="L953" s="39"/>
      <c r="M953" s="39"/>
      <c r="N953" s="39"/>
      <c r="O953" s="39"/>
      <c r="P953" s="39"/>
      <c r="Q953" s="39"/>
    </row>
    <row r="954" ht="22.5" customHeight="1">
      <c r="A954" s="33"/>
      <c r="B954" s="34"/>
      <c r="C954" s="34"/>
      <c r="D954" s="34"/>
      <c r="E954" s="34"/>
      <c r="F954" s="35"/>
      <c r="G954" s="36"/>
      <c r="H954" s="37"/>
      <c r="I954" s="38"/>
      <c r="J954" s="35"/>
      <c r="K954" s="35"/>
      <c r="L954" s="39"/>
      <c r="M954" s="39"/>
      <c r="N954" s="39"/>
      <c r="O954" s="39"/>
      <c r="P954" s="39"/>
      <c r="Q954" s="39"/>
    </row>
    <row r="955" ht="22.5" customHeight="1">
      <c r="A955" s="33"/>
      <c r="B955" s="34"/>
      <c r="C955" s="34"/>
      <c r="D955" s="34"/>
      <c r="E955" s="34"/>
      <c r="F955" s="35"/>
      <c r="G955" s="40"/>
      <c r="H955" s="41"/>
      <c r="I955" s="38"/>
      <c r="J955" s="35"/>
      <c r="K955" s="35"/>
      <c r="L955" s="39"/>
      <c r="M955" s="39"/>
      <c r="N955" s="39"/>
      <c r="O955" s="39"/>
      <c r="P955" s="39"/>
      <c r="Q955" s="39"/>
    </row>
    <row r="956" ht="22.5" customHeight="1">
      <c r="A956" s="33"/>
      <c r="B956" s="34"/>
      <c r="C956" s="34"/>
      <c r="D956" s="34"/>
      <c r="E956" s="34"/>
      <c r="F956" s="35"/>
      <c r="G956" s="36"/>
      <c r="H956" s="37"/>
      <c r="I956" s="38"/>
      <c r="J956" s="35"/>
      <c r="K956" s="35"/>
      <c r="L956" s="39"/>
      <c r="M956" s="39"/>
      <c r="N956" s="39"/>
      <c r="O956" s="39"/>
      <c r="P956" s="39"/>
      <c r="Q956" s="39"/>
    </row>
    <row r="957" ht="22.5" customHeight="1">
      <c r="A957" s="33"/>
      <c r="B957" s="34"/>
      <c r="C957" s="34"/>
      <c r="D957" s="34"/>
      <c r="E957" s="34"/>
      <c r="F957" s="35"/>
      <c r="G957" s="40"/>
      <c r="H957" s="41"/>
      <c r="I957" s="38"/>
      <c r="J957" s="35"/>
      <c r="K957" s="35"/>
      <c r="L957" s="39"/>
      <c r="M957" s="39"/>
      <c r="N957" s="39"/>
      <c r="O957" s="39"/>
      <c r="P957" s="39"/>
      <c r="Q957" s="39"/>
    </row>
    <row r="958" ht="22.5" customHeight="1">
      <c r="A958" s="33"/>
      <c r="B958" s="34"/>
      <c r="C958" s="34"/>
      <c r="D958" s="34"/>
      <c r="E958" s="34"/>
      <c r="F958" s="35"/>
      <c r="G958" s="36"/>
      <c r="H958" s="37"/>
      <c r="I958" s="38"/>
      <c r="J958" s="35"/>
      <c r="K958" s="35"/>
      <c r="L958" s="39"/>
      <c r="M958" s="39"/>
      <c r="N958" s="39"/>
      <c r="O958" s="39"/>
      <c r="P958" s="39"/>
      <c r="Q958" s="39"/>
    </row>
    <row r="959" ht="22.5" customHeight="1">
      <c r="A959" s="33"/>
      <c r="B959" s="34"/>
      <c r="C959" s="34"/>
      <c r="D959" s="34"/>
      <c r="E959" s="34"/>
      <c r="F959" s="35"/>
      <c r="G959" s="40"/>
      <c r="H959" s="41"/>
      <c r="I959" s="38"/>
      <c r="J959" s="35"/>
      <c r="K959" s="35"/>
      <c r="L959" s="39"/>
      <c r="M959" s="39"/>
      <c r="N959" s="39"/>
      <c r="O959" s="39"/>
      <c r="P959" s="39"/>
      <c r="Q959" s="39"/>
    </row>
    <row r="960" ht="22.5" customHeight="1">
      <c r="A960" s="33"/>
      <c r="B960" s="34"/>
      <c r="C960" s="34"/>
      <c r="D960" s="34"/>
      <c r="E960" s="34"/>
      <c r="F960" s="35"/>
      <c r="G960" s="36"/>
      <c r="H960" s="37"/>
      <c r="I960" s="38"/>
      <c r="J960" s="35"/>
      <c r="K960" s="35"/>
      <c r="L960" s="39"/>
      <c r="M960" s="39"/>
      <c r="N960" s="39"/>
      <c r="O960" s="39"/>
      <c r="P960" s="39"/>
      <c r="Q960" s="39"/>
    </row>
    <row r="961" ht="22.5" customHeight="1">
      <c r="A961" s="33"/>
      <c r="B961" s="34"/>
      <c r="C961" s="34"/>
      <c r="D961" s="34"/>
      <c r="E961" s="34"/>
      <c r="F961" s="35"/>
      <c r="G961" s="40"/>
      <c r="H961" s="41"/>
      <c r="I961" s="38"/>
      <c r="J961" s="35"/>
      <c r="K961" s="35"/>
      <c r="L961" s="39"/>
      <c r="M961" s="39"/>
      <c r="N961" s="39"/>
      <c r="O961" s="39"/>
      <c r="P961" s="39"/>
      <c r="Q961" s="39"/>
    </row>
    <row r="962" ht="22.5" customHeight="1">
      <c r="A962" s="33"/>
      <c r="B962" s="34"/>
      <c r="C962" s="34"/>
      <c r="D962" s="34"/>
      <c r="E962" s="34"/>
      <c r="F962" s="35"/>
      <c r="G962" s="36"/>
      <c r="H962" s="37"/>
      <c r="I962" s="38"/>
      <c r="J962" s="35"/>
      <c r="K962" s="35"/>
      <c r="L962" s="39"/>
      <c r="M962" s="39"/>
      <c r="N962" s="39"/>
      <c r="O962" s="39"/>
      <c r="P962" s="39"/>
      <c r="Q962" s="39"/>
    </row>
    <row r="963" ht="22.5" customHeight="1">
      <c r="A963" s="33"/>
      <c r="B963" s="34"/>
      <c r="C963" s="34"/>
      <c r="D963" s="34"/>
      <c r="E963" s="34"/>
      <c r="F963" s="35"/>
      <c r="G963" s="40"/>
      <c r="H963" s="41"/>
      <c r="I963" s="38"/>
      <c r="J963" s="35"/>
      <c r="K963" s="35"/>
      <c r="L963" s="39"/>
      <c r="M963" s="39"/>
      <c r="N963" s="39"/>
      <c r="O963" s="39"/>
      <c r="P963" s="39"/>
      <c r="Q963" s="39"/>
    </row>
    <row r="964" ht="22.5" customHeight="1">
      <c r="A964" s="33"/>
      <c r="B964" s="34"/>
      <c r="C964" s="34"/>
      <c r="D964" s="34"/>
      <c r="E964" s="34"/>
      <c r="F964" s="35"/>
      <c r="G964" s="36"/>
      <c r="H964" s="37"/>
      <c r="I964" s="38"/>
      <c r="J964" s="35"/>
      <c r="K964" s="35"/>
      <c r="L964" s="39"/>
      <c r="M964" s="39"/>
      <c r="N964" s="39"/>
      <c r="O964" s="39"/>
      <c r="P964" s="39"/>
      <c r="Q964" s="39"/>
    </row>
    <row r="965" ht="22.5" customHeight="1">
      <c r="A965" s="33"/>
      <c r="B965" s="34"/>
      <c r="C965" s="34"/>
      <c r="D965" s="34"/>
      <c r="E965" s="34"/>
      <c r="F965" s="35"/>
      <c r="G965" s="40"/>
      <c r="H965" s="41"/>
      <c r="I965" s="38"/>
      <c r="J965" s="35"/>
      <c r="K965" s="35"/>
      <c r="L965" s="39"/>
      <c r="M965" s="39"/>
      <c r="N965" s="39"/>
      <c r="O965" s="39"/>
      <c r="P965" s="39"/>
      <c r="Q965" s="39"/>
    </row>
    <row r="966" ht="22.5" customHeight="1">
      <c r="A966" s="33"/>
      <c r="B966" s="34"/>
      <c r="C966" s="34"/>
      <c r="D966" s="34"/>
      <c r="E966" s="34"/>
      <c r="F966" s="35"/>
      <c r="G966" s="36"/>
      <c r="H966" s="37"/>
      <c r="I966" s="38"/>
      <c r="J966" s="35"/>
      <c r="K966" s="35"/>
      <c r="L966" s="39"/>
      <c r="M966" s="39"/>
      <c r="N966" s="39"/>
      <c r="O966" s="39"/>
      <c r="P966" s="39"/>
      <c r="Q966" s="39"/>
    </row>
    <row r="967" ht="22.5" customHeight="1">
      <c r="A967" s="33"/>
      <c r="B967" s="34"/>
      <c r="C967" s="34"/>
      <c r="D967" s="34"/>
      <c r="E967" s="34"/>
      <c r="F967" s="35"/>
      <c r="G967" s="40"/>
      <c r="H967" s="41"/>
      <c r="I967" s="38"/>
      <c r="J967" s="35"/>
      <c r="K967" s="35"/>
      <c r="L967" s="39"/>
      <c r="M967" s="39"/>
      <c r="N967" s="39"/>
      <c r="O967" s="39"/>
      <c r="P967" s="39"/>
      <c r="Q967" s="39"/>
    </row>
    <row r="968" ht="22.5" customHeight="1">
      <c r="A968" s="33"/>
      <c r="B968" s="34"/>
      <c r="C968" s="34"/>
      <c r="D968" s="34"/>
      <c r="E968" s="34"/>
      <c r="F968" s="35"/>
      <c r="G968" s="36"/>
      <c r="H968" s="37"/>
      <c r="I968" s="38"/>
      <c r="J968" s="35"/>
      <c r="K968" s="35"/>
      <c r="L968" s="39"/>
      <c r="M968" s="39"/>
      <c r="N968" s="39"/>
      <c r="O968" s="39"/>
      <c r="P968" s="39"/>
      <c r="Q968" s="39"/>
    </row>
    <row r="969" ht="22.5" customHeight="1">
      <c r="A969" s="33"/>
      <c r="B969" s="34"/>
      <c r="C969" s="34"/>
      <c r="D969" s="34"/>
      <c r="E969" s="34"/>
      <c r="F969" s="35"/>
      <c r="G969" s="40"/>
      <c r="H969" s="41"/>
      <c r="I969" s="38"/>
      <c r="J969" s="35"/>
      <c r="K969" s="35"/>
      <c r="L969" s="39"/>
      <c r="M969" s="39"/>
      <c r="N969" s="39"/>
      <c r="O969" s="39"/>
      <c r="P969" s="39"/>
      <c r="Q969" s="39"/>
    </row>
    <row r="970" ht="22.5" customHeight="1">
      <c r="A970" s="33"/>
      <c r="B970" s="34"/>
      <c r="C970" s="34"/>
      <c r="D970" s="34"/>
      <c r="E970" s="34"/>
      <c r="F970" s="35"/>
      <c r="G970" s="36"/>
      <c r="H970" s="37"/>
      <c r="I970" s="38"/>
      <c r="J970" s="35"/>
      <c r="K970" s="35"/>
      <c r="L970" s="39"/>
      <c r="M970" s="39"/>
      <c r="N970" s="39"/>
      <c r="O970" s="39"/>
      <c r="P970" s="39"/>
      <c r="Q970" s="39"/>
    </row>
    <row r="971" ht="22.5" customHeight="1">
      <c r="A971" s="33"/>
      <c r="B971" s="34"/>
      <c r="C971" s="34"/>
      <c r="D971" s="34"/>
      <c r="E971" s="34"/>
      <c r="F971" s="35"/>
      <c r="G971" s="40"/>
      <c r="H971" s="41"/>
      <c r="I971" s="38"/>
      <c r="J971" s="35"/>
      <c r="K971" s="35"/>
      <c r="L971" s="39"/>
      <c r="M971" s="39"/>
      <c r="N971" s="39"/>
      <c r="O971" s="39"/>
      <c r="P971" s="39"/>
      <c r="Q971" s="39"/>
    </row>
    <row r="972" ht="22.5" customHeight="1">
      <c r="A972" s="33"/>
      <c r="B972" s="34"/>
      <c r="C972" s="34"/>
      <c r="D972" s="34"/>
      <c r="E972" s="34"/>
      <c r="F972" s="35"/>
      <c r="G972" s="36"/>
      <c r="H972" s="37"/>
      <c r="I972" s="38"/>
      <c r="J972" s="35"/>
      <c r="K972" s="35"/>
      <c r="L972" s="39"/>
      <c r="M972" s="39"/>
      <c r="N972" s="39"/>
      <c r="O972" s="39"/>
      <c r="P972" s="39"/>
      <c r="Q972" s="39"/>
    </row>
    <row r="973" ht="22.5" customHeight="1">
      <c r="A973" s="33"/>
      <c r="B973" s="34"/>
      <c r="C973" s="34"/>
      <c r="D973" s="34"/>
      <c r="E973" s="34"/>
      <c r="F973" s="35"/>
      <c r="G973" s="40"/>
      <c r="H973" s="41"/>
      <c r="I973" s="38"/>
      <c r="J973" s="35"/>
      <c r="K973" s="35"/>
      <c r="L973" s="39"/>
      <c r="M973" s="39"/>
      <c r="N973" s="39"/>
      <c r="O973" s="39"/>
      <c r="P973" s="39"/>
      <c r="Q973" s="39"/>
    </row>
    <row r="974" ht="22.5" customHeight="1">
      <c r="A974" s="33"/>
      <c r="B974" s="34"/>
      <c r="C974" s="34"/>
      <c r="D974" s="34"/>
      <c r="E974" s="34"/>
      <c r="F974" s="35"/>
      <c r="G974" s="36"/>
      <c r="H974" s="37"/>
      <c r="I974" s="38"/>
      <c r="J974" s="35"/>
      <c r="K974" s="35"/>
      <c r="L974" s="39"/>
      <c r="M974" s="39"/>
      <c r="N974" s="39"/>
      <c r="O974" s="39"/>
      <c r="P974" s="39"/>
      <c r="Q974" s="39"/>
    </row>
    <row r="975" ht="22.5" customHeight="1">
      <c r="A975" s="33"/>
      <c r="B975" s="34"/>
      <c r="C975" s="34"/>
      <c r="D975" s="34"/>
      <c r="E975" s="34"/>
      <c r="F975" s="35"/>
      <c r="G975" s="40"/>
      <c r="H975" s="41"/>
      <c r="I975" s="38"/>
      <c r="J975" s="35"/>
      <c r="K975" s="35"/>
      <c r="L975" s="39"/>
      <c r="M975" s="39"/>
      <c r="N975" s="39"/>
      <c r="O975" s="39"/>
      <c r="P975" s="39"/>
      <c r="Q975" s="39"/>
    </row>
    <row r="976" ht="22.5" customHeight="1">
      <c r="A976" s="33"/>
      <c r="B976" s="34"/>
      <c r="C976" s="34"/>
      <c r="D976" s="34"/>
      <c r="E976" s="34"/>
      <c r="F976" s="35"/>
      <c r="G976" s="36"/>
      <c r="H976" s="37"/>
      <c r="I976" s="38"/>
      <c r="J976" s="35"/>
      <c r="K976" s="35"/>
      <c r="L976" s="39"/>
      <c r="M976" s="39"/>
      <c r="N976" s="39"/>
      <c r="O976" s="39"/>
      <c r="P976" s="39"/>
      <c r="Q976" s="39"/>
    </row>
    <row r="977" ht="22.5" customHeight="1">
      <c r="A977" s="33"/>
      <c r="B977" s="34"/>
      <c r="C977" s="34"/>
      <c r="D977" s="34"/>
      <c r="E977" s="34"/>
      <c r="F977" s="35"/>
      <c r="G977" s="40"/>
      <c r="H977" s="41"/>
      <c r="I977" s="38"/>
      <c r="J977" s="35"/>
      <c r="K977" s="35"/>
      <c r="L977" s="39"/>
      <c r="M977" s="39"/>
      <c r="N977" s="39"/>
      <c r="O977" s="39"/>
      <c r="P977" s="39"/>
      <c r="Q977" s="39"/>
    </row>
    <row r="978" ht="22.5" customHeight="1">
      <c r="A978" s="33"/>
      <c r="B978" s="34"/>
      <c r="C978" s="34"/>
      <c r="D978" s="34"/>
      <c r="E978" s="34"/>
      <c r="F978" s="35"/>
      <c r="G978" s="36"/>
      <c r="H978" s="37"/>
      <c r="I978" s="38"/>
      <c r="J978" s="35"/>
      <c r="K978" s="35"/>
      <c r="L978" s="39"/>
      <c r="M978" s="39"/>
      <c r="N978" s="39"/>
      <c r="O978" s="39"/>
      <c r="P978" s="39"/>
      <c r="Q978" s="39"/>
    </row>
    <row r="979" ht="22.5" customHeight="1">
      <c r="A979" s="33"/>
      <c r="B979" s="34"/>
      <c r="C979" s="34"/>
      <c r="D979" s="34"/>
      <c r="E979" s="34"/>
      <c r="F979" s="35"/>
      <c r="G979" s="40"/>
      <c r="H979" s="41"/>
      <c r="I979" s="38"/>
      <c r="J979" s="35"/>
      <c r="K979" s="35"/>
      <c r="L979" s="39"/>
      <c r="M979" s="39"/>
      <c r="N979" s="39"/>
      <c r="O979" s="39"/>
      <c r="P979" s="39"/>
      <c r="Q979" s="39"/>
    </row>
    <row r="980" ht="22.5" customHeight="1">
      <c r="A980" s="33"/>
      <c r="B980" s="34"/>
      <c r="C980" s="34"/>
      <c r="D980" s="34"/>
      <c r="E980" s="34"/>
      <c r="F980" s="35"/>
      <c r="G980" s="36"/>
      <c r="H980" s="37"/>
      <c r="I980" s="38"/>
      <c r="J980" s="35"/>
      <c r="K980" s="35"/>
      <c r="L980" s="39"/>
      <c r="M980" s="39"/>
      <c r="N980" s="39"/>
      <c r="O980" s="39"/>
      <c r="P980" s="39"/>
      <c r="Q980" s="39"/>
    </row>
    <row r="981" ht="22.5" customHeight="1">
      <c r="A981" s="33"/>
      <c r="B981" s="34"/>
      <c r="C981" s="34"/>
      <c r="D981" s="34"/>
      <c r="E981" s="34"/>
      <c r="F981" s="35"/>
      <c r="G981" s="40"/>
      <c r="H981" s="41"/>
      <c r="I981" s="38"/>
      <c r="J981" s="35"/>
      <c r="K981" s="35"/>
      <c r="L981" s="39"/>
      <c r="M981" s="39"/>
      <c r="N981" s="39"/>
      <c r="O981" s="39"/>
      <c r="P981" s="39"/>
      <c r="Q981" s="39"/>
    </row>
    <row r="982" ht="22.5" customHeight="1">
      <c r="A982" s="33"/>
      <c r="B982" s="34"/>
      <c r="C982" s="34"/>
      <c r="D982" s="34"/>
      <c r="E982" s="34"/>
      <c r="F982" s="35"/>
      <c r="G982" s="36"/>
      <c r="H982" s="37"/>
      <c r="I982" s="38"/>
      <c r="J982" s="35"/>
      <c r="K982" s="35"/>
      <c r="L982" s="39"/>
      <c r="M982" s="39"/>
      <c r="N982" s="39"/>
      <c r="O982" s="39"/>
      <c r="P982" s="39"/>
      <c r="Q982" s="39"/>
    </row>
    <row r="983" ht="22.5" customHeight="1">
      <c r="A983" s="33"/>
      <c r="B983" s="34"/>
      <c r="C983" s="34"/>
      <c r="D983" s="34"/>
      <c r="E983" s="34"/>
      <c r="F983" s="35"/>
      <c r="G983" s="40"/>
      <c r="H983" s="41"/>
      <c r="I983" s="38"/>
      <c r="J983" s="35"/>
      <c r="K983" s="35"/>
      <c r="L983" s="39"/>
      <c r="M983" s="39"/>
      <c r="N983" s="39"/>
      <c r="O983" s="39"/>
      <c r="P983" s="39"/>
      <c r="Q983" s="39"/>
    </row>
    <row r="984" ht="22.5" customHeight="1">
      <c r="A984" s="33"/>
      <c r="B984" s="34"/>
      <c r="C984" s="34"/>
      <c r="D984" s="34"/>
      <c r="E984" s="34"/>
      <c r="F984" s="35"/>
      <c r="G984" s="36"/>
      <c r="H984" s="37"/>
      <c r="I984" s="38"/>
      <c r="J984" s="35"/>
      <c r="K984" s="35"/>
      <c r="L984" s="39"/>
      <c r="M984" s="39"/>
      <c r="N984" s="39"/>
      <c r="O984" s="39"/>
      <c r="P984" s="39"/>
      <c r="Q984" s="39"/>
    </row>
    <row r="985" ht="22.5" customHeight="1">
      <c r="A985" s="33"/>
      <c r="B985" s="34"/>
      <c r="C985" s="34"/>
      <c r="D985" s="34"/>
      <c r="E985" s="34"/>
      <c r="F985" s="35"/>
      <c r="G985" s="40"/>
      <c r="H985" s="41"/>
      <c r="I985" s="38"/>
      <c r="J985" s="35"/>
      <c r="K985" s="35"/>
      <c r="L985" s="39"/>
      <c r="M985" s="39"/>
      <c r="N985" s="39"/>
      <c r="O985" s="39"/>
      <c r="P985" s="39"/>
      <c r="Q985" s="39"/>
    </row>
    <row r="986" ht="22.5" customHeight="1">
      <c r="A986" s="33"/>
      <c r="B986" s="34"/>
      <c r="C986" s="34"/>
      <c r="D986" s="34"/>
      <c r="E986" s="34"/>
      <c r="F986" s="35"/>
      <c r="G986" s="36"/>
      <c r="H986" s="37"/>
      <c r="I986" s="38"/>
      <c r="J986" s="35"/>
      <c r="K986" s="35"/>
      <c r="L986" s="39"/>
      <c r="M986" s="39"/>
      <c r="N986" s="39"/>
      <c r="O986" s="39"/>
      <c r="P986" s="39"/>
      <c r="Q986" s="39"/>
    </row>
    <row r="987" ht="22.5" customHeight="1">
      <c r="A987" s="33"/>
      <c r="B987" s="34"/>
      <c r="C987" s="34"/>
      <c r="D987" s="34"/>
      <c r="E987" s="34"/>
      <c r="F987" s="35"/>
      <c r="G987" s="40"/>
      <c r="H987" s="41"/>
      <c r="I987" s="38"/>
      <c r="J987" s="35"/>
      <c r="K987" s="35"/>
      <c r="L987" s="39"/>
      <c r="M987" s="39"/>
      <c r="N987" s="39"/>
      <c r="O987" s="39"/>
      <c r="P987" s="39"/>
      <c r="Q987" s="39"/>
    </row>
    <row r="988" ht="22.5" customHeight="1">
      <c r="A988" s="33"/>
      <c r="B988" s="34"/>
      <c r="C988" s="34"/>
      <c r="D988" s="34"/>
      <c r="E988" s="34"/>
      <c r="F988" s="35"/>
      <c r="G988" s="36"/>
      <c r="H988" s="37"/>
      <c r="I988" s="38"/>
      <c r="J988" s="35"/>
      <c r="K988" s="35"/>
      <c r="L988" s="39"/>
      <c r="M988" s="39"/>
      <c r="N988" s="39"/>
      <c r="O988" s="39"/>
      <c r="P988" s="39"/>
      <c r="Q988" s="39"/>
    </row>
    <row r="989" ht="22.5" customHeight="1">
      <c r="A989" s="33"/>
      <c r="B989" s="34"/>
      <c r="C989" s="34"/>
      <c r="D989" s="34"/>
      <c r="E989" s="34"/>
      <c r="F989" s="35"/>
      <c r="G989" s="40"/>
      <c r="H989" s="41"/>
      <c r="I989" s="38"/>
      <c r="J989" s="35"/>
      <c r="K989" s="35"/>
      <c r="L989" s="39"/>
      <c r="M989" s="39"/>
      <c r="N989" s="39"/>
      <c r="O989" s="39"/>
      <c r="P989" s="39"/>
      <c r="Q989" s="39"/>
    </row>
    <row r="990" ht="22.5" customHeight="1">
      <c r="A990" s="33"/>
      <c r="B990" s="34"/>
      <c r="C990" s="34"/>
      <c r="D990" s="34"/>
      <c r="E990" s="34"/>
      <c r="F990" s="35"/>
      <c r="G990" s="36"/>
      <c r="H990" s="37"/>
      <c r="I990" s="38"/>
      <c r="J990" s="35"/>
      <c r="K990" s="35"/>
      <c r="L990" s="39"/>
      <c r="M990" s="39"/>
      <c r="N990" s="39"/>
      <c r="O990" s="39"/>
      <c r="P990" s="39"/>
      <c r="Q990" s="39"/>
    </row>
    <row r="991" ht="22.5" customHeight="1">
      <c r="A991" s="33"/>
      <c r="B991" s="34"/>
      <c r="C991" s="34"/>
      <c r="D991" s="34"/>
      <c r="E991" s="34"/>
      <c r="F991" s="35"/>
      <c r="G991" s="40"/>
      <c r="H991" s="41"/>
      <c r="I991" s="38"/>
      <c r="J991" s="35"/>
      <c r="K991" s="35"/>
      <c r="L991" s="39"/>
      <c r="M991" s="39"/>
      <c r="N991" s="39"/>
      <c r="O991" s="39"/>
      <c r="P991" s="39"/>
      <c r="Q991" s="39"/>
    </row>
    <row r="992" ht="22.5" customHeight="1">
      <c r="A992" s="33"/>
      <c r="B992" s="34"/>
      <c r="C992" s="34"/>
      <c r="D992" s="34"/>
      <c r="E992" s="34"/>
      <c r="F992" s="35"/>
      <c r="G992" s="36"/>
      <c r="H992" s="37"/>
      <c r="I992" s="38"/>
      <c r="J992" s="35"/>
      <c r="K992" s="35"/>
      <c r="L992" s="39"/>
      <c r="M992" s="39"/>
      <c r="N992" s="39"/>
      <c r="O992" s="39"/>
      <c r="P992" s="39"/>
      <c r="Q992" s="39"/>
    </row>
    <row r="993" ht="22.5" customHeight="1">
      <c r="A993" s="33"/>
      <c r="B993" s="34"/>
      <c r="C993" s="34"/>
      <c r="D993" s="34"/>
      <c r="E993" s="34"/>
      <c r="F993" s="35"/>
      <c r="G993" s="40"/>
      <c r="H993" s="41"/>
      <c r="I993" s="38"/>
      <c r="J993" s="35"/>
      <c r="K993" s="35"/>
      <c r="L993" s="39"/>
      <c r="M993" s="39"/>
      <c r="N993" s="39"/>
      <c r="O993" s="39"/>
      <c r="P993" s="39"/>
      <c r="Q993" s="39"/>
    </row>
    <row r="994" ht="22.5" customHeight="1">
      <c r="A994" s="33"/>
      <c r="B994" s="34"/>
      <c r="C994" s="34"/>
      <c r="D994" s="34"/>
      <c r="E994" s="34"/>
      <c r="F994" s="35"/>
      <c r="G994" s="36"/>
      <c r="H994" s="37"/>
      <c r="I994" s="38"/>
      <c r="J994" s="35"/>
      <c r="K994" s="35"/>
      <c r="L994" s="39"/>
      <c r="M994" s="39"/>
      <c r="N994" s="39"/>
      <c r="O994" s="39"/>
      <c r="P994" s="39"/>
      <c r="Q994" s="39"/>
    </row>
    <row r="995" ht="22.5" customHeight="1">
      <c r="A995" s="33"/>
      <c r="B995" s="34"/>
      <c r="C995" s="34"/>
      <c r="D995" s="34"/>
      <c r="E995" s="34"/>
      <c r="F995" s="35"/>
      <c r="G995" s="40"/>
      <c r="H995" s="41"/>
      <c r="I995" s="38"/>
      <c r="J995" s="35"/>
      <c r="K995" s="35"/>
      <c r="L995" s="39"/>
      <c r="M995" s="39"/>
      <c r="N995" s="39"/>
      <c r="O995" s="39"/>
      <c r="P995" s="39"/>
      <c r="Q995" s="39"/>
    </row>
    <row r="996" ht="22.5" customHeight="1">
      <c r="A996" s="33"/>
      <c r="B996" s="34"/>
      <c r="C996" s="34"/>
      <c r="D996" s="34"/>
      <c r="E996" s="34"/>
      <c r="F996" s="35"/>
      <c r="G996" s="36"/>
      <c r="H996" s="37"/>
      <c r="I996" s="38"/>
      <c r="J996" s="35"/>
      <c r="K996" s="35"/>
      <c r="L996" s="39"/>
      <c r="M996" s="39"/>
      <c r="N996" s="39"/>
      <c r="O996" s="39"/>
      <c r="P996" s="39"/>
      <c r="Q996" s="39"/>
    </row>
    <row r="997" ht="22.5" customHeight="1">
      <c r="A997" s="33"/>
      <c r="B997" s="34"/>
      <c r="C997" s="34"/>
      <c r="D997" s="34"/>
      <c r="E997" s="34"/>
      <c r="F997" s="35"/>
      <c r="G997" s="40"/>
      <c r="H997" s="41"/>
      <c r="I997" s="38"/>
      <c r="J997" s="35"/>
      <c r="K997" s="35"/>
      <c r="L997" s="39"/>
      <c r="M997" s="39"/>
      <c r="N997" s="39"/>
      <c r="O997" s="39"/>
      <c r="P997" s="39"/>
      <c r="Q997" s="39"/>
    </row>
    <row r="998" ht="22.5" customHeight="1">
      <c r="A998" s="33"/>
      <c r="B998" s="34"/>
      <c r="C998" s="34"/>
      <c r="D998" s="34"/>
      <c r="E998" s="34"/>
      <c r="F998" s="35"/>
      <c r="G998" s="36"/>
      <c r="H998" s="37"/>
      <c r="I998" s="38"/>
      <c r="J998" s="35"/>
      <c r="K998" s="35"/>
      <c r="L998" s="39"/>
      <c r="M998" s="39"/>
      <c r="N998" s="39"/>
      <c r="O998" s="39"/>
      <c r="P998" s="39"/>
      <c r="Q998" s="39"/>
    </row>
    <row r="999" ht="22.5" customHeight="1">
      <c r="A999" s="33"/>
      <c r="B999" s="34"/>
      <c r="C999" s="34"/>
      <c r="D999" s="34"/>
      <c r="E999" s="34"/>
      <c r="F999" s="35"/>
      <c r="G999" s="40"/>
      <c r="H999" s="41"/>
      <c r="I999" s="38"/>
      <c r="J999" s="35"/>
      <c r="K999" s="35"/>
      <c r="L999" s="39"/>
      <c r="M999" s="39"/>
      <c r="N999" s="39"/>
      <c r="O999" s="39"/>
      <c r="P999" s="39"/>
      <c r="Q999" s="39"/>
    </row>
    <row r="1000" ht="22.5" customHeight="1">
      <c r="A1000" s="33"/>
      <c r="B1000" s="34"/>
      <c r="C1000" s="34"/>
      <c r="D1000" s="34"/>
      <c r="E1000" s="34"/>
      <c r="F1000" s="35"/>
      <c r="G1000" s="42"/>
      <c r="H1000" s="43"/>
      <c r="I1000" s="38"/>
      <c r="J1000" s="35"/>
      <c r="K1000" s="35"/>
      <c r="L1000" s="39"/>
      <c r="M1000" s="39"/>
      <c r="N1000" s="39"/>
      <c r="O1000" s="39"/>
      <c r="P1000" s="39"/>
      <c r="Q1000" s="39"/>
    </row>
  </sheetData>
  <dataValidations>
    <dataValidation type="list" allowBlank="1" sqref="H2:H1000">
      <formula1>"Ground Truth,Tagging,Video Annotations,Data Collection,Preset,Segmentation,BBOX,Keypoints,Data Cleaning,Others"</formula1>
    </dataValidation>
    <dataValidation type="custom" allowBlank="1" showDropDown="1" showErrorMessage="1" sqref="A2:A1000">
      <formula1>OR(NOT(ISERROR(DATEVALUE(A2))), AND(ISNUMBER(A2), LEFT(CELL("format", A2))="D"))</formula1>
    </dataValidation>
    <dataValidation type="list" allowBlank="1" sqref="E2:E1000 I2:I1000">
      <formula1>"Done,In Progress,Leave"</formula1>
    </dataValidation>
    <dataValidation type="list" allowBlank="1" sqref="B2:B1000">
      <formula1>"Deekshith,Chandrashekar,Nagaharinadh,Suman Kanoj,Sagar Hiremat,Saraswathi,Prerana,Mouli Prakash,Manovya,Pranav,Raghavan,Rohit,Abusaad"</formula1>
    </dataValidation>
    <dataValidation type="list" allowBlank="1" sqref="D2:D1000">
      <formula1>"Classification,BBOX,Keypoints,Ground Truth,Leave,Others,Segmentation, Data Collection"</formula1>
    </dataValidation>
    <dataValidation type="list" allowBlank="1" sqref="C2:C1000 G2:G1000">
      <formula1>"nephroplus,Adult RD,Netra,ICU Automation,vSitter,Airways,VRASS,CPOT,Respiratory Distress,Mask ON/OFF,Overcrowding"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5"/>
    <col customWidth="1" min="3" max="3" width="29.25"/>
    <col customWidth="1" min="4" max="4" width="25.38"/>
    <col customWidth="1" min="5" max="5" width="29.38"/>
    <col customWidth="1" min="6" max="6" width="33.63"/>
    <col customWidth="1" min="7" max="7" width="32.75"/>
    <col customWidth="1" min="8" max="8" width="19.0"/>
    <col customWidth="1" min="9" max="9" width="20.75"/>
    <col customWidth="1" min="10" max="10" width="29.88"/>
    <col customWidth="1" min="11" max="11" width="62.0"/>
  </cols>
  <sheetData>
    <row r="1" ht="22.5" customHeight="1">
      <c r="A1" s="44" t="s">
        <v>27</v>
      </c>
      <c r="B1" s="44" t="s">
        <v>1</v>
      </c>
      <c r="C1" s="2" t="s">
        <v>54</v>
      </c>
      <c r="D1" s="2" t="s">
        <v>55</v>
      </c>
      <c r="E1" s="3" t="s">
        <v>56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ht="22.5" customHeight="1">
      <c r="A2" s="45">
        <v>45975.0</v>
      </c>
      <c r="B2" s="46" t="s">
        <v>57</v>
      </c>
      <c r="C2" s="46" t="s">
        <v>30</v>
      </c>
      <c r="D2" s="46" t="s">
        <v>31</v>
      </c>
      <c r="E2" s="46" t="s">
        <v>20</v>
      </c>
      <c r="F2" s="47" t="s">
        <v>58</v>
      </c>
      <c r="G2" s="48"/>
      <c r="H2" s="49"/>
      <c r="I2" s="49"/>
      <c r="J2" s="50"/>
      <c r="K2" s="51" t="s">
        <v>59</v>
      </c>
    </row>
    <row r="3" ht="22.5" customHeight="1">
      <c r="A3" s="45">
        <v>45978.0</v>
      </c>
      <c r="B3" s="46" t="s">
        <v>57</v>
      </c>
      <c r="C3" s="46" t="s">
        <v>30</v>
      </c>
      <c r="D3" s="46" t="s">
        <v>31</v>
      </c>
      <c r="E3" s="46" t="s">
        <v>53</v>
      </c>
      <c r="F3" s="52">
        <v>250.0</v>
      </c>
      <c r="G3" s="53"/>
      <c r="H3" s="49"/>
      <c r="I3" s="49"/>
      <c r="J3" s="50"/>
      <c r="K3" s="54" t="s">
        <v>60</v>
      </c>
    </row>
    <row r="4" ht="26.25" customHeight="1">
      <c r="A4" s="45">
        <v>45979.0</v>
      </c>
      <c r="B4" s="46" t="s">
        <v>57</v>
      </c>
      <c r="C4" s="46" t="s">
        <v>30</v>
      </c>
      <c r="D4" s="46" t="s">
        <v>31</v>
      </c>
      <c r="E4" s="46" t="s">
        <v>20</v>
      </c>
      <c r="F4" s="52">
        <v>250.0</v>
      </c>
      <c r="G4" s="55"/>
      <c r="H4" s="49"/>
      <c r="I4" s="49"/>
      <c r="J4" s="50"/>
      <c r="K4" s="56" t="s">
        <v>61</v>
      </c>
    </row>
    <row r="5" ht="22.5" customHeight="1">
      <c r="A5" s="45">
        <v>45980.0</v>
      </c>
      <c r="B5" s="46" t="s">
        <v>57</v>
      </c>
      <c r="C5" s="46" t="s">
        <v>30</v>
      </c>
      <c r="D5" s="46" t="s">
        <v>31</v>
      </c>
      <c r="E5" s="46" t="s">
        <v>53</v>
      </c>
      <c r="F5" s="52">
        <v>200.0</v>
      </c>
      <c r="G5" s="53"/>
      <c r="H5" s="49"/>
      <c r="I5" s="49"/>
      <c r="J5" s="50"/>
      <c r="K5" s="54" t="s">
        <v>60</v>
      </c>
    </row>
    <row r="6" ht="22.5" customHeight="1">
      <c r="A6" s="45">
        <v>45981.0</v>
      </c>
      <c r="B6" s="46" t="s">
        <v>57</v>
      </c>
      <c r="C6" s="46" t="s">
        <v>30</v>
      </c>
      <c r="D6" s="46" t="s">
        <v>31</v>
      </c>
      <c r="E6" s="46" t="s">
        <v>20</v>
      </c>
      <c r="F6" s="52">
        <v>300.0</v>
      </c>
      <c r="G6" s="53"/>
      <c r="H6" s="49"/>
      <c r="I6" s="49"/>
      <c r="J6" s="50"/>
      <c r="K6" s="57" t="s">
        <v>61</v>
      </c>
    </row>
    <row r="7" ht="22.5" customHeight="1">
      <c r="A7" s="45">
        <v>45982.0</v>
      </c>
      <c r="B7" s="46" t="s">
        <v>57</v>
      </c>
      <c r="C7" s="46" t="s">
        <v>30</v>
      </c>
      <c r="D7" s="46" t="s">
        <v>31</v>
      </c>
      <c r="E7" s="46" t="s">
        <v>53</v>
      </c>
      <c r="F7" s="52">
        <v>200.0</v>
      </c>
      <c r="G7" s="53"/>
      <c r="H7" s="49"/>
      <c r="I7" s="49"/>
      <c r="J7" s="50"/>
      <c r="K7" s="54" t="s">
        <v>60</v>
      </c>
    </row>
    <row r="8" ht="22.5" customHeight="1">
      <c r="A8" s="45">
        <v>45985.0</v>
      </c>
      <c r="B8" s="46" t="s">
        <v>57</v>
      </c>
      <c r="C8" s="46" t="s">
        <v>30</v>
      </c>
      <c r="D8" s="46" t="s">
        <v>31</v>
      </c>
      <c r="E8" s="46" t="s">
        <v>20</v>
      </c>
      <c r="F8" s="52">
        <v>300.0</v>
      </c>
      <c r="G8" s="53"/>
      <c r="H8" s="49"/>
      <c r="I8" s="49"/>
      <c r="J8" s="50"/>
      <c r="K8" s="57" t="s">
        <v>62</v>
      </c>
    </row>
    <row r="9" ht="22.5" customHeight="1">
      <c r="A9" s="45">
        <v>45986.0</v>
      </c>
      <c r="B9" s="46" t="s">
        <v>57</v>
      </c>
      <c r="C9" s="46" t="s">
        <v>30</v>
      </c>
      <c r="D9" s="46" t="s">
        <v>31</v>
      </c>
      <c r="E9" s="46" t="s">
        <v>53</v>
      </c>
      <c r="F9" s="52">
        <v>300.0</v>
      </c>
      <c r="G9" s="53"/>
      <c r="H9" s="49"/>
      <c r="I9" s="49"/>
      <c r="J9" s="50"/>
      <c r="K9" s="54" t="s">
        <v>60</v>
      </c>
    </row>
    <row r="10" ht="22.5" customHeight="1">
      <c r="A10" s="45">
        <v>45987.0</v>
      </c>
      <c r="B10" s="46" t="s">
        <v>57</v>
      </c>
      <c r="C10" s="46" t="s">
        <v>30</v>
      </c>
      <c r="D10" s="46" t="s">
        <v>31</v>
      </c>
      <c r="E10" s="46" t="s">
        <v>20</v>
      </c>
      <c r="F10" s="52">
        <v>200.0</v>
      </c>
      <c r="G10" s="53"/>
      <c r="H10" s="49"/>
      <c r="I10" s="49"/>
      <c r="J10" s="50"/>
      <c r="K10" s="57" t="s">
        <v>62</v>
      </c>
    </row>
    <row r="11" ht="22.5" customHeight="1">
      <c r="A11" s="45">
        <v>45988.0</v>
      </c>
      <c r="B11" s="46" t="s">
        <v>57</v>
      </c>
      <c r="C11" s="46" t="s">
        <v>30</v>
      </c>
      <c r="D11" s="46" t="s">
        <v>31</v>
      </c>
      <c r="E11" s="46" t="s">
        <v>20</v>
      </c>
      <c r="F11" s="52">
        <v>500.0</v>
      </c>
      <c r="G11" s="53"/>
      <c r="H11" s="49"/>
      <c r="I11" s="49"/>
      <c r="J11" s="50"/>
      <c r="K11" s="54" t="s">
        <v>62</v>
      </c>
    </row>
    <row r="12" ht="22.5" customHeight="1">
      <c r="A12" s="45">
        <v>45989.0</v>
      </c>
      <c r="B12" s="46" t="s">
        <v>57</v>
      </c>
      <c r="C12" s="46" t="s">
        <v>30</v>
      </c>
      <c r="D12" s="46" t="s">
        <v>31</v>
      </c>
      <c r="E12" s="46" t="s">
        <v>53</v>
      </c>
      <c r="F12" s="52">
        <v>250.0</v>
      </c>
      <c r="G12" s="53"/>
      <c r="H12" s="49"/>
      <c r="I12" s="49"/>
      <c r="J12" s="50"/>
      <c r="K12" s="57" t="s">
        <v>60</v>
      </c>
    </row>
    <row r="13" ht="22.5" customHeight="1">
      <c r="A13" s="45">
        <v>45992.0</v>
      </c>
      <c r="B13" s="46" t="s">
        <v>57</v>
      </c>
      <c r="C13" s="46" t="s">
        <v>30</v>
      </c>
      <c r="D13" s="46" t="s">
        <v>31</v>
      </c>
      <c r="E13" s="46" t="s">
        <v>20</v>
      </c>
      <c r="F13" s="52" t="s">
        <v>63</v>
      </c>
      <c r="G13" s="58"/>
      <c r="H13" s="49"/>
      <c r="I13" s="49"/>
      <c r="J13" s="50"/>
      <c r="K13" s="54" t="s">
        <v>64</v>
      </c>
    </row>
    <row r="14" ht="22.5" customHeight="1">
      <c r="A14" s="45">
        <v>45993.0</v>
      </c>
      <c r="B14" s="46" t="s">
        <v>57</v>
      </c>
      <c r="C14" s="46" t="s">
        <v>30</v>
      </c>
      <c r="D14" s="46" t="s">
        <v>31</v>
      </c>
      <c r="E14" s="46" t="s">
        <v>20</v>
      </c>
      <c r="F14" s="52">
        <v>400.0</v>
      </c>
      <c r="G14" s="53"/>
      <c r="H14" s="49"/>
      <c r="I14" s="49"/>
      <c r="J14" s="50"/>
      <c r="K14" s="57" t="s">
        <v>62</v>
      </c>
    </row>
    <row r="15" ht="22.5" customHeight="1">
      <c r="A15" s="45">
        <v>45994.0</v>
      </c>
      <c r="B15" s="46" t="s">
        <v>57</v>
      </c>
      <c r="C15" s="46" t="s">
        <v>30</v>
      </c>
      <c r="D15" s="46" t="s">
        <v>31</v>
      </c>
      <c r="E15" s="46" t="s">
        <v>53</v>
      </c>
      <c r="F15" s="52">
        <v>300.0</v>
      </c>
      <c r="G15" s="53"/>
      <c r="H15" s="49"/>
      <c r="I15" s="49"/>
      <c r="J15" s="50"/>
      <c r="K15" s="54" t="s">
        <v>60</v>
      </c>
    </row>
    <row r="16" ht="22.5" customHeight="1">
      <c r="A16" s="45">
        <v>45995.0</v>
      </c>
      <c r="B16" s="46" t="s">
        <v>57</v>
      </c>
      <c r="C16" s="46" t="s">
        <v>30</v>
      </c>
      <c r="D16" s="46" t="s">
        <v>31</v>
      </c>
      <c r="E16" s="46" t="s">
        <v>20</v>
      </c>
      <c r="F16" s="52" t="s">
        <v>65</v>
      </c>
      <c r="G16" s="53"/>
      <c r="H16" s="49"/>
      <c r="I16" s="49"/>
      <c r="J16" s="50"/>
      <c r="K16" s="57" t="s">
        <v>62</v>
      </c>
    </row>
    <row r="17" ht="22.5" customHeight="1">
      <c r="A17" s="45">
        <v>45996.0</v>
      </c>
      <c r="B17" s="46" t="s">
        <v>57</v>
      </c>
      <c r="C17" s="46" t="s">
        <v>30</v>
      </c>
      <c r="D17" s="46" t="s">
        <v>31</v>
      </c>
      <c r="E17" s="46" t="s">
        <v>20</v>
      </c>
      <c r="F17" s="59">
        <v>1000.0</v>
      </c>
      <c r="G17" s="58"/>
      <c r="H17" s="49"/>
      <c r="I17" s="49"/>
      <c r="J17" s="50"/>
      <c r="K17" s="54" t="s">
        <v>66</v>
      </c>
    </row>
    <row r="18" ht="22.5" customHeight="1">
      <c r="A18" s="45">
        <v>45999.0</v>
      </c>
      <c r="B18" s="46" t="s">
        <v>57</v>
      </c>
      <c r="C18" s="46" t="s">
        <v>40</v>
      </c>
      <c r="D18" s="46" t="s">
        <v>31</v>
      </c>
      <c r="E18" s="46" t="s">
        <v>53</v>
      </c>
      <c r="F18" s="52">
        <v>150.0</v>
      </c>
      <c r="G18" s="53"/>
      <c r="H18" s="49"/>
      <c r="I18" s="49"/>
      <c r="J18" s="50"/>
      <c r="K18" s="57" t="s">
        <v>60</v>
      </c>
    </row>
    <row r="19" ht="22.5" customHeight="1">
      <c r="A19" s="45">
        <v>46000.0</v>
      </c>
      <c r="B19" s="46" t="s">
        <v>57</v>
      </c>
      <c r="C19" s="46" t="s">
        <v>40</v>
      </c>
      <c r="D19" s="46" t="s">
        <v>31</v>
      </c>
      <c r="E19" s="46" t="s">
        <v>20</v>
      </c>
      <c r="F19" s="52">
        <v>350.0</v>
      </c>
      <c r="G19" s="53"/>
      <c r="H19" s="49"/>
      <c r="I19" s="49"/>
      <c r="J19" s="50"/>
      <c r="K19" s="54" t="s">
        <v>62</v>
      </c>
    </row>
    <row r="20" ht="22.5" customHeight="1">
      <c r="A20" s="45">
        <v>46001.0</v>
      </c>
      <c r="B20" s="46" t="s">
        <v>57</v>
      </c>
      <c r="C20" s="46" t="s">
        <v>40</v>
      </c>
      <c r="D20" s="46" t="s">
        <v>31</v>
      </c>
      <c r="E20" s="46" t="s">
        <v>20</v>
      </c>
      <c r="F20" s="52">
        <v>500.0</v>
      </c>
      <c r="G20" s="53"/>
      <c r="H20" s="49"/>
      <c r="I20" s="49"/>
      <c r="J20" s="50"/>
      <c r="K20" s="57" t="s">
        <v>62</v>
      </c>
    </row>
    <row r="21" ht="22.5" customHeight="1">
      <c r="A21" s="45">
        <v>46002.0</v>
      </c>
      <c r="B21" s="46" t="s">
        <v>57</v>
      </c>
      <c r="C21" s="46" t="s">
        <v>40</v>
      </c>
      <c r="D21" s="46" t="s">
        <v>31</v>
      </c>
      <c r="E21" s="46" t="s">
        <v>20</v>
      </c>
      <c r="F21" s="52">
        <v>500.0</v>
      </c>
      <c r="G21" s="53"/>
      <c r="H21" s="49"/>
      <c r="I21" s="49"/>
      <c r="J21" s="50"/>
      <c r="K21" s="54" t="s">
        <v>62</v>
      </c>
    </row>
    <row r="22" ht="22.5" customHeight="1">
      <c r="A22" s="45">
        <v>46003.0</v>
      </c>
      <c r="B22" s="46" t="s">
        <v>57</v>
      </c>
      <c r="C22" s="46" t="s">
        <v>40</v>
      </c>
      <c r="D22" s="46" t="s">
        <v>31</v>
      </c>
      <c r="E22" s="46" t="s">
        <v>20</v>
      </c>
      <c r="F22" s="59">
        <v>1500.0</v>
      </c>
      <c r="G22" s="58"/>
      <c r="H22" s="49"/>
      <c r="I22" s="49"/>
      <c r="J22" s="50"/>
      <c r="K22" s="57" t="s">
        <v>67</v>
      </c>
    </row>
    <row r="23" ht="22.5" customHeight="1">
      <c r="A23" s="45">
        <v>46006.0</v>
      </c>
      <c r="B23" s="46" t="s">
        <v>57</v>
      </c>
      <c r="C23" s="46" t="s">
        <v>30</v>
      </c>
      <c r="D23" s="46" t="s">
        <v>42</v>
      </c>
      <c r="E23" s="46" t="s">
        <v>53</v>
      </c>
      <c r="F23" s="52" t="s">
        <v>68</v>
      </c>
      <c r="G23" s="53"/>
      <c r="H23" s="49"/>
      <c r="I23" s="49"/>
      <c r="J23" s="50"/>
      <c r="K23" s="54" t="s">
        <v>60</v>
      </c>
    </row>
    <row r="24" ht="22.5" customHeight="1">
      <c r="A24" s="45">
        <v>46007.0</v>
      </c>
      <c r="B24" s="46" t="s">
        <v>57</v>
      </c>
      <c r="C24" s="46" t="s">
        <v>30</v>
      </c>
      <c r="D24" s="46" t="s">
        <v>42</v>
      </c>
      <c r="E24" s="46" t="s">
        <v>53</v>
      </c>
      <c r="F24" s="52" t="s">
        <v>69</v>
      </c>
      <c r="G24" s="53"/>
      <c r="H24" s="49"/>
      <c r="I24" s="49"/>
      <c r="J24" s="50"/>
      <c r="K24" s="57" t="s">
        <v>60</v>
      </c>
    </row>
    <row r="25" ht="22.5" customHeight="1">
      <c r="A25" s="45">
        <v>46008.0</v>
      </c>
      <c r="B25" s="46" t="s">
        <v>57</v>
      </c>
      <c r="C25" s="46" t="s">
        <v>30</v>
      </c>
      <c r="D25" s="46" t="s">
        <v>42</v>
      </c>
      <c r="E25" s="46" t="s">
        <v>20</v>
      </c>
      <c r="F25" s="52">
        <v>185.0</v>
      </c>
      <c r="G25" s="53"/>
      <c r="H25" s="49"/>
      <c r="I25" s="49"/>
      <c r="J25" s="50"/>
      <c r="K25" s="54" t="s">
        <v>62</v>
      </c>
    </row>
    <row r="26" ht="22.5" customHeight="1">
      <c r="A26" s="45">
        <v>46009.0</v>
      </c>
      <c r="B26" s="46" t="s">
        <v>57</v>
      </c>
      <c r="C26" s="46" t="s">
        <v>70</v>
      </c>
      <c r="D26" s="46" t="s">
        <v>19</v>
      </c>
      <c r="E26" s="46" t="s">
        <v>53</v>
      </c>
      <c r="F26" s="47">
        <v>1984.0</v>
      </c>
      <c r="G26" s="48" t="s">
        <v>30</v>
      </c>
      <c r="H26" s="60" t="s">
        <v>42</v>
      </c>
      <c r="I26" s="60" t="s">
        <v>53</v>
      </c>
      <c r="J26" s="6">
        <v>100.0</v>
      </c>
      <c r="K26" s="51" t="s">
        <v>71</v>
      </c>
    </row>
    <row r="27" ht="22.5" customHeight="1">
      <c r="A27" s="45">
        <v>46010.0</v>
      </c>
      <c r="B27" s="46" t="s">
        <v>57</v>
      </c>
      <c r="C27" s="46" t="s">
        <v>70</v>
      </c>
      <c r="D27" s="46" t="s">
        <v>19</v>
      </c>
      <c r="E27" s="46" t="s">
        <v>20</v>
      </c>
      <c r="F27" s="47">
        <v>2722.0</v>
      </c>
      <c r="G27" s="46"/>
      <c r="H27" s="49"/>
      <c r="I27" s="49"/>
      <c r="J27" s="50"/>
      <c r="K27" s="61" t="s">
        <v>72</v>
      </c>
    </row>
    <row r="28" ht="22.5" customHeight="1">
      <c r="A28" s="45">
        <v>46013.0</v>
      </c>
      <c r="B28" s="46" t="s">
        <v>57</v>
      </c>
      <c r="C28" s="46" t="s">
        <v>70</v>
      </c>
      <c r="D28" s="46" t="s">
        <v>19</v>
      </c>
      <c r="E28" s="46" t="s">
        <v>20</v>
      </c>
      <c r="F28" s="47">
        <v>7153.0</v>
      </c>
      <c r="G28" s="48"/>
      <c r="H28" s="49"/>
      <c r="I28" s="49"/>
      <c r="J28" s="50"/>
      <c r="K28" s="51" t="s">
        <v>73</v>
      </c>
    </row>
    <row r="29" ht="22.5" customHeight="1">
      <c r="A29" s="45">
        <v>46014.0</v>
      </c>
      <c r="B29" s="46" t="s">
        <v>57</v>
      </c>
      <c r="C29" s="46" t="s">
        <v>40</v>
      </c>
      <c r="D29" s="46" t="s">
        <v>47</v>
      </c>
      <c r="E29" s="46" t="s">
        <v>53</v>
      </c>
      <c r="F29" s="52">
        <v>125.0</v>
      </c>
      <c r="G29" s="53"/>
      <c r="H29" s="49"/>
      <c r="I29" s="49"/>
      <c r="J29" s="50"/>
      <c r="K29" s="54" t="s">
        <v>60</v>
      </c>
    </row>
    <row r="30" ht="22.5" customHeight="1">
      <c r="A30" s="45">
        <v>46015.0</v>
      </c>
      <c r="B30" s="46" t="s">
        <v>57</v>
      </c>
      <c r="C30" s="46" t="s">
        <v>40</v>
      </c>
      <c r="D30" s="46" t="s">
        <v>47</v>
      </c>
      <c r="E30" s="46" t="s">
        <v>20</v>
      </c>
      <c r="F30" s="52">
        <v>125.0</v>
      </c>
      <c r="G30" s="53"/>
      <c r="H30" s="49"/>
      <c r="I30" s="49"/>
      <c r="J30" s="50"/>
      <c r="K30" s="57" t="s">
        <v>62</v>
      </c>
    </row>
    <row r="31" ht="22.5" customHeight="1">
      <c r="A31" s="45">
        <v>46016.0</v>
      </c>
      <c r="B31" s="46" t="s">
        <v>57</v>
      </c>
      <c r="C31" s="62"/>
      <c r="D31" s="62"/>
      <c r="E31" s="46" t="s">
        <v>29</v>
      </c>
      <c r="F31" s="63" t="s">
        <v>29</v>
      </c>
      <c r="G31" s="64"/>
      <c r="H31" s="49"/>
      <c r="I31" s="49"/>
      <c r="J31" s="50"/>
      <c r="K31" s="65" t="s">
        <v>74</v>
      </c>
    </row>
    <row r="32" ht="22.5" customHeight="1">
      <c r="A32" s="45">
        <v>46017.0</v>
      </c>
      <c r="B32" s="46" t="s">
        <v>57</v>
      </c>
      <c r="C32" s="62"/>
      <c r="D32" s="62"/>
      <c r="E32" s="46" t="s">
        <v>29</v>
      </c>
      <c r="F32" s="63" t="s">
        <v>29</v>
      </c>
      <c r="G32" s="64"/>
      <c r="H32" s="49"/>
      <c r="I32" s="49"/>
      <c r="J32" s="50"/>
      <c r="K32" s="66" t="s">
        <v>29</v>
      </c>
    </row>
    <row r="33" ht="22.5" customHeight="1">
      <c r="A33" s="45">
        <v>46020.0</v>
      </c>
      <c r="B33" s="46" t="s">
        <v>57</v>
      </c>
      <c r="C33" s="46" t="s">
        <v>70</v>
      </c>
      <c r="D33" s="46" t="s">
        <v>19</v>
      </c>
      <c r="E33" s="46" t="s">
        <v>20</v>
      </c>
      <c r="F33" s="47">
        <v>5957.0</v>
      </c>
      <c r="G33" s="46"/>
      <c r="H33" s="49"/>
      <c r="I33" s="49"/>
      <c r="J33" s="50"/>
      <c r="K33" s="61" t="s">
        <v>75</v>
      </c>
    </row>
    <row r="34" ht="22.5" customHeight="1">
      <c r="A34" s="45">
        <v>46021.0</v>
      </c>
      <c r="B34" s="46" t="s">
        <v>57</v>
      </c>
      <c r="C34" s="46" t="s">
        <v>70</v>
      </c>
      <c r="D34" s="46" t="s">
        <v>19</v>
      </c>
      <c r="E34" s="46" t="s">
        <v>20</v>
      </c>
      <c r="F34" s="47">
        <v>2628.0</v>
      </c>
      <c r="G34" s="48" t="s">
        <v>30</v>
      </c>
      <c r="H34" s="60" t="s">
        <v>42</v>
      </c>
      <c r="I34" s="60" t="s">
        <v>53</v>
      </c>
      <c r="J34" s="6">
        <v>100.0</v>
      </c>
      <c r="K34" s="51" t="s">
        <v>76</v>
      </c>
    </row>
    <row r="35" ht="22.5" customHeight="1">
      <c r="A35" s="45">
        <v>46022.0</v>
      </c>
      <c r="B35" s="46" t="s">
        <v>57</v>
      </c>
      <c r="C35" s="67" t="s">
        <v>30</v>
      </c>
      <c r="D35" s="67" t="s">
        <v>42</v>
      </c>
      <c r="E35" s="67" t="s">
        <v>20</v>
      </c>
      <c r="F35" s="68">
        <v>255.0</v>
      </c>
      <c r="G35" s="67"/>
      <c r="H35" s="49"/>
      <c r="I35" s="49"/>
      <c r="J35" s="50"/>
      <c r="K35" s="61" t="s">
        <v>77</v>
      </c>
    </row>
    <row r="36" ht="22.5" customHeight="1">
      <c r="A36" s="45">
        <v>46023.0</v>
      </c>
      <c r="B36" s="46" t="s">
        <v>57</v>
      </c>
      <c r="C36" s="46" t="s">
        <v>30</v>
      </c>
      <c r="D36" s="46" t="s">
        <v>42</v>
      </c>
      <c r="E36" s="46" t="s">
        <v>53</v>
      </c>
      <c r="F36" s="47">
        <v>100.0</v>
      </c>
      <c r="G36" s="46"/>
      <c r="H36" s="49"/>
      <c r="I36" s="49"/>
      <c r="J36" s="50"/>
      <c r="K36" s="69" t="s">
        <v>60</v>
      </c>
    </row>
    <row r="37" ht="22.5" customHeight="1">
      <c r="A37" s="45">
        <v>46024.0</v>
      </c>
      <c r="B37" s="46" t="s">
        <v>57</v>
      </c>
      <c r="C37" s="46" t="s">
        <v>30</v>
      </c>
      <c r="D37" s="46" t="s">
        <v>42</v>
      </c>
      <c r="E37" s="46" t="s">
        <v>20</v>
      </c>
      <c r="F37" s="47">
        <v>200.0</v>
      </c>
      <c r="G37" s="46"/>
      <c r="H37" s="49"/>
      <c r="I37" s="49"/>
      <c r="J37" s="50"/>
      <c r="K37" s="61" t="s">
        <v>78</v>
      </c>
    </row>
    <row r="38" ht="22.5" customHeight="1">
      <c r="A38" s="45">
        <v>45662.0</v>
      </c>
      <c r="B38" s="46" t="s">
        <v>57</v>
      </c>
      <c r="C38" s="46" t="s">
        <v>44</v>
      </c>
      <c r="D38" s="46" t="s">
        <v>45</v>
      </c>
      <c r="E38" s="46" t="s">
        <v>20</v>
      </c>
      <c r="F38" s="47">
        <v>446.0</v>
      </c>
      <c r="G38" s="46"/>
      <c r="H38" s="49"/>
      <c r="I38" s="49"/>
      <c r="J38" s="50"/>
      <c r="K38" s="69" t="s">
        <v>79</v>
      </c>
    </row>
    <row r="39" ht="22.5" customHeight="1">
      <c r="A39" s="45">
        <v>45663.0</v>
      </c>
      <c r="B39" s="46" t="s">
        <v>57</v>
      </c>
      <c r="C39" s="67" t="s">
        <v>44</v>
      </c>
      <c r="D39" s="67" t="s">
        <v>45</v>
      </c>
      <c r="E39" s="67" t="s">
        <v>20</v>
      </c>
      <c r="F39" s="68">
        <v>1464.0</v>
      </c>
      <c r="G39" s="67"/>
      <c r="H39" s="49"/>
      <c r="I39" s="49"/>
      <c r="J39" s="70"/>
      <c r="K39" s="61" t="s">
        <v>62</v>
      </c>
    </row>
    <row r="40" ht="22.5" customHeight="1">
      <c r="A40" s="45">
        <v>45664.0</v>
      </c>
      <c r="B40" s="46" t="s">
        <v>57</v>
      </c>
      <c r="C40" s="67" t="s">
        <v>30</v>
      </c>
      <c r="D40" s="67" t="s">
        <v>42</v>
      </c>
      <c r="E40" s="67" t="s">
        <v>53</v>
      </c>
      <c r="F40" s="68">
        <v>150.0</v>
      </c>
      <c r="G40" s="67"/>
      <c r="H40" s="49"/>
      <c r="I40" s="49"/>
      <c r="J40" s="70"/>
      <c r="K40" s="69" t="s">
        <v>60</v>
      </c>
    </row>
    <row r="41" ht="22.5" customHeight="1">
      <c r="A41" s="45">
        <v>45665.0</v>
      </c>
      <c r="B41" s="46" t="s">
        <v>57</v>
      </c>
      <c r="C41" s="67" t="s">
        <v>30</v>
      </c>
      <c r="D41" s="67" t="s">
        <v>42</v>
      </c>
      <c r="E41" s="67" t="s">
        <v>53</v>
      </c>
      <c r="F41" s="68">
        <v>150.0</v>
      </c>
      <c r="G41" s="46"/>
      <c r="H41" s="49"/>
      <c r="I41" s="49"/>
      <c r="J41" s="70"/>
      <c r="K41" s="61" t="s">
        <v>60</v>
      </c>
    </row>
    <row r="42" ht="22.5" customHeight="1">
      <c r="A42" s="45">
        <v>45666.0</v>
      </c>
      <c r="B42" s="46" t="s">
        <v>57</v>
      </c>
      <c r="C42" s="67" t="s">
        <v>30</v>
      </c>
      <c r="D42" s="67" t="s">
        <v>42</v>
      </c>
      <c r="E42" s="67" t="s">
        <v>53</v>
      </c>
      <c r="F42" s="68">
        <v>70.0</v>
      </c>
      <c r="G42" s="67"/>
      <c r="H42" s="71"/>
      <c r="I42" s="71"/>
      <c r="J42" s="70"/>
      <c r="K42" s="47" t="s">
        <v>60</v>
      </c>
    </row>
    <row r="43" ht="22.5" customHeight="1">
      <c r="A43" s="72"/>
      <c r="B43" s="62"/>
      <c r="C43" s="73"/>
      <c r="D43" s="73"/>
      <c r="E43" s="73"/>
      <c r="F43" s="68"/>
      <c r="G43" s="67"/>
      <c r="H43" s="71"/>
      <c r="I43" s="71"/>
      <c r="J43" s="70"/>
      <c r="K43" s="70"/>
    </row>
    <row r="44" ht="22.5" customHeight="1">
      <c r="A44" s="72"/>
      <c r="B44" s="62"/>
      <c r="C44" s="73"/>
      <c r="D44" s="73"/>
      <c r="E44" s="73"/>
      <c r="F44" s="68"/>
      <c r="G44" s="67"/>
      <c r="H44" s="71"/>
      <c r="I44" s="71"/>
      <c r="J44" s="70"/>
      <c r="K44" s="70"/>
    </row>
    <row r="45" ht="22.5" customHeight="1">
      <c r="A45" s="72"/>
      <c r="B45" s="62"/>
      <c r="C45" s="73"/>
      <c r="D45" s="73"/>
      <c r="E45" s="73"/>
      <c r="F45" s="68"/>
      <c r="G45" s="67"/>
      <c r="H45" s="71"/>
      <c r="I45" s="71"/>
      <c r="J45" s="74"/>
      <c r="K45" s="74"/>
    </row>
    <row r="46" ht="22.5" customHeight="1">
      <c r="A46" s="72"/>
      <c r="B46" s="62"/>
      <c r="C46" s="73"/>
      <c r="D46" s="73"/>
      <c r="E46" s="73"/>
      <c r="F46" s="68"/>
      <c r="G46" s="67"/>
      <c r="H46" s="71"/>
      <c r="I46" s="71"/>
      <c r="J46" s="74"/>
      <c r="K46" s="74"/>
    </row>
    <row r="47" ht="22.5" customHeight="1">
      <c r="A47" s="72"/>
      <c r="B47" s="62"/>
      <c r="C47" s="73"/>
      <c r="D47" s="73"/>
      <c r="E47" s="73"/>
      <c r="F47" s="68"/>
      <c r="G47" s="67"/>
      <c r="H47" s="71"/>
      <c r="I47" s="71"/>
      <c r="J47" s="74"/>
      <c r="K47" s="74"/>
    </row>
    <row r="48" ht="22.5" customHeight="1">
      <c r="A48" s="72"/>
      <c r="B48" s="62"/>
      <c r="C48" s="73"/>
      <c r="D48" s="73"/>
      <c r="E48" s="73"/>
      <c r="F48" s="68"/>
      <c r="G48" s="75"/>
      <c r="H48" s="71"/>
      <c r="I48" s="71"/>
      <c r="J48" s="74"/>
      <c r="K48" s="74"/>
    </row>
    <row r="49" ht="22.5" customHeight="1">
      <c r="A49" s="72"/>
      <c r="B49" s="62"/>
      <c r="C49" s="73"/>
      <c r="D49" s="73"/>
      <c r="E49" s="73"/>
      <c r="F49" s="68"/>
      <c r="G49" s="48"/>
      <c r="H49" s="71"/>
      <c r="I49" s="71"/>
      <c r="J49" s="74"/>
      <c r="K49" s="74"/>
    </row>
    <row r="50" ht="22.5" customHeight="1">
      <c r="A50" s="76"/>
      <c r="B50" s="21"/>
      <c r="C50" s="77"/>
      <c r="D50" s="77"/>
      <c r="E50" s="78"/>
      <c r="F50" s="79"/>
      <c r="G50" s="53"/>
      <c r="H50" s="71"/>
      <c r="I50" s="71"/>
      <c r="J50" s="74"/>
      <c r="K50" s="74"/>
    </row>
    <row r="51" ht="22.5" customHeight="1">
      <c r="A51" s="76"/>
      <c r="B51" s="21"/>
      <c r="C51" s="77"/>
      <c r="D51" s="77"/>
      <c r="E51" s="78"/>
      <c r="F51" s="79"/>
      <c r="G51" s="55"/>
      <c r="H51" s="71"/>
      <c r="I51" s="71"/>
      <c r="J51" s="74"/>
      <c r="K51" s="74"/>
    </row>
    <row r="52" ht="22.5" customHeight="1">
      <c r="A52" s="76"/>
      <c r="B52" s="21"/>
      <c r="C52" s="77"/>
      <c r="D52" s="77"/>
      <c r="E52" s="78"/>
      <c r="F52" s="79"/>
      <c r="G52" s="53"/>
      <c r="H52" s="71"/>
      <c r="I52" s="71"/>
      <c r="J52" s="74"/>
      <c r="K52" s="74"/>
    </row>
    <row r="53" ht="22.5" customHeight="1">
      <c r="A53" s="76"/>
      <c r="B53" s="21"/>
      <c r="C53" s="77"/>
      <c r="D53" s="77"/>
      <c r="E53" s="78"/>
      <c r="F53" s="79"/>
      <c r="G53" s="53"/>
      <c r="H53" s="71"/>
      <c r="I53" s="71"/>
      <c r="J53" s="74"/>
      <c r="K53" s="74"/>
    </row>
    <row r="54" ht="22.5" customHeight="1">
      <c r="A54" s="76"/>
      <c r="B54" s="21"/>
      <c r="C54" s="77"/>
      <c r="D54" s="77"/>
      <c r="E54" s="78"/>
      <c r="F54" s="79"/>
      <c r="G54" s="53"/>
      <c r="H54" s="71"/>
      <c r="I54" s="71"/>
      <c r="J54" s="74"/>
      <c r="K54" s="74"/>
    </row>
    <row r="55" ht="22.5" customHeight="1">
      <c r="A55" s="76"/>
      <c r="B55" s="21"/>
      <c r="C55" s="77"/>
      <c r="D55" s="77"/>
      <c r="E55" s="78"/>
      <c r="F55" s="79"/>
      <c r="G55" s="53"/>
      <c r="H55" s="71"/>
      <c r="I55" s="71"/>
      <c r="J55" s="74"/>
      <c r="K55" s="74"/>
    </row>
    <row r="56" ht="22.5" customHeight="1">
      <c r="A56" s="76"/>
      <c r="B56" s="21"/>
      <c r="C56" s="77"/>
      <c r="D56" s="77"/>
      <c r="E56" s="78"/>
      <c r="F56" s="79"/>
      <c r="G56" s="53"/>
      <c r="H56" s="71"/>
      <c r="I56" s="71"/>
      <c r="J56" s="74"/>
      <c r="K56" s="74"/>
    </row>
    <row r="57" ht="22.5" customHeight="1">
      <c r="A57" s="76"/>
      <c r="B57" s="21"/>
      <c r="C57" s="77"/>
      <c r="D57" s="77"/>
      <c r="E57" s="78"/>
      <c r="F57" s="79"/>
      <c r="G57" s="53"/>
      <c r="H57" s="71"/>
      <c r="I57" s="71"/>
      <c r="J57" s="74"/>
      <c r="K57" s="74"/>
    </row>
    <row r="58" ht="22.5" customHeight="1">
      <c r="A58" s="76"/>
      <c r="B58" s="21"/>
      <c r="C58" s="77"/>
      <c r="D58" s="77"/>
      <c r="E58" s="78"/>
      <c r="F58" s="79"/>
      <c r="G58" s="53"/>
      <c r="H58" s="71"/>
      <c r="I58" s="71"/>
      <c r="J58" s="74"/>
      <c r="K58" s="74"/>
    </row>
    <row r="59" ht="22.5" customHeight="1">
      <c r="A59" s="76"/>
      <c r="B59" s="21"/>
      <c r="C59" s="77"/>
      <c r="D59" s="77"/>
      <c r="E59" s="78"/>
      <c r="F59" s="79"/>
      <c r="G59" s="53"/>
      <c r="H59" s="71"/>
      <c r="I59" s="71"/>
      <c r="J59" s="74"/>
      <c r="K59" s="74"/>
    </row>
    <row r="60" ht="22.5" customHeight="1">
      <c r="A60" s="76"/>
      <c r="B60" s="21"/>
      <c r="C60" s="77"/>
      <c r="D60" s="77"/>
      <c r="E60" s="78"/>
      <c r="F60" s="79"/>
      <c r="G60" s="58"/>
      <c r="H60" s="71"/>
      <c r="I60" s="71"/>
      <c r="J60" s="74"/>
      <c r="K60" s="74"/>
    </row>
    <row r="61" ht="22.5" customHeight="1">
      <c r="A61" s="76"/>
      <c r="B61" s="21"/>
      <c r="C61" s="77"/>
      <c r="D61" s="77"/>
      <c r="E61" s="78"/>
      <c r="F61" s="79"/>
      <c r="G61" s="53"/>
      <c r="H61" s="71"/>
      <c r="I61" s="71"/>
      <c r="J61" s="74"/>
      <c r="K61" s="74"/>
    </row>
    <row r="62" ht="22.5" customHeight="1">
      <c r="A62" s="76"/>
      <c r="B62" s="21"/>
      <c r="C62" s="77"/>
      <c r="D62" s="77"/>
      <c r="E62" s="78"/>
      <c r="F62" s="79"/>
      <c r="G62" s="53"/>
      <c r="H62" s="71"/>
      <c r="I62" s="71"/>
      <c r="J62" s="74"/>
      <c r="K62" s="74"/>
    </row>
    <row r="63" ht="22.5" customHeight="1">
      <c r="A63" s="76"/>
      <c r="B63" s="21"/>
      <c r="C63" s="77"/>
      <c r="D63" s="77"/>
      <c r="E63" s="78"/>
      <c r="F63" s="79"/>
      <c r="G63" s="53"/>
      <c r="H63" s="71"/>
      <c r="I63" s="71"/>
      <c r="J63" s="74"/>
      <c r="K63" s="74"/>
    </row>
    <row r="64" ht="22.5" customHeight="1">
      <c r="A64" s="76"/>
      <c r="B64" s="21"/>
      <c r="C64" s="77"/>
      <c r="D64" s="77"/>
      <c r="E64" s="78"/>
      <c r="F64" s="79"/>
      <c r="G64" s="58"/>
      <c r="H64" s="71"/>
      <c r="I64" s="71"/>
      <c r="J64" s="74"/>
      <c r="K64" s="74"/>
    </row>
    <row r="65" ht="22.5" customHeight="1">
      <c r="A65" s="76"/>
      <c r="B65" s="21"/>
      <c r="C65" s="77"/>
      <c r="D65" s="77"/>
      <c r="E65" s="78"/>
      <c r="F65" s="79"/>
      <c r="G65" s="53"/>
      <c r="H65" s="71"/>
      <c r="I65" s="71"/>
      <c r="J65" s="74"/>
      <c r="K65" s="74"/>
    </row>
    <row r="66" ht="22.5" customHeight="1">
      <c r="A66" s="76"/>
      <c r="B66" s="21"/>
      <c r="C66" s="77"/>
      <c r="D66" s="77"/>
      <c r="E66" s="78"/>
      <c r="F66" s="79"/>
      <c r="G66" s="53"/>
      <c r="H66" s="71"/>
      <c r="I66" s="71"/>
      <c r="J66" s="74"/>
      <c r="K66" s="74"/>
    </row>
    <row r="67" ht="22.5" customHeight="1">
      <c r="A67" s="76"/>
      <c r="B67" s="21"/>
      <c r="C67" s="77"/>
      <c r="D67" s="77"/>
      <c r="E67" s="78"/>
      <c r="F67" s="79"/>
      <c r="G67" s="53"/>
      <c r="H67" s="71"/>
      <c r="I67" s="71"/>
      <c r="J67" s="74"/>
      <c r="K67" s="74"/>
    </row>
    <row r="68" ht="22.5" customHeight="1">
      <c r="A68" s="76"/>
      <c r="B68" s="21"/>
      <c r="C68" s="77"/>
      <c r="D68" s="77"/>
      <c r="E68" s="78"/>
      <c r="F68" s="79"/>
      <c r="G68" s="53"/>
      <c r="H68" s="71"/>
      <c r="I68" s="71"/>
      <c r="J68" s="74"/>
      <c r="K68" s="74"/>
    </row>
    <row r="69" ht="22.5" customHeight="1">
      <c r="A69" s="76"/>
      <c r="B69" s="21"/>
      <c r="C69" s="77"/>
      <c r="D69" s="77"/>
      <c r="E69" s="78"/>
      <c r="F69" s="79"/>
      <c r="G69" s="58"/>
      <c r="H69" s="71"/>
      <c r="I69" s="71"/>
      <c r="J69" s="74"/>
      <c r="K69" s="74"/>
    </row>
    <row r="70" ht="22.5" customHeight="1">
      <c r="A70" s="76"/>
      <c r="B70" s="21"/>
      <c r="C70" s="77"/>
      <c r="D70" s="77"/>
      <c r="E70" s="78"/>
      <c r="F70" s="79"/>
      <c r="G70" s="53"/>
      <c r="H70" s="71"/>
      <c r="I70" s="71"/>
      <c r="J70" s="74"/>
      <c r="K70" s="74"/>
    </row>
    <row r="71" ht="22.5" customHeight="1">
      <c r="A71" s="76"/>
      <c r="B71" s="21"/>
      <c r="C71" s="77"/>
      <c r="D71" s="77"/>
      <c r="E71" s="78"/>
      <c r="F71" s="79"/>
      <c r="G71" s="53"/>
      <c r="H71" s="71"/>
      <c r="I71" s="71"/>
      <c r="J71" s="74"/>
      <c r="K71" s="74"/>
    </row>
    <row r="72" ht="22.5" customHeight="1">
      <c r="A72" s="76"/>
      <c r="B72" s="21"/>
      <c r="C72" s="77"/>
      <c r="D72" s="77"/>
      <c r="E72" s="78"/>
      <c r="F72" s="79"/>
      <c r="G72" s="53"/>
      <c r="H72" s="71"/>
      <c r="I72" s="71"/>
      <c r="J72" s="74"/>
      <c r="K72" s="74"/>
    </row>
    <row r="73" ht="22.5" customHeight="1">
      <c r="A73" s="76"/>
      <c r="B73" s="21"/>
      <c r="C73" s="77"/>
      <c r="D73" s="77"/>
      <c r="E73" s="78"/>
      <c r="F73" s="79"/>
      <c r="G73" s="48"/>
      <c r="H73" s="71"/>
      <c r="I73" s="71"/>
      <c r="J73" s="74"/>
      <c r="K73" s="74"/>
    </row>
    <row r="74" ht="22.5" customHeight="1">
      <c r="A74" s="76"/>
      <c r="B74" s="21"/>
      <c r="C74" s="77"/>
      <c r="D74" s="77"/>
      <c r="E74" s="78"/>
      <c r="F74" s="79"/>
      <c r="G74" s="46"/>
      <c r="H74" s="71"/>
      <c r="I74" s="71"/>
      <c r="J74" s="74"/>
      <c r="K74" s="74"/>
    </row>
    <row r="75" ht="22.5" customHeight="1">
      <c r="A75" s="76"/>
      <c r="B75" s="21"/>
      <c r="C75" s="77"/>
      <c r="D75" s="77"/>
      <c r="E75" s="78"/>
      <c r="F75" s="79"/>
      <c r="G75" s="48"/>
      <c r="H75" s="71"/>
      <c r="I75" s="71"/>
      <c r="J75" s="74"/>
      <c r="K75" s="74"/>
    </row>
    <row r="76" ht="22.5" customHeight="1">
      <c r="A76" s="76"/>
      <c r="B76" s="21"/>
      <c r="C76" s="77"/>
      <c r="D76" s="77"/>
      <c r="E76" s="78"/>
      <c r="F76" s="79"/>
      <c r="G76" s="53"/>
      <c r="H76" s="71"/>
      <c r="I76" s="71"/>
      <c r="J76" s="74"/>
      <c r="K76" s="74"/>
    </row>
    <row r="77" ht="22.5" customHeight="1">
      <c r="A77" s="76"/>
      <c r="B77" s="21"/>
      <c r="C77" s="77"/>
      <c r="D77" s="77"/>
      <c r="E77" s="78"/>
      <c r="F77" s="79"/>
      <c r="G77" s="53"/>
      <c r="H77" s="71"/>
      <c r="I77" s="71"/>
      <c r="J77" s="74"/>
      <c r="K77" s="74"/>
    </row>
    <row r="78" ht="22.5" customHeight="1">
      <c r="A78" s="76"/>
      <c r="B78" s="21"/>
      <c r="C78" s="77"/>
      <c r="D78" s="77"/>
      <c r="E78" s="78"/>
      <c r="F78" s="79"/>
      <c r="G78" s="62"/>
      <c r="H78" s="71"/>
      <c r="I78" s="71"/>
      <c r="J78" s="74"/>
      <c r="K78" s="74"/>
    </row>
    <row r="79" ht="22.5" customHeight="1">
      <c r="A79" s="76"/>
      <c r="B79" s="21"/>
      <c r="C79" s="77"/>
      <c r="D79" s="77"/>
      <c r="E79" s="78"/>
      <c r="F79" s="79"/>
      <c r="G79" s="80"/>
      <c r="H79" s="71"/>
      <c r="I79" s="71"/>
      <c r="J79" s="74"/>
      <c r="K79" s="74"/>
    </row>
    <row r="80" ht="22.5" customHeight="1">
      <c r="A80" s="76"/>
      <c r="B80" s="21"/>
      <c r="C80" s="77"/>
      <c r="D80" s="77"/>
      <c r="E80" s="78"/>
      <c r="F80" s="79"/>
      <c r="G80" s="73"/>
      <c r="H80" s="71"/>
      <c r="I80" s="71"/>
      <c r="J80" s="74"/>
      <c r="K80" s="74"/>
    </row>
    <row r="81" ht="22.5" customHeight="1">
      <c r="A81" s="76"/>
      <c r="B81" s="21"/>
      <c r="C81" s="77"/>
      <c r="D81" s="77"/>
      <c r="E81" s="78"/>
      <c r="F81" s="79"/>
      <c r="G81" s="62"/>
      <c r="H81" s="71"/>
      <c r="I81" s="71"/>
      <c r="J81" s="74"/>
      <c r="K81" s="74"/>
    </row>
    <row r="82" ht="22.5" customHeight="1">
      <c r="A82" s="76"/>
      <c r="B82" s="21"/>
      <c r="C82" s="77"/>
      <c r="D82" s="77"/>
      <c r="E82" s="78"/>
      <c r="F82" s="79"/>
      <c r="G82" s="62"/>
      <c r="H82" s="71"/>
      <c r="I82" s="71"/>
      <c r="J82" s="74"/>
      <c r="K82" s="74"/>
    </row>
    <row r="83" ht="22.5" customHeight="1">
      <c r="A83" s="76"/>
      <c r="B83" s="21"/>
      <c r="C83" s="77"/>
      <c r="D83" s="77"/>
      <c r="E83" s="78"/>
      <c r="F83" s="79"/>
      <c r="G83" s="62"/>
      <c r="H83" s="71"/>
      <c r="I83" s="71"/>
      <c r="J83" s="74"/>
      <c r="K83" s="74"/>
    </row>
    <row r="84" ht="22.5" customHeight="1">
      <c r="A84" s="76"/>
      <c r="B84" s="21"/>
      <c r="C84" s="77"/>
      <c r="D84" s="77"/>
      <c r="E84" s="78"/>
      <c r="F84" s="79"/>
      <c r="G84" s="73"/>
      <c r="H84" s="71"/>
      <c r="I84" s="71"/>
      <c r="J84" s="74"/>
      <c r="K84" s="74"/>
    </row>
    <row r="85" ht="22.5" customHeight="1">
      <c r="A85" s="76"/>
      <c r="B85" s="21"/>
      <c r="C85" s="77"/>
      <c r="D85" s="77"/>
      <c r="E85" s="78"/>
      <c r="F85" s="79"/>
      <c r="G85" s="73"/>
      <c r="H85" s="71"/>
      <c r="I85" s="71"/>
      <c r="J85" s="74"/>
      <c r="K85" s="74"/>
    </row>
    <row r="86" ht="22.5" customHeight="1">
      <c r="A86" s="76"/>
      <c r="B86" s="21"/>
      <c r="C86" s="77"/>
      <c r="D86" s="77"/>
      <c r="E86" s="78"/>
      <c r="F86" s="79"/>
      <c r="G86" s="62"/>
      <c r="H86" s="71"/>
      <c r="I86" s="71"/>
      <c r="J86" s="74"/>
      <c r="K86" s="74"/>
    </row>
    <row r="87" ht="22.5" customHeight="1">
      <c r="A87" s="45"/>
      <c r="B87" s="81"/>
      <c r="C87" s="81"/>
      <c r="D87" s="81"/>
      <c r="E87" s="46"/>
      <c r="F87" s="47"/>
      <c r="G87" s="73"/>
      <c r="H87" s="71"/>
      <c r="I87" s="71"/>
      <c r="J87" s="74"/>
      <c r="K87" s="74"/>
    </row>
    <row r="88" ht="22.5" customHeight="1">
      <c r="A88" s="45"/>
      <c r="B88" s="81"/>
      <c r="C88" s="81"/>
      <c r="D88" s="81"/>
      <c r="E88" s="46"/>
      <c r="F88" s="47"/>
      <c r="G88" s="62"/>
      <c r="H88" s="71"/>
      <c r="I88" s="71"/>
      <c r="J88" s="74"/>
      <c r="K88" s="74"/>
    </row>
    <row r="89" ht="22.5" customHeight="1">
      <c r="A89" s="45"/>
      <c r="B89" s="81"/>
      <c r="C89" s="81"/>
      <c r="D89" s="81"/>
      <c r="E89" s="46"/>
      <c r="F89" s="47"/>
      <c r="G89" s="62"/>
      <c r="H89" s="71"/>
      <c r="I89" s="71"/>
      <c r="J89" s="74"/>
      <c r="K89" s="74"/>
    </row>
    <row r="90" ht="22.5" customHeight="1">
      <c r="A90" s="76"/>
      <c r="B90" s="21"/>
      <c r="C90" s="77"/>
      <c r="D90" s="77"/>
      <c r="E90" s="78"/>
      <c r="F90" s="79"/>
      <c r="G90" s="78"/>
      <c r="H90" s="71"/>
      <c r="I90" s="71"/>
      <c r="J90" s="74"/>
      <c r="K90" s="74"/>
    </row>
    <row r="91" ht="22.5" customHeight="1">
      <c r="A91" s="76"/>
      <c r="B91" s="21"/>
      <c r="C91" s="77"/>
      <c r="D91" s="77"/>
      <c r="E91" s="78"/>
      <c r="F91" s="79"/>
      <c r="G91" s="78"/>
      <c r="H91" s="71"/>
      <c r="I91" s="71"/>
      <c r="J91" s="74"/>
      <c r="K91" s="74"/>
    </row>
    <row r="92" ht="22.5" customHeight="1">
      <c r="A92" s="76"/>
      <c r="B92" s="21"/>
      <c r="C92" s="77"/>
      <c r="D92" s="77"/>
      <c r="E92" s="78"/>
      <c r="F92" s="79"/>
      <c r="G92" s="78"/>
      <c r="H92" s="71"/>
      <c r="I92" s="71"/>
      <c r="J92" s="74"/>
      <c r="K92" s="74"/>
    </row>
    <row r="93" ht="22.5" customHeight="1">
      <c r="A93" s="76"/>
      <c r="B93" s="21"/>
      <c r="C93" s="77"/>
      <c r="D93" s="77"/>
      <c r="E93" s="78"/>
      <c r="F93" s="79"/>
      <c r="G93" s="78"/>
      <c r="H93" s="71"/>
      <c r="I93" s="71"/>
      <c r="J93" s="74"/>
      <c r="K93" s="74"/>
    </row>
    <row r="94" ht="22.5" customHeight="1">
      <c r="A94" s="76"/>
      <c r="B94" s="21"/>
      <c r="C94" s="77"/>
      <c r="D94" s="77"/>
      <c r="E94" s="78"/>
      <c r="F94" s="79"/>
      <c r="G94" s="78"/>
      <c r="H94" s="71"/>
      <c r="I94" s="71"/>
      <c r="J94" s="74"/>
      <c r="K94" s="74"/>
    </row>
    <row r="95" ht="22.5" customHeight="1">
      <c r="A95" s="76"/>
      <c r="B95" s="21"/>
      <c r="C95" s="77"/>
      <c r="D95" s="77"/>
      <c r="E95" s="78"/>
      <c r="F95" s="79"/>
      <c r="G95" s="78"/>
      <c r="H95" s="71"/>
      <c r="I95" s="71"/>
      <c r="J95" s="74"/>
      <c r="K95" s="74"/>
    </row>
    <row r="96" ht="22.5" customHeight="1">
      <c r="A96" s="76"/>
      <c r="B96" s="21"/>
      <c r="C96" s="77"/>
      <c r="D96" s="77"/>
      <c r="E96" s="78"/>
      <c r="F96" s="79"/>
      <c r="G96" s="78"/>
      <c r="H96" s="71"/>
      <c r="I96" s="71"/>
      <c r="J96" s="74"/>
      <c r="K96" s="74"/>
    </row>
    <row r="97" ht="22.5" customHeight="1">
      <c r="A97" s="76"/>
      <c r="B97" s="21"/>
      <c r="C97" s="77"/>
      <c r="D97" s="77"/>
      <c r="E97" s="78"/>
      <c r="F97" s="79"/>
      <c r="G97" s="78"/>
      <c r="H97" s="71"/>
      <c r="I97" s="71"/>
      <c r="J97" s="74"/>
      <c r="K97" s="74"/>
    </row>
    <row r="98" ht="22.5" customHeight="1">
      <c r="A98" s="76"/>
      <c r="B98" s="21"/>
      <c r="C98" s="77"/>
      <c r="D98" s="77"/>
      <c r="E98" s="78"/>
      <c r="F98" s="79"/>
      <c r="G98" s="78"/>
      <c r="H98" s="71"/>
      <c r="I98" s="71"/>
      <c r="J98" s="74"/>
      <c r="K98" s="74"/>
    </row>
    <row r="99" ht="22.5" customHeight="1">
      <c r="A99" s="76"/>
      <c r="B99" s="21"/>
      <c r="C99" s="77"/>
      <c r="D99" s="77"/>
      <c r="E99" s="78"/>
      <c r="F99" s="79"/>
      <c r="G99" s="78"/>
      <c r="H99" s="71"/>
      <c r="I99" s="71"/>
      <c r="J99" s="74"/>
      <c r="K99" s="74"/>
    </row>
    <row r="100" ht="22.5" customHeight="1">
      <c r="A100" s="76"/>
      <c r="B100" s="21"/>
      <c r="C100" s="77"/>
      <c r="D100" s="77"/>
      <c r="E100" s="78"/>
      <c r="F100" s="79"/>
      <c r="G100" s="78"/>
      <c r="H100" s="71"/>
      <c r="I100" s="71"/>
      <c r="J100" s="74"/>
      <c r="K100" s="74"/>
    </row>
    <row r="101" ht="22.5" customHeight="1">
      <c r="A101" s="76"/>
      <c r="B101" s="21"/>
      <c r="C101" s="77"/>
      <c r="D101" s="77"/>
      <c r="E101" s="78"/>
      <c r="F101" s="79"/>
      <c r="G101" s="78"/>
      <c r="H101" s="71"/>
      <c r="I101" s="71"/>
      <c r="J101" s="74"/>
      <c r="K101" s="74"/>
    </row>
    <row r="102" ht="22.5" customHeight="1">
      <c r="A102" s="76"/>
      <c r="B102" s="21"/>
      <c r="C102" s="77"/>
      <c r="D102" s="77"/>
      <c r="E102" s="78"/>
      <c r="F102" s="79"/>
      <c r="G102" s="78"/>
      <c r="H102" s="71"/>
      <c r="I102" s="71"/>
      <c r="J102" s="74"/>
      <c r="K102" s="74"/>
    </row>
    <row r="103" ht="22.5" customHeight="1">
      <c r="A103" s="76"/>
      <c r="B103" s="21"/>
      <c r="C103" s="77"/>
      <c r="D103" s="77"/>
      <c r="E103" s="78"/>
      <c r="F103" s="79"/>
      <c r="G103" s="78"/>
      <c r="H103" s="71"/>
      <c r="I103" s="71"/>
      <c r="J103" s="74"/>
      <c r="K103" s="74"/>
    </row>
    <row r="104" ht="22.5" customHeight="1">
      <c r="A104" s="76"/>
      <c r="B104" s="21"/>
      <c r="C104" s="77"/>
      <c r="D104" s="77"/>
      <c r="E104" s="78"/>
      <c r="F104" s="79"/>
      <c r="G104" s="78"/>
      <c r="H104" s="71"/>
      <c r="I104" s="71"/>
      <c r="J104" s="74"/>
      <c r="K104" s="74"/>
    </row>
    <row r="10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</row>
    <row r="106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</row>
    <row r="107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</row>
    <row r="108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</row>
    <row r="109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</row>
    <row r="110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</row>
    <row r="111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</row>
    <row r="112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</row>
    <row r="113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</row>
    <row r="114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</row>
    <row r="11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</row>
    <row r="116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</row>
    <row r="117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</row>
    <row r="118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</row>
    <row r="119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</row>
    <row r="120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</row>
    <row r="121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</row>
    <row r="122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</row>
    <row r="123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</row>
    <row r="124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</row>
    <row r="1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</row>
    <row r="126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</row>
    <row r="127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</row>
    <row r="128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</row>
    <row r="129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</row>
    <row r="130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</row>
    <row r="131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</row>
    <row r="132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</row>
    <row r="133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</row>
    <row r="134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</row>
    <row r="13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</row>
    <row r="136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</row>
  </sheetData>
  <dataValidations>
    <dataValidation type="list" allowBlank="1" sqref="H2:H104">
      <formula1>"Ground Truth,Tagging,Video Annotations,Data Collection,Preset,Segmentation,BBOX,Keypoints,Data Cleaning,Others"</formula1>
    </dataValidation>
    <dataValidation type="custom" allowBlank="1" showDropDown="1" showErrorMessage="1" sqref="A2:A104">
      <formula1>OR(NOT(ISERROR(DATEVALUE(A2))), AND(ISNUMBER(A2), LEFT(CELL("format", A2))="D"))</formula1>
    </dataValidation>
    <dataValidation type="list" allowBlank="1" sqref="E2:E104 I2:I104">
      <formula1>"Done,In Progress,Leave"</formula1>
    </dataValidation>
    <dataValidation type="list" allowBlank="1" sqref="B2:B104">
      <formula1>"Deekshith,Chandrashekar,Nagaharinadh,Suman Kanoj,Sagar Hiremat,Saraswathi,Prerana,Mouli Prakash,Manovya,Pranav,Raghavan,Rohit,Abusaad"</formula1>
    </dataValidation>
    <dataValidation type="list" allowBlank="1" sqref="D2:D104">
      <formula1>"Classification,BBOX,Keypoints,Ground Truth,Leave,Others,Segmentation, Data Collection"</formula1>
    </dataValidation>
    <dataValidation type="list" allowBlank="1" sqref="C2:C104 G2:G104">
      <formula1>"nephroplus,Adult RD,Netra,ICU Automation,vSitter,Airways,VRASS,CPOT,Respiratory Distress,Mask ON/OFF,Overcrowding"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9.5"/>
    <col customWidth="1" min="3" max="3" width="39.25"/>
    <col customWidth="1" min="4" max="4" width="35.75"/>
    <col customWidth="1" min="5" max="5" width="25.75"/>
    <col customWidth="1" min="6" max="6" width="26.13"/>
    <col customWidth="1" min="7" max="7" width="52.38"/>
    <col customWidth="1" min="8" max="8" width="26.13"/>
    <col customWidth="1" min="9" max="9" width="30.5"/>
    <col customWidth="1" min="10" max="11" width="26.13"/>
    <col customWidth="1" min="12" max="12" width="52.38"/>
  </cols>
  <sheetData>
    <row r="1" ht="22.5" customHeight="1">
      <c r="A1" s="83" t="s">
        <v>27</v>
      </c>
      <c r="B1" s="84" t="s">
        <v>1</v>
      </c>
      <c r="C1" s="85" t="s">
        <v>2</v>
      </c>
      <c r="D1" s="86" t="s">
        <v>80</v>
      </c>
      <c r="E1" s="87" t="s">
        <v>4</v>
      </c>
      <c r="F1" s="88" t="s">
        <v>5</v>
      </c>
      <c r="G1" s="83" t="s">
        <v>10</v>
      </c>
      <c r="H1" s="89" t="s">
        <v>6</v>
      </c>
      <c r="I1" s="90" t="s">
        <v>7</v>
      </c>
      <c r="J1" s="90" t="s">
        <v>8</v>
      </c>
      <c r="K1" s="91" t="s">
        <v>9</v>
      </c>
      <c r="L1" s="83" t="s">
        <v>81</v>
      </c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</row>
    <row r="2" ht="22.5" customHeight="1">
      <c r="A2" s="93">
        <v>45901.0</v>
      </c>
      <c r="B2" s="94" t="s">
        <v>82</v>
      </c>
      <c r="C2" s="95" t="s">
        <v>83</v>
      </c>
      <c r="D2" s="95" t="s">
        <v>84</v>
      </c>
      <c r="E2" s="96" t="s">
        <v>20</v>
      </c>
      <c r="F2" s="97">
        <v>39.0</v>
      </c>
      <c r="G2" s="98"/>
      <c r="H2" s="99"/>
      <c r="I2" s="100"/>
      <c r="J2" s="96"/>
      <c r="K2" s="101"/>
      <c r="L2" s="98"/>
    </row>
    <row r="3" ht="22.5" customHeight="1">
      <c r="A3" s="93">
        <v>45902.0</v>
      </c>
      <c r="B3" s="94" t="s">
        <v>82</v>
      </c>
      <c r="C3" s="95" t="s">
        <v>83</v>
      </c>
      <c r="D3" s="95" t="s">
        <v>84</v>
      </c>
      <c r="E3" s="96" t="s">
        <v>20</v>
      </c>
      <c r="F3" s="97">
        <v>43.0</v>
      </c>
      <c r="G3" s="98"/>
      <c r="H3" s="99"/>
      <c r="I3" s="100"/>
      <c r="J3" s="96"/>
      <c r="K3" s="102"/>
      <c r="L3" s="98"/>
    </row>
    <row r="4" ht="22.5" customHeight="1">
      <c r="A4" s="93">
        <v>45903.0</v>
      </c>
      <c r="B4" s="94" t="s">
        <v>82</v>
      </c>
      <c r="C4" s="95" t="s">
        <v>83</v>
      </c>
      <c r="D4" s="95" t="s">
        <v>84</v>
      </c>
      <c r="E4" s="96" t="s">
        <v>20</v>
      </c>
      <c r="F4" s="97">
        <v>45.0</v>
      </c>
      <c r="G4" s="98"/>
      <c r="H4" s="99"/>
      <c r="I4" s="100"/>
      <c r="J4" s="96"/>
      <c r="K4" s="101"/>
      <c r="L4" s="98"/>
    </row>
    <row r="5" ht="22.5" customHeight="1">
      <c r="A5" s="93">
        <v>45904.0</v>
      </c>
      <c r="B5" s="94" t="s">
        <v>82</v>
      </c>
      <c r="C5" s="95" t="s">
        <v>83</v>
      </c>
      <c r="D5" s="95" t="s">
        <v>84</v>
      </c>
      <c r="E5" s="96" t="s">
        <v>20</v>
      </c>
      <c r="F5" s="97">
        <v>18.0</v>
      </c>
      <c r="G5" s="98"/>
      <c r="H5" s="99"/>
      <c r="I5" s="100"/>
      <c r="J5" s="96"/>
      <c r="K5" s="102"/>
      <c r="L5" s="98"/>
    </row>
    <row r="6" ht="22.5" customHeight="1">
      <c r="A6" s="93">
        <v>45905.0</v>
      </c>
      <c r="B6" s="94" t="s">
        <v>82</v>
      </c>
      <c r="C6" s="99"/>
      <c r="D6" s="99"/>
      <c r="E6" s="96"/>
      <c r="F6" s="103"/>
      <c r="G6" s="104" t="s">
        <v>85</v>
      </c>
      <c r="H6" s="99"/>
      <c r="I6" s="100"/>
      <c r="J6" s="96"/>
      <c r="K6" s="101"/>
      <c r="L6" s="105"/>
    </row>
    <row r="7" ht="22.5" customHeight="1">
      <c r="A7" s="93">
        <v>45906.0</v>
      </c>
      <c r="B7" s="94" t="s">
        <v>82</v>
      </c>
      <c r="C7" s="99"/>
      <c r="D7" s="99"/>
      <c r="E7" s="96"/>
      <c r="F7" s="103"/>
      <c r="G7" s="98"/>
      <c r="H7" s="99"/>
      <c r="I7" s="100"/>
      <c r="J7" s="96"/>
      <c r="K7" s="102"/>
      <c r="L7" s="98"/>
    </row>
    <row r="8" ht="22.5" customHeight="1">
      <c r="A8" s="93">
        <v>45907.0</v>
      </c>
      <c r="B8" s="94" t="s">
        <v>82</v>
      </c>
      <c r="C8" s="99"/>
      <c r="D8" s="99"/>
      <c r="E8" s="96"/>
      <c r="F8" s="31"/>
      <c r="G8" s="106"/>
      <c r="H8" s="99"/>
      <c r="I8" s="100"/>
      <c r="J8" s="96"/>
      <c r="K8" s="101"/>
      <c r="L8" s="106"/>
    </row>
    <row r="9" ht="22.5" customHeight="1">
      <c r="A9" s="93">
        <v>45908.0</v>
      </c>
      <c r="B9" s="94" t="s">
        <v>82</v>
      </c>
      <c r="C9" s="95" t="s">
        <v>83</v>
      </c>
      <c r="D9" s="95" t="s">
        <v>84</v>
      </c>
      <c r="E9" s="96" t="s">
        <v>20</v>
      </c>
      <c r="F9" s="24">
        <v>120.0</v>
      </c>
      <c r="G9" s="106"/>
      <c r="H9" s="99"/>
      <c r="I9" s="100"/>
      <c r="J9" s="96"/>
      <c r="K9" s="102"/>
      <c r="L9" s="106"/>
    </row>
    <row r="10" ht="22.5" customHeight="1">
      <c r="A10" s="93">
        <v>45909.0</v>
      </c>
      <c r="B10" s="94" t="s">
        <v>82</v>
      </c>
      <c r="C10" s="95" t="s">
        <v>83</v>
      </c>
      <c r="D10" s="95" t="s">
        <v>84</v>
      </c>
      <c r="E10" s="96" t="s">
        <v>20</v>
      </c>
      <c r="F10" s="24">
        <v>108.0</v>
      </c>
      <c r="G10" s="106"/>
      <c r="H10" s="99"/>
      <c r="I10" s="100"/>
      <c r="J10" s="96"/>
      <c r="K10" s="101"/>
      <c r="L10" s="106"/>
    </row>
    <row r="11" ht="22.5" customHeight="1">
      <c r="A11" s="93">
        <v>45910.0</v>
      </c>
      <c r="B11" s="94" t="s">
        <v>82</v>
      </c>
      <c r="C11" s="95" t="s">
        <v>83</v>
      </c>
      <c r="D11" s="95" t="s">
        <v>84</v>
      </c>
      <c r="E11" s="96" t="s">
        <v>20</v>
      </c>
      <c r="F11" s="24">
        <v>145.0</v>
      </c>
      <c r="G11" s="106"/>
      <c r="H11" s="99"/>
      <c r="I11" s="100"/>
      <c r="J11" s="96"/>
      <c r="K11" s="102"/>
      <c r="L11" s="106"/>
    </row>
    <row r="12" ht="22.5" customHeight="1">
      <c r="A12" s="93">
        <v>45911.0</v>
      </c>
      <c r="B12" s="94" t="s">
        <v>82</v>
      </c>
      <c r="C12" s="95" t="s">
        <v>83</v>
      </c>
      <c r="D12" s="95" t="s">
        <v>84</v>
      </c>
      <c r="E12" s="96" t="s">
        <v>20</v>
      </c>
      <c r="F12" s="107">
        <v>130.0</v>
      </c>
      <c r="G12" s="106"/>
      <c r="H12" s="99"/>
      <c r="I12" s="100"/>
      <c r="J12" s="96"/>
      <c r="K12" s="101"/>
      <c r="L12" s="106"/>
    </row>
    <row r="13" ht="22.5" customHeight="1">
      <c r="A13" s="93">
        <v>45912.0</v>
      </c>
      <c r="B13" s="94" t="s">
        <v>82</v>
      </c>
      <c r="C13" s="95" t="s">
        <v>83</v>
      </c>
      <c r="D13" s="95" t="s">
        <v>84</v>
      </c>
      <c r="E13" s="96" t="s">
        <v>53</v>
      </c>
      <c r="F13" s="24">
        <v>120.0</v>
      </c>
      <c r="G13" s="108" t="s">
        <v>86</v>
      </c>
      <c r="H13" s="99"/>
      <c r="I13" s="100"/>
      <c r="J13" s="96"/>
      <c r="K13" s="102"/>
      <c r="L13" s="108"/>
    </row>
    <row r="14" ht="22.5" customHeight="1">
      <c r="A14" s="93">
        <v>45913.0</v>
      </c>
      <c r="B14" s="94" t="s">
        <v>82</v>
      </c>
      <c r="C14" s="99"/>
      <c r="D14" s="99"/>
      <c r="E14" s="109"/>
      <c r="F14" s="31"/>
      <c r="G14" s="106"/>
      <c r="H14" s="99"/>
      <c r="I14" s="100"/>
      <c r="J14" s="96"/>
      <c r="K14" s="101"/>
      <c r="L14" s="106"/>
    </row>
    <row r="15" ht="22.5" customHeight="1">
      <c r="A15" s="93">
        <v>45914.0</v>
      </c>
      <c r="B15" s="94" t="s">
        <v>82</v>
      </c>
      <c r="C15" s="99"/>
      <c r="D15" s="99"/>
      <c r="E15" s="109"/>
      <c r="F15" s="31"/>
      <c r="G15" s="106"/>
      <c r="H15" s="99"/>
      <c r="I15" s="100"/>
      <c r="J15" s="96"/>
      <c r="K15" s="102"/>
      <c r="L15" s="106"/>
    </row>
    <row r="16" ht="22.5" customHeight="1">
      <c r="A16" s="93">
        <v>45915.0</v>
      </c>
      <c r="B16" s="94" t="s">
        <v>82</v>
      </c>
      <c r="C16" s="95" t="s">
        <v>83</v>
      </c>
      <c r="D16" s="95" t="s">
        <v>84</v>
      </c>
      <c r="E16" s="96" t="s">
        <v>20</v>
      </c>
      <c r="F16" s="31">
        <v>50.0</v>
      </c>
      <c r="G16" s="108" t="s">
        <v>86</v>
      </c>
      <c r="H16" s="99"/>
      <c r="I16" s="100"/>
      <c r="J16" s="96"/>
      <c r="K16" s="101"/>
      <c r="L16" s="108"/>
    </row>
    <row r="17" ht="22.5" customHeight="1">
      <c r="A17" s="93">
        <v>45916.0</v>
      </c>
      <c r="B17" s="94" t="s">
        <v>82</v>
      </c>
      <c r="C17" s="95" t="s">
        <v>40</v>
      </c>
      <c r="D17" s="95" t="s">
        <v>87</v>
      </c>
      <c r="E17" s="96" t="s">
        <v>20</v>
      </c>
      <c r="F17" s="24">
        <v>947.0</v>
      </c>
      <c r="G17" s="108" t="s">
        <v>88</v>
      </c>
      <c r="H17" s="99"/>
      <c r="I17" s="100"/>
      <c r="J17" s="96"/>
      <c r="K17" s="102"/>
      <c r="L17" s="108"/>
    </row>
    <row r="18" ht="22.5" customHeight="1">
      <c r="A18" s="93">
        <v>45917.0</v>
      </c>
      <c r="B18" s="94" t="s">
        <v>82</v>
      </c>
      <c r="C18" s="95" t="s">
        <v>89</v>
      </c>
      <c r="D18" s="95" t="s">
        <v>87</v>
      </c>
      <c r="E18" s="96" t="s">
        <v>53</v>
      </c>
      <c r="F18" s="24">
        <v>1500.0</v>
      </c>
      <c r="G18" s="108" t="s">
        <v>90</v>
      </c>
      <c r="H18" s="99"/>
      <c r="I18" s="100"/>
      <c r="J18" s="96"/>
      <c r="K18" s="101"/>
      <c r="L18" s="108"/>
    </row>
    <row r="19" ht="22.5" customHeight="1">
      <c r="A19" s="93">
        <v>45918.0</v>
      </c>
      <c r="B19" s="94" t="s">
        <v>82</v>
      </c>
      <c r="C19" s="95" t="s">
        <v>89</v>
      </c>
      <c r="D19" s="95" t="s">
        <v>87</v>
      </c>
      <c r="E19" s="96" t="s">
        <v>20</v>
      </c>
      <c r="F19" s="24">
        <v>1890.0</v>
      </c>
      <c r="G19" s="108" t="s">
        <v>90</v>
      </c>
      <c r="H19" s="99"/>
      <c r="I19" s="100"/>
      <c r="J19" s="96"/>
      <c r="K19" s="102"/>
      <c r="L19" s="108"/>
    </row>
    <row r="20" ht="22.5" customHeight="1">
      <c r="A20" s="93">
        <v>45919.0</v>
      </c>
      <c r="B20" s="94" t="s">
        <v>82</v>
      </c>
      <c r="C20" s="95" t="s">
        <v>89</v>
      </c>
      <c r="D20" s="95" t="s">
        <v>87</v>
      </c>
      <c r="E20" s="96" t="s">
        <v>20</v>
      </c>
      <c r="F20" s="24">
        <v>500.0</v>
      </c>
      <c r="G20" s="108" t="s">
        <v>90</v>
      </c>
      <c r="H20" s="99"/>
      <c r="I20" s="100"/>
      <c r="J20" s="96"/>
      <c r="K20" s="101"/>
      <c r="L20" s="108"/>
    </row>
    <row r="21" ht="22.5" customHeight="1">
      <c r="A21" s="93">
        <v>45920.0</v>
      </c>
      <c r="B21" s="94" t="s">
        <v>82</v>
      </c>
      <c r="C21" s="99"/>
      <c r="D21" s="99"/>
      <c r="E21" s="110"/>
      <c r="F21" s="31"/>
      <c r="G21" s="106"/>
      <c r="H21" s="99"/>
      <c r="I21" s="100"/>
      <c r="J21" s="96"/>
      <c r="K21" s="102"/>
      <c r="L21" s="106"/>
    </row>
    <row r="22" ht="22.5" customHeight="1">
      <c r="A22" s="93">
        <v>45921.0</v>
      </c>
      <c r="B22" s="94" t="s">
        <v>82</v>
      </c>
      <c r="C22" s="99"/>
      <c r="D22" s="99"/>
      <c r="E22" s="110"/>
      <c r="F22" s="31"/>
      <c r="G22" s="106"/>
      <c r="H22" s="99"/>
      <c r="I22" s="100"/>
      <c r="J22" s="96"/>
      <c r="K22" s="101"/>
      <c r="L22" s="106"/>
    </row>
    <row r="23" ht="22.5" customHeight="1">
      <c r="A23" s="93">
        <v>45922.0</v>
      </c>
      <c r="B23" s="94" t="s">
        <v>82</v>
      </c>
      <c r="C23" s="95" t="s">
        <v>89</v>
      </c>
      <c r="D23" s="95" t="s">
        <v>87</v>
      </c>
      <c r="E23" s="96" t="s">
        <v>20</v>
      </c>
      <c r="F23" s="111">
        <v>811.0</v>
      </c>
      <c r="G23" s="108" t="s">
        <v>90</v>
      </c>
      <c r="H23" s="99"/>
      <c r="I23" s="100"/>
      <c r="J23" s="96"/>
      <c r="K23" s="102"/>
      <c r="L23" s="108"/>
    </row>
    <row r="24" ht="22.5" customHeight="1">
      <c r="A24" s="93">
        <v>45923.0</v>
      </c>
      <c r="B24" s="94" t="s">
        <v>82</v>
      </c>
      <c r="C24" s="95" t="s">
        <v>83</v>
      </c>
      <c r="D24" s="95" t="s">
        <v>84</v>
      </c>
      <c r="E24" s="96" t="s">
        <v>53</v>
      </c>
      <c r="F24" s="111">
        <v>40.0</v>
      </c>
      <c r="G24" s="106"/>
      <c r="H24" s="99"/>
      <c r="I24" s="100"/>
      <c r="J24" s="96"/>
      <c r="K24" s="101"/>
      <c r="L24" s="106"/>
    </row>
    <row r="25" ht="22.5" customHeight="1">
      <c r="A25" s="93">
        <v>45924.0</v>
      </c>
      <c r="B25" s="94" t="s">
        <v>82</v>
      </c>
      <c r="C25" s="95" t="s">
        <v>83</v>
      </c>
      <c r="D25" s="95" t="s">
        <v>84</v>
      </c>
      <c r="E25" s="96" t="s">
        <v>53</v>
      </c>
      <c r="F25" s="111">
        <v>30.0</v>
      </c>
      <c r="G25" s="106"/>
      <c r="H25" s="99"/>
      <c r="I25" s="100"/>
      <c r="J25" s="96"/>
      <c r="K25" s="102"/>
      <c r="L25" s="106"/>
    </row>
    <row r="26" ht="22.5" customHeight="1">
      <c r="A26" s="93">
        <v>45925.0</v>
      </c>
      <c r="B26" s="94" t="s">
        <v>82</v>
      </c>
      <c r="C26" s="95" t="s">
        <v>83</v>
      </c>
      <c r="D26" s="95" t="s">
        <v>84</v>
      </c>
      <c r="E26" s="96" t="s">
        <v>53</v>
      </c>
      <c r="F26" s="111">
        <v>25.0</v>
      </c>
      <c r="G26" s="106"/>
      <c r="H26" s="99"/>
      <c r="I26" s="100"/>
      <c r="J26" s="96"/>
      <c r="K26" s="101"/>
      <c r="L26" s="106"/>
    </row>
    <row r="27" ht="22.5" customHeight="1">
      <c r="A27" s="93">
        <v>45926.0</v>
      </c>
      <c r="B27" s="94" t="s">
        <v>82</v>
      </c>
      <c r="C27" s="95" t="s">
        <v>83</v>
      </c>
      <c r="D27" s="95" t="s">
        <v>84</v>
      </c>
      <c r="E27" s="96" t="s">
        <v>20</v>
      </c>
      <c r="F27" s="111">
        <v>120.0</v>
      </c>
      <c r="G27" s="108" t="s">
        <v>91</v>
      </c>
      <c r="H27" s="99"/>
      <c r="I27" s="100"/>
      <c r="J27" s="96"/>
      <c r="K27" s="102"/>
      <c r="L27" s="108"/>
    </row>
    <row r="28" ht="22.5" customHeight="1">
      <c r="A28" s="93">
        <v>45927.0</v>
      </c>
      <c r="B28" s="94" t="s">
        <v>82</v>
      </c>
      <c r="C28" s="99"/>
      <c r="D28" s="99"/>
      <c r="E28" s="110"/>
      <c r="F28" s="31"/>
      <c r="G28" s="106"/>
      <c r="H28" s="99"/>
      <c r="I28" s="100"/>
      <c r="J28" s="96"/>
      <c r="K28" s="101"/>
      <c r="L28" s="106"/>
    </row>
    <row r="29" ht="22.5" customHeight="1">
      <c r="A29" s="93">
        <v>45928.0</v>
      </c>
      <c r="B29" s="94" t="s">
        <v>82</v>
      </c>
      <c r="C29" s="99"/>
      <c r="D29" s="99"/>
      <c r="E29" s="110"/>
      <c r="F29" s="31"/>
      <c r="G29" s="106"/>
      <c r="H29" s="99"/>
      <c r="I29" s="100"/>
      <c r="J29" s="96"/>
      <c r="K29" s="102"/>
      <c r="L29" s="106"/>
    </row>
    <row r="30" ht="22.5" customHeight="1">
      <c r="A30" s="93">
        <v>45929.0</v>
      </c>
      <c r="B30" s="94" t="s">
        <v>82</v>
      </c>
      <c r="C30" s="95" t="s">
        <v>92</v>
      </c>
      <c r="D30" s="95" t="s">
        <v>87</v>
      </c>
      <c r="E30" s="96" t="s">
        <v>53</v>
      </c>
      <c r="F30" s="31">
        <v>30.0</v>
      </c>
      <c r="G30" s="108" t="s">
        <v>93</v>
      </c>
      <c r="H30" s="99"/>
      <c r="I30" s="100"/>
      <c r="J30" s="96"/>
      <c r="K30" s="101"/>
      <c r="L30" s="108"/>
    </row>
    <row r="31" ht="22.5" customHeight="1">
      <c r="A31" s="93">
        <v>45930.0</v>
      </c>
      <c r="B31" s="94" t="s">
        <v>82</v>
      </c>
      <c r="C31" s="95" t="s">
        <v>92</v>
      </c>
      <c r="D31" s="95" t="s">
        <v>87</v>
      </c>
      <c r="E31" s="96" t="s">
        <v>20</v>
      </c>
      <c r="F31" s="31">
        <v>40.0</v>
      </c>
      <c r="G31" s="108" t="s">
        <v>93</v>
      </c>
      <c r="H31" s="99"/>
      <c r="I31" s="100"/>
      <c r="J31" s="96"/>
      <c r="K31" s="102"/>
      <c r="L31" s="108"/>
    </row>
    <row r="32" ht="22.5" customHeight="1">
      <c r="A32" s="93">
        <v>45931.0</v>
      </c>
      <c r="B32" s="94" t="s">
        <v>82</v>
      </c>
      <c r="C32" s="99"/>
      <c r="D32" s="99"/>
      <c r="E32" s="96" t="s">
        <v>29</v>
      </c>
      <c r="F32" s="31"/>
      <c r="G32" s="106"/>
      <c r="H32" s="99"/>
      <c r="I32" s="100"/>
      <c r="J32" s="96"/>
      <c r="K32" s="101"/>
      <c r="L32" s="106"/>
    </row>
    <row r="33" ht="22.5" customHeight="1">
      <c r="A33" s="93">
        <v>45932.0</v>
      </c>
      <c r="B33" s="94" t="s">
        <v>82</v>
      </c>
      <c r="C33" s="99"/>
      <c r="D33" s="99"/>
      <c r="E33" s="96" t="s">
        <v>29</v>
      </c>
      <c r="F33" s="31"/>
      <c r="G33" s="106"/>
      <c r="H33" s="99"/>
      <c r="I33" s="100"/>
      <c r="J33" s="96"/>
      <c r="K33" s="102"/>
      <c r="L33" s="106"/>
    </row>
    <row r="34" ht="22.5" customHeight="1">
      <c r="A34" s="93">
        <v>45933.0</v>
      </c>
      <c r="B34" s="94" t="s">
        <v>82</v>
      </c>
      <c r="C34" s="99"/>
      <c r="D34" s="99"/>
      <c r="E34" s="96" t="s">
        <v>29</v>
      </c>
      <c r="F34" s="31"/>
      <c r="G34" s="106"/>
      <c r="H34" s="99"/>
      <c r="I34" s="100"/>
      <c r="J34" s="96"/>
      <c r="K34" s="101"/>
      <c r="L34" s="106"/>
    </row>
    <row r="35" ht="22.5" customHeight="1">
      <c r="A35" s="93">
        <v>45934.0</v>
      </c>
      <c r="B35" s="94" t="s">
        <v>82</v>
      </c>
      <c r="C35" s="99"/>
      <c r="D35" s="99"/>
      <c r="E35" s="110"/>
      <c r="F35" s="31"/>
      <c r="G35" s="106"/>
      <c r="H35" s="99"/>
      <c r="I35" s="100"/>
      <c r="J35" s="96"/>
      <c r="K35" s="102"/>
      <c r="L35" s="106"/>
    </row>
    <row r="36" ht="22.5" customHeight="1">
      <c r="A36" s="93">
        <v>45935.0</v>
      </c>
      <c r="B36" s="94" t="s">
        <v>82</v>
      </c>
      <c r="C36" s="99"/>
      <c r="D36" s="99"/>
      <c r="E36" s="110"/>
      <c r="F36" s="31"/>
      <c r="G36" s="106"/>
      <c r="H36" s="99"/>
      <c r="I36" s="100"/>
      <c r="J36" s="96"/>
      <c r="K36" s="101"/>
      <c r="L36" s="106"/>
    </row>
    <row r="37" ht="22.5" customHeight="1">
      <c r="A37" s="93">
        <v>45936.0</v>
      </c>
      <c r="B37" s="94" t="s">
        <v>82</v>
      </c>
      <c r="C37" s="99"/>
      <c r="D37" s="99"/>
      <c r="E37" s="96" t="s">
        <v>29</v>
      </c>
      <c r="F37" s="31"/>
      <c r="G37" s="106"/>
      <c r="H37" s="99"/>
      <c r="I37" s="100"/>
      <c r="J37" s="96"/>
      <c r="K37" s="102"/>
      <c r="L37" s="106"/>
    </row>
    <row r="38" ht="22.5" customHeight="1">
      <c r="A38" s="93">
        <v>45937.0</v>
      </c>
      <c r="B38" s="94" t="s">
        <v>82</v>
      </c>
      <c r="C38" s="99"/>
      <c r="D38" s="99"/>
      <c r="E38" s="96" t="s">
        <v>29</v>
      </c>
      <c r="F38" s="31"/>
      <c r="G38" s="106"/>
      <c r="H38" s="99"/>
      <c r="I38" s="100"/>
      <c r="J38" s="96"/>
      <c r="K38" s="101"/>
      <c r="L38" s="106"/>
    </row>
    <row r="39" ht="22.5" customHeight="1">
      <c r="A39" s="93">
        <v>45938.0</v>
      </c>
      <c r="B39" s="94" t="s">
        <v>82</v>
      </c>
      <c r="C39" s="95" t="s">
        <v>94</v>
      </c>
      <c r="D39" s="95" t="s">
        <v>31</v>
      </c>
      <c r="E39" s="96" t="s">
        <v>20</v>
      </c>
      <c r="F39" s="111">
        <v>500.0</v>
      </c>
      <c r="G39" s="108" t="s">
        <v>95</v>
      </c>
      <c r="H39" s="99"/>
      <c r="I39" s="100"/>
      <c r="J39" s="96"/>
      <c r="K39" s="102"/>
      <c r="L39" s="108"/>
    </row>
    <row r="40" ht="22.5" customHeight="1">
      <c r="A40" s="93">
        <v>45939.0</v>
      </c>
      <c r="B40" s="94" t="s">
        <v>82</v>
      </c>
      <c r="C40" s="95" t="s">
        <v>94</v>
      </c>
      <c r="D40" s="95" t="s">
        <v>31</v>
      </c>
      <c r="E40" s="96" t="s">
        <v>20</v>
      </c>
      <c r="F40" s="111">
        <v>500.0</v>
      </c>
      <c r="G40" s="108" t="s">
        <v>95</v>
      </c>
      <c r="H40" s="99"/>
      <c r="I40" s="100"/>
      <c r="J40" s="96"/>
      <c r="K40" s="101"/>
      <c r="L40" s="108"/>
    </row>
    <row r="41" ht="22.5" customHeight="1">
      <c r="A41" s="93">
        <v>45940.0</v>
      </c>
      <c r="B41" s="94" t="s">
        <v>82</v>
      </c>
      <c r="C41" s="95" t="s">
        <v>94</v>
      </c>
      <c r="D41" s="95" t="s">
        <v>31</v>
      </c>
      <c r="E41" s="96" t="s">
        <v>20</v>
      </c>
      <c r="F41" s="111">
        <v>500.0</v>
      </c>
      <c r="G41" s="108" t="s">
        <v>95</v>
      </c>
      <c r="H41" s="99"/>
      <c r="I41" s="100"/>
      <c r="J41" s="96"/>
      <c r="K41" s="102"/>
      <c r="L41" s="108"/>
    </row>
    <row r="42" ht="22.5" customHeight="1">
      <c r="A42" s="93">
        <v>45941.0</v>
      </c>
      <c r="B42" s="94" t="s">
        <v>82</v>
      </c>
      <c r="C42" s="99"/>
      <c r="D42" s="99"/>
      <c r="E42" s="110"/>
      <c r="F42" s="31"/>
      <c r="G42" s="106"/>
      <c r="H42" s="99"/>
      <c r="I42" s="100"/>
      <c r="J42" s="96"/>
      <c r="K42" s="101"/>
      <c r="L42" s="106"/>
    </row>
    <row r="43" ht="22.5" customHeight="1">
      <c r="A43" s="93">
        <v>45942.0</v>
      </c>
      <c r="B43" s="94" t="s">
        <v>82</v>
      </c>
      <c r="C43" s="99"/>
      <c r="D43" s="99"/>
      <c r="E43" s="110"/>
      <c r="F43" s="31"/>
      <c r="G43" s="106"/>
      <c r="H43" s="99"/>
      <c r="I43" s="100"/>
      <c r="J43" s="96"/>
      <c r="K43" s="102"/>
      <c r="L43" s="106"/>
    </row>
    <row r="44" ht="22.5" customHeight="1">
      <c r="A44" s="93">
        <v>45943.0</v>
      </c>
      <c r="B44" s="94" t="s">
        <v>82</v>
      </c>
      <c r="C44" s="95" t="s">
        <v>94</v>
      </c>
      <c r="D44" s="95" t="s">
        <v>31</v>
      </c>
      <c r="E44" s="96" t="s">
        <v>20</v>
      </c>
      <c r="F44" s="111">
        <v>500.0</v>
      </c>
      <c r="G44" s="108" t="s">
        <v>95</v>
      </c>
      <c r="H44" s="99"/>
      <c r="I44" s="100"/>
      <c r="J44" s="96"/>
      <c r="K44" s="101"/>
      <c r="L44" s="108"/>
    </row>
    <row r="45" ht="22.5" customHeight="1">
      <c r="A45" s="93">
        <v>45944.0</v>
      </c>
      <c r="B45" s="112" t="s">
        <v>82</v>
      </c>
      <c r="C45" s="113" t="s">
        <v>94</v>
      </c>
      <c r="D45" s="113" t="s">
        <v>31</v>
      </c>
      <c r="E45" s="114" t="s">
        <v>20</v>
      </c>
      <c r="F45" s="115">
        <v>500.0</v>
      </c>
      <c r="G45" s="116" t="s">
        <v>95</v>
      </c>
      <c r="H45" s="99"/>
      <c r="I45" s="100"/>
      <c r="J45" s="96"/>
      <c r="K45" s="102"/>
      <c r="L45" s="116"/>
    </row>
    <row r="46" ht="22.5" customHeight="1">
      <c r="A46" s="93">
        <v>45945.0</v>
      </c>
      <c r="B46" s="94" t="s">
        <v>82</v>
      </c>
      <c r="C46" s="95" t="s">
        <v>40</v>
      </c>
      <c r="D46" s="95" t="s">
        <v>31</v>
      </c>
      <c r="E46" s="96" t="s">
        <v>20</v>
      </c>
      <c r="F46" s="31">
        <v>9.0</v>
      </c>
      <c r="G46" s="108" t="s">
        <v>96</v>
      </c>
      <c r="H46" s="99"/>
      <c r="I46" s="100"/>
      <c r="J46" s="96"/>
      <c r="K46" s="101"/>
      <c r="L46" s="108"/>
    </row>
    <row r="47" ht="22.5" customHeight="1">
      <c r="A47" s="93">
        <v>45946.0</v>
      </c>
      <c r="B47" s="94" t="s">
        <v>82</v>
      </c>
      <c r="C47" s="95" t="s">
        <v>40</v>
      </c>
      <c r="D47" s="95" t="s">
        <v>19</v>
      </c>
      <c r="E47" s="96" t="s">
        <v>20</v>
      </c>
      <c r="F47" s="31">
        <v>6700.0</v>
      </c>
      <c r="G47" s="117" t="s">
        <v>97</v>
      </c>
      <c r="H47" s="99"/>
      <c r="I47" s="100"/>
      <c r="J47" s="96"/>
      <c r="K47" s="102"/>
      <c r="L47" s="117"/>
    </row>
    <row r="48" ht="22.5" customHeight="1">
      <c r="A48" s="93">
        <v>45947.0</v>
      </c>
      <c r="B48" s="94" t="s">
        <v>82</v>
      </c>
      <c r="C48" s="95" t="s">
        <v>30</v>
      </c>
      <c r="D48" s="95" t="s">
        <v>98</v>
      </c>
      <c r="E48" s="96" t="s">
        <v>53</v>
      </c>
      <c r="F48" s="31">
        <v>89.0</v>
      </c>
      <c r="G48" s="117" t="s">
        <v>99</v>
      </c>
      <c r="H48" s="99"/>
      <c r="I48" s="100"/>
      <c r="J48" s="96"/>
      <c r="K48" s="101"/>
      <c r="L48" s="117"/>
    </row>
    <row r="49" ht="22.5" customHeight="1">
      <c r="A49" s="93">
        <v>45948.0</v>
      </c>
      <c r="B49" s="94"/>
      <c r="C49" s="95"/>
      <c r="D49" s="99"/>
      <c r="E49" s="96"/>
      <c r="F49" s="31"/>
      <c r="G49" s="118"/>
      <c r="H49" s="99"/>
      <c r="I49" s="100"/>
      <c r="J49" s="96"/>
      <c r="K49" s="102"/>
      <c r="L49" s="118"/>
    </row>
    <row r="50" ht="22.5" customHeight="1">
      <c r="A50" s="93">
        <v>45949.0</v>
      </c>
      <c r="B50" s="94" t="s">
        <v>82</v>
      </c>
      <c r="C50" s="99"/>
      <c r="D50" s="99"/>
      <c r="E50" s="110"/>
      <c r="F50" s="31"/>
      <c r="G50" s="106"/>
      <c r="H50" s="99"/>
      <c r="I50" s="100"/>
      <c r="J50" s="96"/>
      <c r="K50" s="101"/>
      <c r="L50" s="106"/>
    </row>
    <row r="51" ht="22.5" customHeight="1">
      <c r="A51" s="93">
        <v>45950.0</v>
      </c>
      <c r="B51" s="112" t="s">
        <v>82</v>
      </c>
      <c r="C51" s="113" t="s">
        <v>30</v>
      </c>
      <c r="D51" s="95" t="s">
        <v>98</v>
      </c>
      <c r="E51" s="119" t="s">
        <v>53</v>
      </c>
      <c r="F51" s="120">
        <v>90.0</v>
      </c>
      <c r="G51" s="121" t="s">
        <v>99</v>
      </c>
      <c r="H51" s="99"/>
      <c r="I51" s="100"/>
      <c r="J51" s="96"/>
      <c r="K51" s="102"/>
      <c r="L51" s="121"/>
    </row>
    <row r="52" ht="22.5" customHeight="1">
      <c r="A52" s="93">
        <v>45951.0</v>
      </c>
      <c r="B52" s="94" t="s">
        <v>82</v>
      </c>
      <c r="C52" s="99"/>
      <c r="D52" s="95" t="s">
        <v>29</v>
      </c>
      <c r="E52" s="96" t="s">
        <v>29</v>
      </c>
      <c r="F52" s="31"/>
      <c r="G52" s="106"/>
      <c r="H52" s="99"/>
      <c r="I52" s="100"/>
      <c r="J52" s="96"/>
      <c r="K52" s="101"/>
      <c r="L52" s="106"/>
    </row>
    <row r="53" ht="22.5" customHeight="1">
      <c r="A53" s="93">
        <v>45952.0</v>
      </c>
      <c r="B53" s="94" t="s">
        <v>82</v>
      </c>
      <c r="C53" s="99"/>
      <c r="D53" s="95" t="s">
        <v>29</v>
      </c>
      <c r="E53" s="96" t="s">
        <v>29</v>
      </c>
      <c r="F53" s="31"/>
      <c r="G53" s="106"/>
      <c r="H53" s="99"/>
      <c r="I53" s="100"/>
      <c r="J53" s="96"/>
      <c r="K53" s="102"/>
      <c r="L53" s="106"/>
    </row>
    <row r="54" ht="22.5" customHeight="1">
      <c r="A54" s="122">
        <v>45953.0</v>
      </c>
      <c r="B54" s="112" t="s">
        <v>82</v>
      </c>
      <c r="C54" s="113" t="s">
        <v>30</v>
      </c>
      <c r="D54" s="95" t="s">
        <v>98</v>
      </c>
      <c r="E54" s="123" t="s">
        <v>20</v>
      </c>
      <c r="F54" s="120">
        <v>70.0</v>
      </c>
      <c r="G54" s="121" t="s">
        <v>99</v>
      </c>
      <c r="H54" s="99"/>
      <c r="I54" s="100"/>
      <c r="J54" s="96"/>
      <c r="K54" s="101"/>
      <c r="L54" s="121"/>
    </row>
    <row r="55" ht="22.5" customHeight="1">
      <c r="A55" s="122">
        <v>45953.0</v>
      </c>
      <c r="B55" s="112" t="s">
        <v>82</v>
      </c>
      <c r="C55" s="113" t="s">
        <v>30</v>
      </c>
      <c r="D55" s="124" t="s">
        <v>100</v>
      </c>
      <c r="E55" s="123" t="s">
        <v>53</v>
      </c>
      <c r="F55" s="120">
        <v>7000.0</v>
      </c>
      <c r="G55" s="125"/>
      <c r="H55" s="99"/>
      <c r="I55" s="100"/>
      <c r="J55" s="96"/>
      <c r="K55" s="102"/>
      <c r="L55" s="125"/>
    </row>
    <row r="56" ht="22.5" customHeight="1">
      <c r="A56" s="93">
        <v>45954.0</v>
      </c>
      <c r="B56" s="112" t="s">
        <v>82</v>
      </c>
      <c r="C56" s="113" t="s">
        <v>30</v>
      </c>
      <c r="D56" s="124" t="s">
        <v>100</v>
      </c>
      <c r="E56" s="119" t="s">
        <v>53</v>
      </c>
      <c r="F56" s="120">
        <v>2000.0</v>
      </c>
      <c r="G56" s="117" t="s">
        <v>101</v>
      </c>
      <c r="H56" s="99"/>
      <c r="I56" s="100"/>
      <c r="J56" s="96"/>
      <c r="K56" s="101"/>
      <c r="L56" s="117"/>
    </row>
    <row r="57" ht="22.5" customHeight="1">
      <c r="A57" s="93">
        <v>45955.0</v>
      </c>
      <c r="B57" s="94" t="s">
        <v>82</v>
      </c>
      <c r="C57" s="99"/>
      <c r="D57" s="99"/>
      <c r="E57" s="110"/>
      <c r="F57" s="31"/>
      <c r="G57" s="106"/>
      <c r="H57" s="99"/>
      <c r="I57" s="100"/>
      <c r="J57" s="96"/>
      <c r="K57" s="102"/>
      <c r="L57" s="106"/>
    </row>
    <row r="58" ht="22.5" customHeight="1">
      <c r="A58" s="93">
        <v>45956.0</v>
      </c>
      <c r="B58" s="94" t="s">
        <v>82</v>
      </c>
      <c r="C58" s="99"/>
      <c r="D58" s="99"/>
      <c r="E58" s="110"/>
      <c r="F58" s="31"/>
      <c r="G58" s="106"/>
      <c r="H58" s="99"/>
      <c r="I58" s="100"/>
      <c r="J58" s="96"/>
      <c r="K58" s="101"/>
      <c r="L58" s="106"/>
    </row>
    <row r="59" ht="22.5" customHeight="1">
      <c r="A59" s="93">
        <v>45957.0</v>
      </c>
      <c r="B59" s="94" t="s">
        <v>82</v>
      </c>
      <c r="C59" s="95" t="s">
        <v>30</v>
      </c>
      <c r="D59" s="95" t="s">
        <v>100</v>
      </c>
      <c r="E59" s="96" t="s">
        <v>53</v>
      </c>
      <c r="F59" s="103">
        <v>13000.0</v>
      </c>
      <c r="G59" s="117" t="s">
        <v>101</v>
      </c>
      <c r="H59" s="99"/>
      <c r="I59" s="100"/>
      <c r="J59" s="96"/>
      <c r="K59" s="102"/>
      <c r="L59" s="117"/>
    </row>
    <row r="60" ht="22.5" customHeight="1">
      <c r="A60" s="93">
        <v>45958.0</v>
      </c>
      <c r="B60" s="94" t="s">
        <v>82</v>
      </c>
      <c r="C60" s="95" t="s">
        <v>83</v>
      </c>
      <c r="D60" s="95" t="s">
        <v>84</v>
      </c>
      <c r="E60" s="96" t="s">
        <v>53</v>
      </c>
      <c r="F60" s="31">
        <v>50.0</v>
      </c>
      <c r="G60" s="108" t="s">
        <v>102</v>
      </c>
      <c r="H60" s="99"/>
      <c r="I60" s="100"/>
      <c r="J60" s="96"/>
      <c r="K60" s="101"/>
      <c r="L60" s="108"/>
    </row>
    <row r="61" ht="22.5" customHeight="1">
      <c r="A61" s="93">
        <v>45959.0</v>
      </c>
      <c r="B61" s="94" t="s">
        <v>82</v>
      </c>
      <c r="C61" s="95" t="s">
        <v>83</v>
      </c>
      <c r="D61" s="95" t="s">
        <v>84</v>
      </c>
      <c r="E61" s="96" t="s">
        <v>53</v>
      </c>
      <c r="F61" s="24">
        <v>100.0</v>
      </c>
      <c r="G61" s="108" t="s">
        <v>103</v>
      </c>
      <c r="H61" s="99"/>
      <c r="I61" s="100"/>
      <c r="J61" s="96"/>
      <c r="K61" s="102"/>
      <c r="L61" s="108"/>
    </row>
    <row r="62" ht="22.5" customHeight="1">
      <c r="A62" s="93">
        <v>45960.0</v>
      </c>
      <c r="B62" s="94" t="s">
        <v>82</v>
      </c>
      <c r="C62" s="95" t="s">
        <v>83</v>
      </c>
      <c r="D62" s="95" t="s">
        <v>84</v>
      </c>
      <c r="E62" s="96" t="s">
        <v>53</v>
      </c>
      <c r="F62" s="24">
        <v>200.0</v>
      </c>
      <c r="G62" s="108" t="s">
        <v>103</v>
      </c>
      <c r="H62" s="99"/>
      <c r="I62" s="100"/>
      <c r="J62" s="96"/>
      <c r="K62" s="101"/>
      <c r="L62" s="108"/>
    </row>
    <row r="63" ht="22.5" customHeight="1">
      <c r="A63" s="93">
        <v>45961.0</v>
      </c>
      <c r="B63" s="94" t="s">
        <v>82</v>
      </c>
      <c r="C63" s="95" t="s">
        <v>83</v>
      </c>
      <c r="D63" s="95" t="s">
        <v>84</v>
      </c>
      <c r="E63" s="96" t="s">
        <v>53</v>
      </c>
      <c r="F63" s="24">
        <v>127.0</v>
      </c>
      <c r="G63" s="108" t="s">
        <v>103</v>
      </c>
      <c r="H63" s="99"/>
      <c r="I63" s="100"/>
      <c r="J63" s="96"/>
      <c r="K63" s="102"/>
      <c r="L63" s="108"/>
    </row>
    <row r="64" ht="22.5" customHeight="1">
      <c r="A64" s="93">
        <v>45962.0</v>
      </c>
      <c r="B64" s="94" t="s">
        <v>82</v>
      </c>
      <c r="C64" s="99"/>
      <c r="D64" s="99"/>
      <c r="E64" s="110"/>
      <c r="F64" s="31"/>
      <c r="G64" s="106"/>
      <c r="H64" s="99"/>
      <c r="I64" s="100"/>
      <c r="J64" s="96"/>
      <c r="K64" s="101"/>
      <c r="L64" s="106"/>
    </row>
    <row r="65" ht="22.5" customHeight="1">
      <c r="A65" s="93">
        <v>45963.0</v>
      </c>
      <c r="B65" s="94" t="s">
        <v>82</v>
      </c>
      <c r="C65" s="99"/>
      <c r="D65" s="99"/>
      <c r="E65" s="110"/>
      <c r="F65" s="31"/>
      <c r="G65" s="106"/>
      <c r="H65" s="99"/>
      <c r="I65" s="100"/>
      <c r="J65" s="96"/>
      <c r="K65" s="102"/>
      <c r="L65" s="106"/>
    </row>
    <row r="66" ht="22.5" customHeight="1">
      <c r="A66" s="93">
        <v>45964.0</v>
      </c>
      <c r="B66" s="94" t="s">
        <v>82</v>
      </c>
      <c r="C66" s="95" t="s">
        <v>83</v>
      </c>
      <c r="D66" s="95" t="s">
        <v>84</v>
      </c>
      <c r="E66" s="96" t="s">
        <v>53</v>
      </c>
      <c r="F66" s="111">
        <v>200.0</v>
      </c>
      <c r="G66" s="126" t="s">
        <v>104</v>
      </c>
      <c r="H66" s="99"/>
      <c r="I66" s="100"/>
      <c r="J66" s="96"/>
      <c r="K66" s="101"/>
      <c r="L66" s="126"/>
    </row>
    <row r="67" ht="22.5" customHeight="1">
      <c r="A67" s="93">
        <v>45965.0</v>
      </c>
      <c r="B67" s="94" t="s">
        <v>82</v>
      </c>
      <c r="C67" s="95" t="s">
        <v>83</v>
      </c>
      <c r="D67" s="95" t="s">
        <v>84</v>
      </c>
      <c r="E67" s="96" t="s">
        <v>53</v>
      </c>
      <c r="F67" s="111">
        <v>150.0</v>
      </c>
      <c r="G67" s="126" t="s">
        <v>105</v>
      </c>
      <c r="H67" s="99"/>
      <c r="I67" s="100"/>
      <c r="J67" s="96"/>
      <c r="K67" s="102"/>
      <c r="L67" s="126"/>
    </row>
    <row r="68" ht="22.5" customHeight="1">
      <c r="A68" s="93">
        <v>45966.0</v>
      </c>
      <c r="B68" s="94" t="s">
        <v>82</v>
      </c>
      <c r="C68" s="95" t="s">
        <v>83</v>
      </c>
      <c r="D68" s="95" t="s">
        <v>84</v>
      </c>
      <c r="E68" s="96" t="s">
        <v>20</v>
      </c>
      <c r="F68" s="111">
        <v>252.0</v>
      </c>
      <c r="G68" s="127" t="s">
        <v>106</v>
      </c>
      <c r="H68" s="99"/>
      <c r="I68" s="100"/>
      <c r="J68" s="96"/>
      <c r="K68" s="101"/>
      <c r="L68" s="127"/>
    </row>
    <row r="69" ht="22.5" customHeight="1">
      <c r="A69" s="93">
        <v>45967.0</v>
      </c>
      <c r="B69" s="94" t="s">
        <v>82</v>
      </c>
      <c r="C69" s="95" t="s">
        <v>83</v>
      </c>
      <c r="D69" s="95" t="s">
        <v>84</v>
      </c>
      <c r="E69" s="96" t="s">
        <v>53</v>
      </c>
      <c r="F69" s="111">
        <v>52.0</v>
      </c>
      <c r="G69" s="127" t="s">
        <v>106</v>
      </c>
      <c r="H69" s="99"/>
      <c r="I69" s="100"/>
      <c r="J69" s="96"/>
      <c r="K69" s="102"/>
      <c r="L69" s="127"/>
    </row>
    <row r="70" ht="22.5" customHeight="1">
      <c r="A70" s="93">
        <v>45968.0</v>
      </c>
      <c r="B70" s="94" t="s">
        <v>82</v>
      </c>
      <c r="C70" s="95" t="s">
        <v>83</v>
      </c>
      <c r="D70" s="95" t="s">
        <v>84</v>
      </c>
      <c r="E70" s="96" t="s">
        <v>53</v>
      </c>
      <c r="F70" s="111">
        <v>324.0</v>
      </c>
      <c r="G70" s="126" t="s">
        <v>107</v>
      </c>
      <c r="H70" s="99"/>
      <c r="I70" s="100"/>
      <c r="J70" s="96"/>
      <c r="K70" s="101"/>
      <c r="L70" s="126"/>
    </row>
    <row r="71" ht="22.5" customHeight="1">
      <c r="A71" s="93">
        <v>45969.0</v>
      </c>
      <c r="B71" s="94" t="s">
        <v>82</v>
      </c>
      <c r="C71" s="99"/>
      <c r="D71" s="99"/>
      <c r="E71" s="110"/>
      <c r="F71" s="31"/>
      <c r="G71" s="106"/>
      <c r="H71" s="99"/>
      <c r="I71" s="100"/>
      <c r="J71" s="96"/>
      <c r="K71" s="102"/>
      <c r="L71" s="106"/>
    </row>
    <row r="72" ht="22.5" customHeight="1">
      <c r="A72" s="93">
        <v>45970.0</v>
      </c>
      <c r="B72" s="94" t="s">
        <v>82</v>
      </c>
      <c r="C72" s="99"/>
      <c r="D72" s="99"/>
      <c r="E72" s="110"/>
      <c r="F72" s="31"/>
      <c r="G72" s="106"/>
      <c r="H72" s="99"/>
      <c r="I72" s="100"/>
      <c r="J72" s="96"/>
      <c r="K72" s="101"/>
      <c r="L72" s="106"/>
    </row>
    <row r="73" ht="22.5" customHeight="1">
      <c r="A73" s="93">
        <v>45971.0</v>
      </c>
      <c r="B73" s="94" t="s">
        <v>82</v>
      </c>
      <c r="C73" s="95" t="s">
        <v>83</v>
      </c>
      <c r="D73" s="95" t="s">
        <v>84</v>
      </c>
      <c r="E73" s="96" t="s">
        <v>53</v>
      </c>
      <c r="F73" s="111">
        <v>324.0</v>
      </c>
      <c r="G73" s="126" t="s">
        <v>108</v>
      </c>
      <c r="H73" s="99"/>
      <c r="I73" s="100"/>
      <c r="J73" s="96"/>
      <c r="K73" s="102"/>
      <c r="L73" s="126"/>
    </row>
    <row r="74" ht="22.5" customHeight="1">
      <c r="A74" s="93">
        <v>45972.0</v>
      </c>
      <c r="B74" s="94" t="s">
        <v>82</v>
      </c>
      <c r="C74" s="95" t="s">
        <v>83</v>
      </c>
      <c r="D74" s="95" t="s">
        <v>84</v>
      </c>
      <c r="E74" s="96" t="s">
        <v>20</v>
      </c>
      <c r="F74" s="111">
        <v>257.0</v>
      </c>
      <c r="G74" s="126" t="s">
        <v>109</v>
      </c>
      <c r="H74" s="99"/>
      <c r="I74" s="100"/>
      <c r="J74" s="96"/>
      <c r="K74" s="101"/>
      <c r="L74" s="126"/>
    </row>
    <row r="75" ht="22.5" customHeight="1">
      <c r="A75" s="93">
        <v>45973.0</v>
      </c>
      <c r="B75" s="94" t="s">
        <v>82</v>
      </c>
      <c r="C75" s="95" t="s">
        <v>83</v>
      </c>
      <c r="D75" s="95" t="s">
        <v>84</v>
      </c>
      <c r="E75" s="96" t="s">
        <v>53</v>
      </c>
      <c r="F75" s="111">
        <v>150.0</v>
      </c>
      <c r="G75" s="127" t="s">
        <v>110</v>
      </c>
      <c r="H75" s="99"/>
      <c r="I75" s="100"/>
      <c r="J75" s="96"/>
      <c r="K75" s="102"/>
      <c r="L75" s="127"/>
    </row>
    <row r="76" ht="22.5" customHeight="1">
      <c r="A76" s="93">
        <v>45974.0</v>
      </c>
      <c r="B76" s="94" t="s">
        <v>82</v>
      </c>
      <c r="C76" s="95" t="s">
        <v>83</v>
      </c>
      <c r="D76" s="95" t="s">
        <v>84</v>
      </c>
      <c r="E76" s="96" t="s">
        <v>53</v>
      </c>
      <c r="F76" s="111">
        <v>200.0</v>
      </c>
      <c r="G76" s="127" t="s">
        <v>111</v>
      </c>
      <c r="H76" s="99"/>
      <c r="I76" s="100"/>
      <c r="J76" s="96"/>
      <c r="K76" s="101"/>
      <c r="L76" s="127"/>
    </row>
    <row r="77" ht="22.5" customHeight="1">
      <c r="A77" s="93">
        <v>45975.0</v>
      </c>
      <c r="B77" s="94" t="s">
        <v>82</v>
      </c>
      <c r="C77" s="95" t="s">
        <v>83</v>
      </c>
      <c r="D77" s="95" t="s">
        <v>84</v>
      </c>
      <c r="E77" s="96" t="s">
        <v>20</v>
      </c>
      <c r="F77" s="111">
        <v>200.0</v>
      </c>
      <c r="G77" s="126" t="s">
        <v>112</v>
      </c>
      <c r="H77" s="99"/>
      <c r="I77" s="100"/>
      <c r="J77" s="96"/>
      <c r="K77" s="102"/>
      <c r="L77" s="126"/>
    </row>
    <row r="78" ht="22.5" customHeight="1">
      <c r="A78" s="93">
        <v>45976.0</v>
      </c>
      <c r="B78" s="94" t="s">
        <v>82</v>
      </c>
      <c r="C78" s="99"/>
      <c r="D78" s="99"/>
      <c r="E78" s="110"/>
      <c r="F78" s="31"/>
      <c r="G78" s="106"/>
      <c r="H78" s="99"/>
      <c r="I78" s="100"/>
      <c r="J78" s="96"/>
      <c r="K78" s="101"/>
      <c r="L78" s="106"/>
    </row>
    <row r="79" ht="22.5" customHeight="1">
      <c r="A79" s="93">
        <v>45977.0</v>
      </c>
      <c r="B79" s="94" t="s">
        <v>82</v>
      </c>
      <c r="C79" s="99"/>
      <c r="D79" s="99"/>
      <c r="E79" s="110"/>
      <c r="F79" s="31"/>
      <c r="G79" s="106"/>
      <c r="H79" s="99"/>
      <c r="I79" s="100"/>
      <c r="J79" s="96"/>
      <c r="K79" s="102"/>
      <c r="L79" s="106"/>
    </row>
    <row r="80" ht="22.5" customHeight="1">
      <c r="A80" s="93">
        <v>45978.0</v>
      </c>
      <c r="B80" s="94" t="s">
        <v>82</v>
      </c>
      <c r="C80" s="95" t="s">
        <v>83</v>
      </c>
      <c r="D80" s="95" t="s">
        <v>84</v>
      </c>
      <c r="E80" s="96" t="s">
        <v>53</v>
      </c>
      <c r="F80" s="111">
        <v>250.0</v>
      </c>
      <c r="G80" s="127" t="s">
        <v>113</v>
      </c>
      <c r="H80" s="99"/>
      <c r="I80" s="100"/>
      <c r="J80" s="96"/>
      <c r="K80" s="101"/>
      <c r="L80" s="127"/>
    </row>
    <row r="81" ht="22.5" customHeight="1">
      <c r="A81" s="93">
        <v>45979.0</v>
      </c>
      <c r="B81" s="94" t="s">
        <v>82</v>
      </c>
      <c r="C81" s="95" t="s">
        <v>83</v>
      </c>
      <c r="D81" s="95" t="s">
        <v>84</v>
      </c>
      <c r="E81" s="96" t="s">
        <v>20</v>
      </c>
      <c r="F81" s="111">
        <v>393.0</v>
      </c>
      <c r="G81" s="126" t="s">
        <v>114</v>
      </c>
      <c r="H81" s="99"/>
      <c r="I81" s="100"/>
      <c r="J81" s="96"/>
      <c r="K81" s="102"/>
      <c r="L81" s="126"/>
    </row>
    <row r="82" ht="22.5" customHeight="1">
      <c r="A82" s="93">
        <v>45980.0</v>
      </c>
      <c r="B82" s="94" t="s">
        <v>82</v>
      </c>
      <c r="C82" s="95" t="s">
        <v>70</v>
      </c>
      <c r="D82" s="95" t="s">
        <v>31</v>
      </c>
      <c r="E82" s="96" t="s">
        <v>20</v>
      </c>
      <c r="F82" s="111">
        <v>9.0</v>
      </c>
      <c r="G82" s="128" t="s">
        <v>115</v>
      </c>
      <c r="H82" s="99"/>
      <c r="I82" s="100"/>
      <c r="J82" s="96"/>
      <c r="K82" s="101"/>
      <c r="L82" s="128"/>
    </row>
    <row r="83" ht="22.5" customHeight="1">
      <c r="A83" s="93">
        <v>45981.0</v>
      </c>
      <c r="B83" s="94" t="s">
        <v>82</v>
      </c>
      <c r="C83" s="95" t="s">
        <v>83</v>
      </c>
      <c r="D83" s="95" t="s">
        <v>84</v>
      </c>
      <c r="E83" s="96" t="s">
        <v>20</v>
      </c>
      <c r="F83" s="111">
        <v>150.0</v>
      </c>
      <c r="G83" s="127" t="s">
        <v>116</v>
      </c>
      <c r="H83" s="99"/>
      <c r="I83" s="100"/>
      <c r="J83" s="96"/>
      <c r="K83" s="102"/>
      <c r="L83" s="127"/>
    </row>
    <row r="84" ht="22.5" customHeight="1">
      <c r="A84" s="93">
        <v>45982.0</v>
      </c>
      <c r="B84" s="94" t="s">
        <v>82</v>
      </c>
      <c r="C84" s="95" t="s">
        <v>70</v>
      </c>
      <c r="D84" s="95" t="s">
        <v>84</v>
      </c>
      <c r="E84" s="96" t="s">
        <v>20</v>
      </c>
      <c r="F84" s="111">
        <v>7.0</v>
      </c>
      <c r="G84" s="129" t="s">
        <v>117</v>
      </c>
      <c r="H84" s="99"/>
      <c r="I84" s="100"/>
      <c r="J84" s="96"/>
      <c r="K84" s="101"/>
      <c r="L84" s="129"/>
    </row>
    <row r="85" ht="22.5" customHeight="1">
      <c r="A85" s="93">
        <v>45983.0</v>
      </c>
      <c r="B85" s="94" t="s">
        <v>82</v>
      </c>
      <c r="C85" s="99"/>
      <c r="D85" s="99"/>
      <c r="E85" s="110"/>
      <c r="F85" s="31"/>
      <c r="G85" s="106"/>
      <c r="H85" s="99"/>
      <c r="I85" s="100"/>
      <c r="J85" s="96"/>
      <c r="K85" s="102"/>
      <c r="L85" s="106"/>
    </row>
    <row r="86" ht="22.5" customHeight="1">
      <c r="A86" s="93">
        <v>45984.0</v>
      </c>
      <c r="B86" s="94" t="s">
        <v>82</v>
      </c>
      <c r="C86" s="99"/>
      <c r="D86" s="99"/>
      <c r="E86" s="110"/>
      <c r="F86" s="31"/>
      <c r="G86" s="106"/>
      <c r="H86" s="99"/>
      <c r="I86" s="100"/>
      <c r="J86" s="96"/>
      <c r="K86" s="101"/>
      <c r="L86" s="106"/>
    </row>
    <row r="87" ht="22.5" customHeight="1">
      <c r="A87" s="93">
        <v>45985.0</v>
      </c>
      <c r="B87" s="94" t="s">
        <v>82</v>
      </c>
      <c r="C87" s="99"/>
      <c r="D87" s="95"/>
      <c r="E87" s="96" t="s">
        <v>29</v>
      </c>
      <c r="F87" s="31"/>
      <c r="G87" s="106"/>
      <c r="H87" s="99"/>
      <c r="I87" s="100"/>
      <c r="J87" s="96"/>
      <c r="K87" s="102"/>
      <c r="L87" s="106"/>
    </row>
    <row r="88" ht="22.5" customHeight="1">
      <c r="A88" s="93">
        <v>45986.0</v>
      </c>
      <c r="B88" s="94" t="s">
        <v>82</v>
      </c>
      <c r="C88" s="95" t="s">
        <v>70</v>
      </c>
      <c r="D88" s="95" t="s">
        <v>84</v>
      </c>
      <c r="E88" s="96" t="s">
        <v>20</v>
      </c>
      <c r="F88" s="111">
        <v>432.0</v>
      </c>
      <c r="G88" s="127" t="s">
        <v>118</v>
      </c>
      <c r="H88" s="99"/>
      <c r="I88" s="100"/>
      <c r="J88" s="96"/>
      <c r="K88" s="101"/>
      <c r="L88" s="127"/>
    </row>
    <row r="89" ht="22.5" customHeight="1">
      <c r="A89" s="93">
        <v>45987.0</v>
      </c>
      <c r="B89" s="94" t="s">
        <v>82</v>
      </c>
      <c r="C89" s="95" t="s">
        <v>70</v>
      </c>
      <c r="D89" s="95" t="s">
        <v>84</v>
      </c>
      <c r="E89" s="96" t="s">
        <v>20</v>
      </c>
      <c r="F89" s="111">
        <v>432.0</v>
      </c>
      <c r="G89" s="127" t="s">
        <v>119</v>
      </c>
      <c r="H89" s="99"/>
      <c r="I89" s="100"/>
      <c r="J89" s="96"/>
      <c r="K89" s="102"/>
      <c r="L89" s="127"/>
    </row>
    <row r="90" ht="22.5" customHeight="1">
      <c r="A90" s="93">
        <v>45988.0</v>
      </c>
      <c r="B90" s="94" t="s">
        <v>82</v>
      </c>
      <c r="C90" s="95" t="s">
        <v>70</v>
      </c>
      <c r="D90" s="95" t="s">
        <v>84</v>
      </c>
      <c r="E90" s="96" t="s">
        <v>20</v>
      </c>
      <c r="F90" s="111">
        <v>432.0</v>
      </c>
      <c r="G90" s="127" t="s">
        <v>120</v>
      </c>
      <c r="H90" s="99"/>
      <c r="I90" s="100"/>
      <c r="J90" s="96"/>
      <c r="K90" s="101"/>
      <c r="L90" s="127"/>
    </row>
    <row r="91" ht="22.5" customHeight="1">
      <c r="A91" s="93">
        <v>45989.0</v>
      </c>
      <c r="B91" s="94" t="s">
        <v>82</v>
      </c>
      <c r="C91" s="95" t="s">
        <v>70</v>
      </c>
      <c r="D91" s="95" t="s">
        <v>84</v>
      </c>
      <c r="E91" s="96" t="s">
        <v>20</v>
      </c>
      <c r="F91" s="111">
        <v>240.0</v>
      </c>
      <c r="G91" s="127" t="s">
        <v>121</v>
      </c>
      <c r="H91" s="99"/>
      <c r="I91" s="100"/>
      <c r="J91" s="96"/>
      <c r="K91" s="102"/>
      <c r="L91" s="127"/>
    </row>
    <row r="92" ht="22.5" customHeight="1">
      <c r="A92" s="93">
        <v>45990.0</v>
      </c>
      <c r="B92" s="94" t="s">
        <v>82</v>
      </c>
      <c r="C92" s="99"/>
      <c r="D92" s="99"/>
      <c r="E92" s="110"/>
      <c r="F92" s="31"/>
      <c r="G92" s="106"/>
      <c r="H92" s="99"/>
      <c r="I92" s="100"/>
      <c r="J92" s="96"/>
      <c r="K92" s="101"/>
      <c r="L92" s="106"/>
    </row>
    <row r="93" ht="22.5" customHeight="1">
      <c r="A93" s="93">
        <v>45991.0</v>
      </c>
      <c r="B93" s="94" t="s">
        <v>82</v>
      </c>
      <c r="C93" s="99"/>
      <c r="D93" s="99"/>
      <c r="E93" s="110"/>
      <c r="F93" s="31"/>
      <c r="G93" s="106"/>
      <c r="H93" s="99"/>
      <c r="I93" s="100"/>
      <c r="J93" s="96"/>
      <c r="K93" s="102"/>
      <c r="L93" s="106"/>
    </row>
    <row r="94" ht="22.5" customHeight="1">
      <c r="A94" s="93">
        <v>45992.0</v>
      </c>
      <c r="B94" s="94" t="s">
        <v>82</v>
      </c>
      <c r="C94" s="95" t="s">
        <v>70</v>
      </c>
      <c r="D94" s="95" t="s">
        <v>84</v>
      </c>
      <c r="E94" s="96" t="s">
        <v>20</v>
      </c>
      <c r="F94" s="52">
        <v>432.0</v>
      </c>
      <c r="G94" s="130" t="s">
        <v>122</v>
      </c>
      <c r="H94" s="99"/>
      <c r="I94" s="100"/>
      <c r="J94" s="96"/>
      <c r="K94" s="101"/>
      <c r="L94" s="130"/>
    </row>
    <row r="95" ht="22.5" customHeight="1">
      <c r="A95" s="93">
        <v>45993.0</v>
      </c>
      <c r="B95" s="94" t="s">
        <v>82</v>
      </c>
      <c r="C95" s="95" t="s">
        <v>70</v>
      </c>
      <c r="D95" s="95" t="s">
        <v>84</v>
      </c>
      <c r="E95" s="96" t="s">
        <v>20</v>
      </c>
      <c r="F95" s="52">
        <v>240.0</v>
      </c>
      <c r="G95" s="131" t="s">
        <v>123</v>
      </c>
      <c r="H95" s="99"/>
      <c r="I95" s="100"/>
      <c r="J95" s="96"/>
      <c r="K95" s="102"/>
      <c r="L95" s="131"/>
    </row>
    <row r="96" ht="22.5" customHeight="1">
      <c r="A96" s="93">
        <v>45994.0</v>
      </c>
      <c r="B96" s="94" t="s">
        <v>82</v>
      </c>
      <c r="C96" s="95" t="s">
        <v>70</v>
      </c>
      <c r="D96" s="95" t="s">
        <v>84</v>
      </c>
      <c r="E96" s="96" t="s">
        <v>20</v>
      </c>
      <c r="F96" s="52">
        <v>432.0</v>
      </c>
      <c r="G96" s="127" t="s">
        <v>124</v>
      </c>
      <c r="H96" s="99"/>
      <c r="I96" s="100"/>
      <c r="J96" s="96"/>
      <c r="K96" s="101"/>
      <c r="L96" s="127"/>
    </row>
    <row r="97" ht="22.5" customHeight="1">
      <c r="A97" s="93">
        <v>45995.0</v>
      </c>
      <c r="B97" s="94" t="s">
        <v>82</v>
      </c>
      <c r="C97" s="95" t="s">
        <v>70</v>
      </c>
      <c r="D97" s="95" t="s">
        <v>84</v>
      </c>
      <c r="E97" s="96" t="s">
        <v>20</v>
      </c>
      <c r="F97" s="52">
        <v>432.0</v>
      </c>
      <c r="G97" s="131" t="s">
        <v>125</v>
      </c>
      <c r="H97" s="99"/>
      <c r="I97" s="100"/>
      <c r="J97" s="96"/>
      <c r="K97" s="102"/>
      <c r="L97" s="131"/>
    </row>
    <row r="98" ht="22.5" customHeight="1">
      <c r="A98" s="93">
        <v>45996.0</v>
      </c>
      <c r="B98" s="94" t="s">
        <v>82</v>
      </c>
      <c r="C98" s="95"/>
      <c r="D98" s="95"/>
      <c r="E98" s="96" t="s">
        <v>29</v>
      </c>
      <c r="F98" s="31"/>
      <c r="G98" s="106"/>
      <c r="H98" s="99"/>
      <c r="I98" s="100"/>
      <c r="J98" s="96"/>
      <c r="K98" s="101"/>
      <c r="L98" s="106"/>
    </row>
    <row r="99" ht="22.5" customHeight="1">
      <c r="A99" s="93">
        <v>45997.0</v>
      </c>
      <c r="B99" s="94" t="s">
        <v>82</v>
      </c>
      <c r="C99" s="99"/>
      <c r="D99" s="99"/>
      <c r="E99" s="110"/>
      <c r="F99" s="31"/>
      <c r="G99" s="106"/>
      <c r="H99" s="99"/>
      <c r="I99" s="100"/>
      <c r="J99" s="96"/>
      <c r="K99" s="102"/>
      <c r="L99" s="106"/>
    </row>
    <row r="100" ht="22.5" customHeight="1">
      <c r="A100" s="93">
        <v>45998.0</v>
      </c>
      <c r="B100" s="94" t="s">
        <v>82</v>
      </c>
      <c r="C100" s="99"/>
      <c r="D100" s="99"/>
      <c r="E100" s="110"/>
      <c r="F100" s="31"/>
      <c r="G100" s="106"/>
      <c r="H100" s="99"/>
      <c r="I100" s="100"/>
      <c r="J100" s="96"/>
      <c r="K100" s="101"/>
      <c r="L100" s="106"/>
    </row>
    <row r="101" ht="22.5" customHeight="1">
      <c r="A101" s="93">
        <v>45999.0</v>
      </c>
      <c r="B101" s="94" t="s">
        <v>82</v>
      </c>
      <c r="C101" s="99"/>
      <c r="D101" s="95" t="s">
        <v>29</v>
      </c>
      <c r="E101" s="96" t="s">
        <v>29</v>
      </c>
      <c r="F101" s="31"/>
      <c r="G101" s="106"/>
      <c r="H101" s="99"/>
      <c r="I101" s="100"/>
      <c r="J101" s="96"/>
      <c r="K101" s="102"/>
      <c r="L101" s="106"/>
    </row>
    <row r="102" ht="22.5" customHeight="1">
      <c r="A102" s="93">
        <v>46000.0</v>
      </c>
      <c r="B102" s="94" t="s">
        <v>82</v>
      </c>
      <c r="C102" s="99"/>
      <c r="D102" s="95" t="s">
        <v>29</v>
      </c>
      <c r="E102" s="96" t="s">
        <v>29</v>
      </c>
      <c r="F102" s="31"/>
      <c r="G102" s="106"/>
      <c r="H102" s="99"/>
      <c r="I102" s="100"/>
      <c r="J102" s="96"/>
      <c r="K102" s="101"/>
      <c r="L102" s="106"/>
    </row>
    <row r="103" ht="22.5" customHeight="1">
      <c r="A103" s="93">
        <v>46001.0</v>
      </c>
      <c r="B103" s="94" t="s">
        <v>82</v>
      </c>
      <c r="C103" s="95" t="s">
        <v>70</v>
      </c>
      <c r="D103" s="95" t="s">
        <v>84</v>
      </c>
      <c r="E103" s="96" t="s">
        <v>20</v>
      </c>
      <c r="F103" s="24">
        <v>240.0</v>
      </c>
      <c r="G103" s="126" t="s">
        <v>126</v>
      </c>
      <c r="H103" s="99"/>
      <c r="I103" s="100"/>
      <c r="J103" s="96"/>
      <c r="K103" s="102"/>
      <c r="L103" s="126"/>
    </row>
    <row r="104" ht="22.5" customHeight="1">
      <c r="A104" s="93">
        <v>46002.0</v>
      </c>
      <c r="B104" s="94" t="s">
        <v>82</v>
      </c>
      <c r="C104" s="95" t="s">
        <v>70</v>
      </c>
      <c r="D104" s="95" t="s">
        <v>84</v>
      </c>
      <c r="E104" s="96" t="s">
        <v>53</v>
      </c>
      <c r="F104" s="24">
        <v>192.0</v>
      </c>
      <c r="G104" s="126" t="s">
        <v>127</v>
      </c>
      <c r="H104" s="99"/>
      <c r="I104" s="100"/>
      <c r="J104" s="96"/>
      <c r="K104" s="101"/>
      <c r="L104" s="126"/>
    </row>
    <row r="105" ht="22.5" customHeight="1">
      <c r="A105" s="93">
        <v>46003.0</v>
      </c>
      <c r="B105" s="94" t="s">
        <v>82</v>
      </c>
      <c r="C105" s="95" t="s">
        <v>70</v>
      </c>
      <c r="D105" s="95" t="s">
        <v>84</v>
      </c>
      <c r="E105" s="96" t="s">
        <v>20</v>
      </c>
      <c r="F105" s="24">
        <v>96.0</v>
      </c>
      <c r="G105" s="126" t="s">
        <v>128</v>
      </c>
      <c r="H105" s="99"/>
      <c r="I105" s="100"/>
      <c r="J105" s="96"/>
      <c r="K105" s="102"/>
      <c r="L105" s="126"/>
    </row>
    <row r="106" ht="22.5" customHeight="1">
      <c r="A106" s="93">
        <v>46004.0</v>
      </c>
      <c r="B106" s="94" t="s">
        <v>82</v>
      </c>
      <c r="C106" s="99"/>
      <c r="D106" s="99"/>
      <c r="E106" s="110"/>
      <c r="F106" s="31"/>
      <c r="G106" s="106"/>
      <c r="H106" s="99"/>
      <c r="I106" s="8"/>
      <c r="J106" s="96"/>
      <c r="K106" s="101"/>
      <c r="L106" s="106"/>
    </row>
    <row r="107" ht="22.5" customHeight="1">
      <c r="A107" s="93">
        <v>46005.0</v>
      </c>
      <c r="B107" s="94" t="s">
        <v>82</v>
      </c>
      <c r="C107" s="99"/>
      <c r="D107" s="99"/>
      <c r="E107" s="110"/>
      <c r="F107" s="31"/>
      <c r="G107" s="106"/>
      <c r="H107" s="99"/>
      <c r="I107" s="11"/>
      <c r="J107" s="96"/>
      <c r="K107" s="102"/>
      <c r="L107" s="106"/>
    </row>
    <row r="108" ht="22.5" customHeight="1">
      <c r="A108" s="93">
        <v>46006.0</v>
      </c>
      <c r="B108" s="94" t="s">
        <v>82</v>
      </c>
      <c r="C108" s="95" t="s">
        <v>70</v>
      </c>
      <c r="D108" s="95" t="s">
        <v>84</v>
      </c>
      <c r="E108" s="96" t="s">
        <v>20</v>
      </c>
      <c r="F108" s="24">
        <v>96.0</v>
      </c>
      <c r="G108" s="126" t="s">
        <v>129</v>
      </c>
      <c r="H108" s="99"/>
      <c r="I108" s="8"/>
      <c r="J108" s="96"/>
      <c r="K108" s="101"/>
      <c r="L108" s="126"/>
    </row>
    <row r="109" ht="22.5" customHeight="1">
      <c r="A109" s="93">
        <v>46007.0</v>
      </c>
      <c r="B109" s="94" t="s">
        <v>82</v>
      </c>
      <c r="C109" s="95" t="s">
        <v>83</v>
      </c>
      <c r="D109" s="95" t="s">
        <v>84</v>
      </c>
      <c r="E109" s="96" t="s">
        <v>53</v>
      </c>
      <c r="F109" s="24">
        <v>0.0</v>
      </c>
      <c r="G109" s="128" t="s">
        <v>130</v>
      </c>
      <c r="H109" s="99"/>
      <c r="I109" s="11"/>
      <c r="J109" s="96"/>
      <c r="K109" s="102"/>
      <c r="L109" s="128"/>
    </row>
    <row r="110" ht="22.5" customHeight="1">
      <c r="A110" s="93">
        <v>46008.0</v>
      </c>
      <c r="B110" s="94" t="s">
        <v>82</v>
      </c>
      <c r="C110" s="95" t="s">
        <v>83</v>
      </c>
      <c r="D110" s="95" t="s">
        <v>84</v>
      </c>
      <c r="E110" s="96" t="s">
        <v>20</v>
      </c>
      <c r="F110" s="24">
        <v>153.0</v>
      </c>
      <c r="G110" s="126" t="s">
        <v>131</v>
      </c>
      <c r="H110" s="99"/>
      <c r="I110" s="8"/>
      <c r="J110" s="96"/>
      <c r="K110" s="101"/>
      <c r="L110" s="126"/>
    </row>
    <row r="111" ht="22.5" customHeight="1">
      <c r="A111" s="93">
        <v>46009.0</v>
      </c>
      <c r="B111" s="94" t="s">
        <v>82</v>
      </c>
      <c r="C111" s="95" t="s">
        <v>83</v>
      </c>
      <c r="D111" s="95" t="s">
        <v>84</v>
      </c>
      <c r="E111" s="96" t="s">
        <v>53</v>
      </c>
      <c r="F111" s="24">
        <v>120.0</v>
      </c>
      <c r="G111" s="108" t="s">
        <v>132</v>
      </c>
      <c r="H111" s="99"/>
      <c r="I111" s="11"/>
      <c r="J111" s="96"/>
      <c r="K111" s="102"/>
      <c r="L111" s="108"/>
    </row>
    <row r="112" ht="22.5" customHeight="1">
      <c r="A112" s="93">
        <v>46010.0</v>
      </c>
      <c r="B112" s="94" t="s">
        <v>82</v>
      </c>
      <c r="C112" s="95" t="s">
        <v>83</v>
      </c>
      <c r="D112" s="95" t="s">
        <v>84</v>
      </c>
      <c r="E112" s="96" t="s">
        <v>20</v>
      </c>
      <c r="F112" s="24">
        <v>40.0</v>
      </c>
      <c r="G112" s="108" t="s">
        <v>133</v>
      </c>
      <c r="H112" s="99"/>
      <c r="I112" s="8"/>
      <c r="J112" s="96"/>
      <c r="K112" s="101"/>
      <c r="L112" s="108"/>
    </row>
    <row r="113" ht="22.5" customHeight="1">
      <c r="A113" s="93">
        <v>46011.0</v>
      </c>
      <c r="B113" s="94" t="s">
        <v>82</v>
      </c>
      <c r="C113" s="99"/>
      <c r="D113" s="99"/>
      <c r="E113" s="110"/>
      <c r="F113" s="31"/>
      <c r="G113" s="106"/>
      <c r="H113" s="99"/>
      <c r="I113" s="11"/>
      <c r="J113" s="96"/>
      <c r="K113" s="102"/>
      <c r="L113" s="106"/>
    </row>
    <row r="114" ht="22.5" customHeight="1">
      <c r="A114" s="93">
        <v>46012.0</v>
      </c>
      <c r="B114" s="94" t="s">
        <v>82</v>
      </c>
      <c r="C114" s="99"/>
      <c r="D114" s="99"/>
      <c r="E114" s="110"/>
      <c r="F114" s="31"/>
      <c r="G114" s="106"/>
      <c r="H114" s="99"/>
      <c r="I114" s="8"/>
      <c r="J114" s="96"/>
      <c r="K114" s="101"/>
      <c r="L114" s="106"/>
    </row>
    <row r="115" ht="22.5" customHeight="1">
      <c r="A115" s="93">
        <v>46013.0</v>
      </c>
      <c r="B115" s="94" t="s">
        <v>82</v>
      </c>
      <c r="C115" s="95" t="s">
        <v>83</v>
      </c>
      <c r="D115" s="95" t="s">
        <v>84</v>
      </c>
      <c r="E115" s="96" t="s">
        <v>20</v>
      </c>
      <c r="F115" s="132">
        <v>100.0</v>
      </c>
      <c r="G115" s="126" t="s">
        <v>134</v>
      </c>
      <c r="H115" s="99"/>
      <c r="I115" s="11"/>
      <c r="J115" s="96"/>
      <c r="K115" s="102"/>
      <c r="L115" s="126"/>
    </row>
    <row r="116" ht="22.5" customHeight="1">
      <c r="A116" s="93">
        <v>46014.0</v>
      </c>
      <c r="B116" s="94" t="s">
        <v>82</v>
      </c>
      <c r="C116" s="95" t="s">
        <v>40</v>
      </c>
      <c r="D116" s="95" t="s">
        <v>47</v>
      </c>
      <c r="E116" s="96" t="s">
        <v>53</v>
      </c>
      <c r="F116" s="24">
        <v>125.0</v>
      </c>
      <c r="G116" s="128" t="s">
        <v>135</v>
      </c>
      <c r="H116" s="99"/>
      <c r="I116" s="8"/>
      <c r="J116" s="96"/>
      <c r="K116" s="101"/>
      <c r="L116" s="128"/>
    </row>
    <row r="117" ht="22.5" customHeight="1">
      <c r="A117" s="93">
        <v>46015.0</v>
      </c>
      <c r="B117" s="94" t="s">
        <v>82</v>
      </c>
      <c r="C117" s="95" t="s">
        <v>40</v>
      </c>
      <c r="D117" s="95" t="s">
        <v>47</v>
      </c>
      <c r="E117" s="96" t="s">
        <v>20</v>
      </c>
      <c r="F117" s="24">
        <v>125.0</v>
      </c>
      <c r="G117" s="128" t="s">
        <v>135</v>
      </c>
      <c r="H117" s="99"/>
      <c r="I117" s="11"/>
      <c r="J117" s="96"/>
      <c r="K117" s="102"/>
      <c r="L117" s="128"/>
    </row>
    <row r="118" ht="22.5" customHeight="1">
      <c r="A118" s="93">
        <v>46016.0</v>
      </c>
      <c r="B118" s="94" t="s">
        <v>82</v>
      </c>
      <c r="C118" s="99"/>
      <c r="D118" s="95"/>
      <c r="E118" s="96" t="s">
        <v>29</v>
      </c>
      <c r="F118" s="31"/>
      <c r="G118" s="106" t="s">
        <v>136</v>
      </c>
      <c r="H118" s="99"/>
      <c r="I118" s="8"/>
      <c r="J118" s="96"/>
      <c r="K118" s="101"/>
      <c r="L118" s="106"/>
    </row>
    <row r="119" ht="22.5" customHeight="1">
      <c r="A119" s="93">
        <v>46017.0</v>
      </c>
      <c r="B119" s="94" t="s">
        <v>82</v>
      </c>
      <c r="C119" s="95" t="s">
        <v>83</v>
      </c>
      <c r="D119" s="95" t="s">
        <v>84</v>
      </c>
      <c r="E119" s="96" t="s">
        <v>53</v>
      </c>
      <c r="F119" s="31">
        <v>317.0</v>
      </c>
      <c r="G119" s="106"/>
      <c r="H119" s="99"/>
      <c r="I119" s="11"/>
      <c r="J119" s="96"/>
      <c r="K119" s="102"/>
      <c r="L119" s="106"/>
    </row>
    <row r="120" ht="22.5" customHeight="1">
      <c r="A120" s="93">
        <v>46018.0</v>
      </c>
      <c r="B120" s="94" t="s">
        <v>82</v>
      </c>
      <c r="C120" s="99"/>
      <c r="D120" s="99"/>
      <c r="E120" s="110"/>
      <c r="F120" s="31"/>
      <c r="G120" s="106"/>
      <c r="H120" s="99"/>
      <c r="I120" s="37"/>
      <c r="J120" s="96"/>
      <c r="K120" s="133"/>
      <c r="L120" s="106"/>
    </row>
    <row r="121" ht="22.5" customHeight="1">
      <c r="A121" s="93">
        <v>46019.0</v>
      </c>
      <c r="B121" s="94" t="s">
        <v>82</v>
      </c>
      <c r="C121" s="99"/>
      <c r="D121" s="99"/>
      <c r="E121" s="110"/>
      <c r="F121" s="31"/>
      <c r="G121" s="106"/>
      <c r="H121" s="99"/>
      <c r="I121" s="41"/>
      <c r="J121" s="96"/>
      <c r="K121" s="134"/>
      <c r="L121" s="106"/>
    </row>
    <row r="122" ht="22.5" customHeight="1">
      <c r="A122" s="93">
        <v>46020.0</v>
      </c>
      <c r="B122" s="94" t="s">
        <v>82</v>
      </c>
      <c r="C122" s="95" t="s">
        <v>83</v>
      </c>
      <c r="D122" s="95" t="s">
        <v>84</v>
      </c>
      <c r="E122" s="96" t="s">
        <v>53</v>
      </c>
      <c r="F122" s="31">
        <v>280.0</v>
      </c>
      <c r="G122" s="108" t="s">
        <v>137</v>
      </c>
      <c r="H122" s="99"/>
      <c r="I122" s="37"/>
      <c r="J122" s="96"/>
      <c r="K122" s="133"/>
      <c r="L122" s="108"/>
    </row>
    <row r="123" ht="22.5" customHeight="1">
      <c r="A123" s="93">
        <v>46021.0</v>
      </c>
      <c r="B123" s="94" t="s">
        <v>82</v>
      </c>
      <c r="C123" s="99"/>
      <c r="D123" s="99"/>
      <c r="E123" s="96" t="s">
        <v>29</v>
      </c>
      <c r="F123" s="31"/>
      <c r="G123" s="106"/>
      <c r="H123" s="99"/>
      <c r="I123" s="41"/>
      <c r="J123" s="96"/>
      <c r="K123" s="134"/>
      <c r="L123" s="106"/>
    </row>
    <row r="124" ht="22.5" customHeight="1">
      <c r="A124" s="93">
        <v>46022.0</v>
      </c>
      <c r="B124" s="94" t="s">
        <v>82</v>
      </c>
      <c r="C124" s="99"/>
      <c r="D124" s="99"/>
      <c r="E124" s="96" t="s">
        <v>29</v>
      </c>
      <c r="F124" s="31"/>
      <c r="G124" s="106"/>
      <c r="H124" s="99"/>
      <c r="I124" s="37"/>
      <c r="J124" s="96"/>
      <c r="K124" s="133"/>
      <c r="L124" s="106"/>
    </row>
    <row r="125" ht="22.5" customHeight="1">
      <c r="A125" s="93">
        <v>46023.0</v>
      </c>
      <c r="B125" s="94" t="s">
        <v>82</v>
      </c>
      <c r="C125" s="99"/>
      <c r="D125" s="99"/>
      <c r="E125" s="96" t="s">
        <v>29</v>
      </c>
      <c r="F125" s="31"/>
      <c r="G125" s="106"/>
      <c r="H125" s="99"/>
      <c r="I125" s="41"/>
      <c r="J125" s="96"/>
      <c r="K125" s="134"/>
      <c r="L125" s="106"/>
    </row>
    <row r="126" ht="22.5" customHeight="1">
      <c r="A126" s="93">
        <v>46024.0</v>
      </c>
      <c r="B126" s="94" t="s">
        <v>82</v>
      </c>
      <c r="C126" s="99"/>
      <c r="D126" s="99"/>
      <c r="E126" s="96" t="s">
        <v>29</v>
      </c>
      <c r="F126" s="31"/>
      <c r="G126" s="106"/>
      <c r="H126" s="99"/>
      <c r="I126" s="37"/>
      <c r="J126" s="96"/>
      <c r="K126" s="133"/>
      <c r="L126" s="106"/>
    </row>
    <row r="127" ht="22.5" customHeight="1">
      <c r="A127" s="93">
        <v>46025.0</v>
      </c>
      <c r="B127" s="94" t="s">
        <v>82</v>
      </c>
      <c r="C127" s="99"/>
      <c r="D127" s="99"/>
      <c r="E127" s="110"/>
      <c r="F127" s="31"/>
      <c r="G127" s="106"/>
      <c r="H127" s="99"/>
      <c r="I127" s="41"/>
      <c r="J127" s="96"/>
      <c r="K127" s="134"/>
      <c r="L127" s="106"/>
    </row>
    <row r="128" ht="22.5" customHeight="1">
      <c r="A128" s="93">
        <v>46026.0</v>
      </c>
      <c r="B128" s="94" t="s">
        <v>82</v>
      </c>
      <c r="C128" s="99"/>
      <c r="D128" s="99"/>
      <c r="E128" s="110"/>
      <c r="F128" s="31"/>
      <c r="G128" s="106"/>
      <c r="H128" s="99"/>
      <c r="I128" s="37"/>
      <c r="J128" s="96"/>
      <c r="K128" s="133"/>
      <c r="L128" s="106"/>
    </row>
    <row r="129" ht="22.5" customHeight="1">
      <c r="A129" s="93">
        <v>46027.0</v>
      </c>
      <c r="B129" s="94" t="s">
        <v>82</v>
      </c>
      <c r="C129" s="99"/>
      <c r="D129" s="99"/>
      <c r="E129" s="96" t="s">
        <v>29</v>
      </c>
      <c r="F129" s="31"/>
      <c r="G129" s="106"/>
      <c r="H129" s="99"/>
      <c r="I129" s="41"/>
      <c r="J129" s="96"/>
      <c r="K129" s="134"/>
      <c r="L129" s="106"/>
    </row>
    <row r="130" ht="22.5" customHeight="1">
      <c r="A130" s="93">
        <v>46028.0</v>
      </c>
      <c r="B130" s="94" t="s">
        <v>82</v>
      </c>
      <c r="C130" s="95" t="s">
        <v>83</v>
      </c>
      <c r="D130" s="95" t="s">
        <v>84</v>
      </c>
      <c r="E130" s="96" t="s">
        <v>53</v>
      </c>
      <c r="F130" s="31">
        <v>213.0</v>
      </c>
      <c r="G130" s="108" t="s">
        <v>138</v>
      </c>
      <c r="H130" s="99"/>
      <c r="I130" s="37"/>
      <c r="J130" s="96"/>
      <c r="K130" s="133"/>
      <c r="L130" s="108"/>
    </row>
    <row r="131" ht="22.5" customHeight="1">
      <c r="A131" s="93">
        <v>46029.0</v>
      </c>
      <c r="B131" s="94" t="s">
        <v>82</v>
      </c>
      <c r="C131" s="95" t="s">
        <v>83</v>
      </c>
      <c r="D131" s="95" t="s">
        <v>84</v>
      </c>
      <c r="E131" s="96" t="s">
        <v>20</v>
      </c>
      <c r="F131" s="31">
        <v>400.0</v>
      </c>
      <c r="G131" s="108" t="s">
        <v>139</v>
      </c>
      <c r="H131" s="99"/>
      <c r="I131" s="41"/>
      <c r="J131" s="96"/>
      <c r="K131" s="134"/>
      <c r="L131" s="108"/>
    </row>
    <row r="132" ht="22.5" customHeight="1">
      <c r="A132" s="93">
        <v>46030.0</v>
      </c>
      <c r="B132" s="94" t="s">
        <v>82</v>
      </c>
      <c r="C132" s="95" t="s">
        <v>83</v>
      </c>
      <c r="D132" s="95" t="s">
        <v>84</v>
      </c>
      <c r="E132" s="96" t="s">
        <v>53</v>
      </c>
      <c r="F132" s="31">
        <v>360.0</v>
      </c>
      <c r="G132" s="108" t="s">
        <v>140</v>
      </c>
      <c r="H132" s="99"/>
      <c r="I132" s="37"/>
      <c r="J132" s="96"/>
      <c r="K132" s="133"/>
      <c r="L132" s="108"/>
    </row>
    <row r="133" ht="22.5" customHeight="1">
      <c r="A133" s="93">
        <v>46031.0</v>
      </c>
      <c r="B133" s="94" t="s">
        <v>82</v>
      </c>
      <c r="C133" s="95" t="s">
        <v>83</v>
      </c>
      <c r="D133" s="95" t="s">
        <v>84</v>
      </c>
      <c r="E133" s="96" t="s">
        <v>53</v>
      </c>
      <c r="F133" s="31"/>
      <c r="G133" s="106"/>
      <c r="H133" s="99"/>
      <c r="I133" s="41"/>
      <c r="J133" s="96"/>
      <c r="K133" s="134"/>
      <c r="L133" s="106"/>
    </row>
    <row r="134" ht="22.5" customHeight="1">
      <c r="A134" s="93">
        <v>46032.0</v>
      </c>
      <c r="B134" s="94" t="s">
        <v>82</v>
      </c>
      <c r="C134" s="99"/>
      <c r="D134" s="99"/>
      <c r="E134" s="110"/>
      <c r="F134" s="31"/>
      <c r="G134" s="106"/>
      <c r="H134" s="99"/>
      <c r="I134" s="37"/>
      <c r="J134" s="96"/>
      <c r="K134" s="133"/>
      <c r="L134" s="106"/>
    </row>
    <row r="135" ht="22.5" customHeight="1">
      <c r="A135" s="93">
        <v>46033.0</v>
      </c>
      <c r="B135" s="94" t="s">
        <v>82</v>
      </c>
      <c r="C135" s="99"/>
      <c r="D135" s="99"/>
      <c r="E135" s="110"/>
      <c r="F135" s="31"/>
      <c r="G135" s="106"/>
      <c r="H135" s="99"/>
      <c r="I135" s="41"/>
      <c r="J135" s="96"/>
      <c r="K135" s="134"/>
      <c r="L135" s="106"/>
    </row>
    <row r="136" ht="22.5" customHeight="1">
      <c r="A136" s="93">
        <v>46034.0</v>
      </c>
      <c r="B136" s="94" t="s">
        <v>82</v>
      </c>
      <c r="C136" s="99"/>
      <c r="D136" s="99"/>
      <c r="E136" s="110"/>
      <c r="F136" s="31"/>
      <c r="G136" s="106"/>
      <c r="H136" s="99"/>
      <c r="I136" s="37"/>
      <c r="J136" s="96"/>
      <c r="K136" s="133"/>
      <c r="L136" s="106"/>
    </row>
    <row r="137" ht="22.5" customHeight="1">
      <c r="A137" s="93">
        <v>46035.0</v>
      </c>
      <c r="B137" s="94" t="s">
        <v>82</v>
      </c>
      <c r="C137" s="99"/>
      <c r="D137" s="99"/>
      <c r="E137" s="110"/>
      <c r="F137" s="31"/>
      <c r="G137" s="106"/>
      <c r="H137" s="99"/>
      <c r="I137" s="41"/>
      <c r="J137" s="96"/>
      <c r="K137" s="134"/>
      <c r="L137" s="106"/>
    </row>
    <row r="138" ht="22.5" customHeight="1">
      <c r="A138" s="93">
        <v>46036.0</v>
      </c>
      <c r="B138" s="94" t="s">
        <v>82</v>
      </c>
      <c r="C138" s="99"/>
      <c r="D138" s="99"/>
      <c r="E138" s="110"/>
      <c r="F138" s="31"/>
      <c r="G138" s="106"/>
      <c r="H138" s="99"/>
      <c r="I138" s="37"/>
      <c r="J138" s="96"/>
      <c r="K138" s="133"/>
      <c r="L138" s="106"/>
    </row>
    <row r="139" ht="22.5" customHeight="1">
      <c r="A139" s="93">
        <v>46037.0</v>
      </c>
      <c r="B139" s="94" t="s">
        <v>82</v>
      </c>
      <c r="C139" s="99"/>
      <c r="D139" s="99"/>
      <c r="E139" s="110"/>
      <c r="F139" s="31"/>
      <c r="G139" s="106"/>
      <c r="H139" s="99"/>
      <c r="I139" s="41"/>
      <c r="J139" s="96"/>
      <c r="K139" s="134"/>
      <c r="L139" s="106"/>
    </row>
    <row r="140" ht="22.5" customHeight="1">
      <c r="A140" s="93">
        <v>46038.0</v>
      </c>
      <c r="B140" s="94" t="s">
        <v>82</v>
      </c>
      <c r="C140" s="99"/>
      <c r="D140" s="99"/>
      <c r="E140" s="110"/>
      <c r="F140" s="31"/>
      <c r="G140" s="106"/>
      <c r="H140" s="99"/>
      <c r="I140" s="37"/>
      <c r="J140" s="96"/>
      <c r="K140" s="133"/>
      <c r="L140" s="106"/>
    </row>
    <row r="141" ht="22.5" customHeight="1">
      <c r="A141" s="93">
        <v>46039.0</v>
      </c>
      <c r="B141" s="94" t="s">
        <v>82</v>
      </c>
      <c r="C141" s="99"/>
      <c r="D141" s="99"/>
      <c r="E141" s="110"/>
      <c r="F141" s="31"/>
      <c r="G141" s="106"/>
      <c r="H141" s="99"/>
      <c r="I141" s="41"/>
      <c r="J141" s="96"/>
      <c r="K141" s="134"/>
      <c r="L141" s="106"/>
    </row>
    <row r="142" ht="22.5" customHeight="1">
      <c r="A142" s="93">
        <v>46040.0</v>
      </c>
      <c r="B142" s="94" t="s">
        <v>82</v>
      </c>
      <c r="C142" s="99"/>
      <c r="D142" s="99"/>
      <c r="E142" s="110"/>
      <c r="F142" s="31"/>
      <c r="G142" s="106"/>
      <c r="H142" s="99"/>
      <c r="I142" s="37"/>
      <c r="J142" s="96"/>
      <c r="K142" s="133"/>
      <c r="L142" s="106"/>
    </row>
    <row r="143" ht="22.5" customHeight="1">
      <c r="A143" s="93">
        <v>46041.0</v>
      </c>
      <c r="B143" s="94" t="s">
        <v>82</v>
      </c>
      <c r="C143" s="99"/>
      <c r="D143" s="99"/>
      <c r="E143" s="110"/>
      <c r="F143" s="31"/>
      <c r="G143" s="106"/>
      <c r="H143" s="99"/>
      <c r="I143" s="41"/>
      <c r="J143" s="96"/>
      <c r="K143" s="134"/>
      <c r="L143" s="106"/>
    </row>
    <row r="144" ht="22.5" customHeight="1">
      <c r="A144" s="93">
        <v>46042.0</v>
      </c>
      <c r="B144" s="94" t="s">
        <v>82</v>
      </c>
      <c r="C144" s="99"/>
      <c r="D144" s="99"/>
      <c r="E144" s="110"/>
      <c r="F144" s="31"/>
      <c r="G144" s="106"/>
      <c r="H144" s="99"/>
      <c r="I144" s="37"/>
      <c r="J144" s="96"/>
      <c r="K144" s="133"/>
      <c r="L144" s="106"/>
    </row>
    <row r="145" ht="22.5" customHeight="1">
      <c r="A145" s="93">
        <v>46043.0</v>
      </c>
      <c r="B145" s="94" t="s">
        <v>82</v>
      </c>
      <c r="C145" s="99"/>
      <c r="D145" s="99"/>
      <c r="E145" s="110"/>
      <c r="F145" s="31"/>
      <c r="G145" s="106"/>
      <c r="H145" s="99"/>
      <c r="I145" s="41"/>
      <c r="J145" s="96"/>
      <c r="K145" s="134"/>
      <c r="L145" s="106"/>
    </row>
    <row r="146" ht="22.5" customHeight="1">
      <c r="A146" s="93">
        <v>46044.0</v>
      </c>
      <c r="B146" s="94" t="s">
        <v>82</v>
      </c>
      <c r="C146" s="99"/>
      <c r="D146" s="99"/>
      <c r="E146" s="110"/>
      <c r="F146" s="31"/>
      <c r="G146" s="106"/>
      <c r="H146" s="99"/>
      <c r="I146" s="37"/>
      <c r="J146" s="96"/>
      <c r="K146" s="133"/>
      <c r="L146" s="106"/>
    </row>
    <row r="147" ht="22.5" customHeight="1">
      <c r="A147" s="93">
        <v>46045.0</v>
      </c>
      <c r="B147" s="94" t="s">
        <v>82</v>
      </c>
      <c r="C147" s="99"/>
      <c r="D147" s="99"/>
      <c r="E147" s="110"/>
      <c r="F147" s="31"/>
      <c r="G147" s="106"/>
      <c r="H147" s="99"/>
      <c r="I147" s="41"/>
      <c r="J147" s="96"/>
      <c r="K147" s="134"/>
      <c r="L147" s="106"/>
    </row>
    <row r="148" ht="22.5" customHeight="1">
      <c r="A148" s="93">
        <v>46046.0</v>
      </c>
      <c r="B148" s="94" t="s">
        <v>82</v>
      </c>
      <c r="C148" s="99"/>
      <c r="D148" s="99"/>
      <c r="E148" s="110"/>
      <c r="F148" s="31"/>
      <c r="G148" s="106"/>
      <c r="H148" s="99"/>
      <c r="I148" s="37"/>
      <c r="J148" s="96"/>
      <c r="K148" s="133"/>
      <c r="L148" s="106"/>
    </row>
    <row r="149" ht="22.5" customHeight="1">
      <c r="A149" s="93">
        <v>46047.0</v>
      </c>
      <c r="B149" s="94" t="s">
        <v>82</v>
      </c>
      <c r="C149" s="99"/>
      <c r="D149" s="99"/>
      <c r="E149" s="110"/>
      <c r="F149" s="31"/>
      <c r="G149" s="106"/>
      <c r="H149" s="99"/>
      <c r="I149" s="41"/>
      <c r="J149" s="96"/>
      <c r="K149" s="134"/>
      <c r="L149" s="106"/>
    </row>
    <row r="150" ht="22.5" customHeight="1">
      <c r="A150" s="93">
        <v>46048.0</v>
      </c>
      <c r="B150" s="94" t="s">
        <v>82</v>
      </c>
      <c r="C150" s="99"/>
      <c r="D150" s="99"/>
      <c r="E150" s="110"/>
      <c r="F150" s="31"/>
      <c r="G150" s="106"/>
      <c r="H150" s="99"/>
      <c r="I150" s="37"/>
      <c r="J150" s="96"/>
      <c r="K150" s="133"/>
      <c r="L150" s="106"/>
    </row>
    <row r="151" ht="22.5" customHeight="1">
      <c r="A151" s="93">
        <v>46049.0</v>
      </c>
      <c r="B151" s="94" t="s">
        <v>82</v>
      </c>
      <c r="C151" s="99"/>
      <c r="D151" s="99"/>
      <c r="E151" s="110"/>
      <c r="F151" s="31"/>
      <c r="G151" s="106"/>
      <c r="H151" s="99"/>
      <c r="I151" s="41"/>
      <c r="J151" s="96"/>
      <c r="K151" s="134"/>
      <c r="L151" s="106"/>
    </row>
    <row r="152" ht="22.5" customHeight="1">
      <c r="A152" s="93">
        <v>46050.0</v>
      </c>
      <c r="B152" s="94" t="s">
        <v>82</v>
      </c>
      <c r="C152" s="99"/>
      <c r="D152" s="99"/>
      <c r="E152" s="110"/>
      <c r="F152" s="31"/>
      <c r="G152" s="106"/>
      <c r="H152" s="99"/>
      <c r="I152" s="37"/>
      <c r="J152" s="96"/>
      <c r="K152" s="133"/>
      <c r="L152" s="106"/>
    </row>
    <row r="153" ht="22.5" customHeight="1">
      <c r="A153" s="93">
        <v>46051.0</v>
      </c>
      <c r="B153" s="94" t="s">
        <v>82</v>
      </c>
      <c r="C153" s="99"/>
      <c r="D153" s="99"/>
      <c r="E153" s="110"/>
      <c r="F153" s="31"/>
      <c r="G153" s="106"/>
      <c r="H153" s="99"/>
      <c r="I153" s="41"/>
      <c r="J153" s="96"/>
      <c r="K153" s="134"/>
      <c r="L153" s="106"/>
    </row>
    <row r="154" ht="22.5" customHeight="1">
      <c r="A154" s="93">
        <v>46052.0</v>
      </c>
      <c r="B154" s="94" t="s">
        <v>82</v>
      </c>
      <c r="C154" s="99"/>
      <c r="D154" s="99"/>
      <c r="E154" s="110"/>
      <c r="F154" s="31"/>
      <c r="G154" s="106"/>
      <c r="H154" s="99"/>
      <c r="I154" s="37"/>
      <c r="J154" s="96"/>
      <c r="K154" s="133"/>
      <c r="L154" s="106"/>
    </row>
    <row r="155" ht="22.5" customHeight="1">
      <c r="A155" s="93">
        <v>46053.0</v>
      </c>
      <c r="B155" s="94" t="s">
        <v>82</v>
      </c>
      <c r="C155" s="99"/>
      <c r="D155" s="99"/>
      <c r="E155" s="110"/>
      <c r="F155" s="31"/>
      <c r="G155" s="106"/>
      <c r="H155" s="99"/>
      <c r="I155" s="41"/>
      <c r="J155" s="96"/>
      <c r="K155" s="134"/>
      <c r="L155" s="106"/>
    </row>
    <row r="156" ht="22.5" customHeight="1">
      <c r="A156" s="93">
        <v>46054.0</v>
      </c>
      <c r="B156" s="94" t="s">
        <v>82</v>
      </c>
      <c r="C156" s="99"/>
      <c r="D156" s="99"/>
      <c r="E156" s="110"/>
      <c r="F156" s="31"/>
      <c r="G156" s="106"/>
      <c r="H156" s="99"/>
      <c r="I156" s="37"/>
      <c r="J156" s="96"/>
      <c r="K156" s="133"/>
      <c r="L156" s="106"/>
    </row>
    <row r="157" ht="22.5" customHeight="1">
      <c r="A157" s="93">
        <v>46055.0</v>
      </c>
      <c r="B157" s="94" t="s">
        <v>82</v>
      </c>
      <c r="C157" s="99"/>
      <c r="D157" s="99"/>
      <c r="E157" s="110"/>
      <c r="F157" s="31"/>
      <c r="G157" s="106"/>
      <c r="H157" s="99"/>
      <c r="I157" s="41"/>
      <c r="J157" s="96"/>
      <c r="K157" s="134"/>
      <c r="L157" s="106"/>
    </row>
    <row r="158" ht="22.5" customHeight="1">
      <c r="A158" s="93">
        <v>46056.0</v>
      </c>
      <c r="B158" s="94" t="s">
        <v>82</v>
      </c>
      <c r="C158" s="99"/>
      <c r="D158" s="99"/>
      <c r="E158" s="110"/>
      <c r="F158" s="31"/>
      <c r="G158" s="106"/>
      <c r="H158" s="99"/>
      <c r="I158" s="37"/>
      <c r="J158" s="96"/>
      <c r="K158" s="133"/>
      <c r="L158" s="106"/>
    </row>
    <row r="159" ht="22.5" customHeight="1">
      <c r="A159" s="93">
        <v>46057.0</v>
      </c>
      <c r="B159" s="94" t="s">
        <v>82</v>
      </c>
      <c r="C159" s="99"/>
      <c r="D159" s="99"/>
      <c r="E159" s="110"/>
      <c r="F159" s="31"/>
      <c r="G159" s="106"/>
      <c r="H159" s="99"/>
      <c r="I159" s="41"/>
      <c r="J159" s="96"/>
      <c r="K159" s="134"/>
      <c r="L159" s="106"/>
    </row>
    <row r="160" ht="22.5" customHeight="1">
      <c r="A160" s="93">
        <v>46058.0</v>
      </c>
      <c r="B160" s="94" t="s">
        <v>82</v>
      </c>
      <c r="C160" s="99"/>
      <c r="D160" s="99"/>
      <c r="E160" s="110"/>
      <c r="F160" s="31"/>
      <c r="G160" s="106"/>
      <c r="H160" s="99"/>
      <c r="I160" s="37"/>
      <c r="J160" s="96"/>
      <c r="K160" s="133"/>
      <c r="L160" s="106"/>
    </row>
    <row r="161" ht="22.5" customHeight="1">
      <c r="A161" s="93">
        <v>46059.0</v>
      </c>
      <c r="B161" s="94" t="s">
        <v>82</v>
      </c>
      <c r="C161" s="99"/>
      <c r="D161" s="99"/>
      <c r="E161" s="110"/>
      <c r="F161" s="31"/>
      <c r="G161" s="106"/>
      <c r="H161" s="99"/>
      <c r="I161" s="41"/>
      <c r="J161" s="96"/>
      <c r="K161" s="134"/>
      <c r="L161" s="106"/>
    </row>
    <row r="162" ht="22.5" customHeight="1">
      <c r="A162" s="93">
        <v>46060.0</v>
      </c>
      <c r="B162" s="94" t="s">
        <v>82</v>
      </c>
      <c r="C162" s="99"/>
      <c r="D162" s="99"/>
      <c r="E162" s="110"/>
      <c r="F162" s="31"/>
      <c r="G162" s="106"/>
      <c r="H162" s="99"/>
      <c r="I162" s="37"/>
      <c r="J162" s="96"/>
      <c r="K162" s="133"/>
      <c r="L162" s="106"/>
    </row>
    <row r="163" ht="22.5" customHeight="1">
      <c r="A163" s="93">
        <v>46061.0</v>
      </c>
      <c r="B163" s="94" t="s">
        <v>82</v>
      </c>
      <c r="C163" s="99"/>
      <c r="D163" s="99"/>
      <c r="E163" s="110"/>
      <c r="F163" s="31"/>
      <c r="G163" s="106"/>
      <c r="H163" s="99"/>
      <c r="I163" s="41"/>
      <c r="J163" s="96"/>
      <c r="K163" s="134"/>
      <c r="L163" s="106"/>
    </row>
    <row r="164" ht="22.5" customHeight="1">
      <c r="A164" s="93">
        <v>46062.0</v>
      </c>
      <c r="B164" s="94" t="s">
        <v>82</v>
      </c>
      <c r="C164" s="99"/>
      <c r="D164" s="99"/>
      <c r="E164" s="110"/>
      <c r="F164" s="31"/>
      <c r="G164" s="106"/>
      <c r="H164" s="99"/>
      <c r="I164" s="37"/>
      <c r="J164" s="96"/>
      <c r="K164" s="133"/>
      <c r="L164" s="106"/>
    </row>
    <row r="165" ht="22.5" customHeight="1">
      <c r="A165" s="93">
        <v>46063.0</v>
      </c>
      <c r="B165" s="94" t="s">
        <v>82</v>
      </c>
      <c r="C165" s="99"/>
      <c r="D165" s="99"/>
      <c r="E165" s="110"/>
      <c r="F165" s="31"/>
      <c r="G165" s="106"/>
      <c r="H165" s="99"/>
      <c r="I165" s="41"/>
      <c r="J165" s="96"/>
      <c r="K165" s="134"/>
      <c r="L165" s="106"/>
    </row>
    <row r="166" ht="22.5" customHeight="1">
      <c r="A166" s="93">
        <v>46064.0</v>
      </c>
      <c r="B166" s="94" t="s">
        <v>82</v>
      </c>
      <c r="C166" s="99"/>
      <c r="D166" s="99"/>
      <c r="E166" s="110"/>
      <c r="F166" s="31"/>
      <c r="G166" s="106"/>
      <c r="H166" s="99"/>
      <c r="I166" s="37"/>
      <c r="J166" s="96"/>
      <c r="K166" s="133"/>
      <c r="L166" s="106"/>
    </row>
    <row r="167" ht="22.5" customHeight="1">
      <c r="A167" s="93">
        <v>46065.0</v>
      </c>
      <c r="B167" s="94" t="s">
        <v>82</v>
      </c>
      <c r="C167" s="99"/>
      <c r="D167" s="99"/>
      <c r="E167" s="110"/>
      <c r="F167" s="31"/>
      <c r="G167" s="106"/>
      <c r="H167" s="99"/>
      <c r="I167" s="41"/>
      <c r="J167" s="96"/>
      <c r="K167" s="134"/>
      <c r="L167" s="106"/>
    </row>
    <row r="168" ht="22.5" customHeight="1">
      <c r="A168" s="93">
        <v>46066.0</v>
      </c>
      <c r="B168" s="94" t="s">
        <v>82</v>
      </c>
      <c r="C168" s="99"/>
      <c r="D168" s="99"/>
      <c r="E168" s="110"/>
      <c r="F168" s="31"/>
      <c r="G168" s="106"/>
      <c r="H168" s="99"/>
      <c r="I168" s="37"/>
      <c r="J168" s="96"/>
      <c r="K168" s="133"/>
      <c r="L168" s="106"/>
    </row>
    <row r="169" ht="22.5" customHeight="1">
      <c r="A169" s="93">
        <v>46067.0</v>
      </c>
      <c r="B169" s="94" t="s">
        <v>82</v>
      </c>
      <c r="C169" s="99"/>
      <c r="D169" s="99"/>
      <c r="E169" s="110"/>
      <c r="F169" s="31"/>
      <c r="G169" s="106"/>
      <c r="H169" s="99"/>
      <c r="I169" s="41"/>
      <c r="J169" s="96"/>
      <c r="K169" s="134"/>
      <c r="L169" s="106"/>
    </row>
    <row r="170" ht="22.5" customHeight="1">
      <c r="A170" s="93">
        <v>46068.0</v>
      </c>
      <c r="B170" s="94" t="s">
        <v>82</v>
      </c>
      <c r="C170" s="99"/>
      <c r="D170" s="99"/>
      <c r="E170" s="110"/>
      <c r="F170" s="31"/>
      <c r="G170" s="106"/>
      <c r="H170" s="99"/>
      <c r="I170" s="37"/>
      <c r="J170" s="96"/>
      <c r="K170" s="133"/>
      <c r="L170" s="106"/>
    </row>
    <row r="171" ht="22.5" customHeight="1">
      <c r="A171" s="93">
        <v>46069.0</v>
      </c>
      <c r="B171" s="94" t="s">
        <v>82</v>
      </c>
      <c r="C171" s="99"/>
      <c r="D171" s="99"/>
      <c r="E171" s="110"/>
      <c r="F171" s="31"/>
      <c r="G171" s="106"/>
      <c r="H171" s="99"/>
      <c r="I171" s="41"/>
      <c r="J171" s="96"/>
      <c r="K171" s="134"/>
      <c r="L171" s="106"/>
    </row>
    <row r="172" ht="22.5" customHeight="1">
      <c r="A172" s="93">
        <v>46070.0</v>
      </c>
      <c r="B172" s="94" t="s">
        <v>82</v>
      </c>
      <c r="C172" s="99"/>
      <c r="D172" s="99"/>
      <c r="E172" s="110"/>
      <c r="F172" s="31"/>
      <c r="G172" s="106"/>
      <c r="H172" s="99"/>
      <c r="I172" s="37"/>
      <c r="J172" s="96"/>
      <c r="K172" s="133"/>
      <c r="L172" s="106"/>
    </row>
    <row r="173" ht="22.5" customHeight="1">
      <c r="A173" s="93">
        <v>46071.0</v>
      </c>
      <c r="B173" s="94" t="s">
        <v>82</v>
      </c>
      <c r="C173" s="99"/>
      <c r="D173" s="99"/>
      <c r="E173" s="110"/>
      <c r="F173" s="31"/>
      <c r="G173" s="106"/>
      <c r="H173" s="99"/>
      <c r="I173" s="41"/>
      <c r="J173" s="96"/>
      <c r="K173" s="134"/>
      <c r="L173" s="106"/>
    </row>
    <row r="174" ht="22.5" customHeight="1">
      <c r="A174" s="93">
        <v>46072.0</v>
      </c>
      <c r="B174" s="94" t="s">
        <v>82</v>
      </c>
      <c r="C174" s="99"/>
      <c r="D174" s="99"/>
      <c r="E174" s="110"/>
      <c r="F174" s="31"/>
      <c r="G174" s="106"/>
      <c r="H174" s="99"/>
      <c r="I174" s="37"/>
      <c r="J174" s="96"/>
      <c r="K174" s="133"/>
      <c r="L174" s="106"/>
    </row>
    <row r="175" ht="22.5" customHeight="1">
      <c r="A175" s="93">
        <v>46073.0</v>
      </c>
      <c r="B175" s="94" t="s">
        <v>82</v>
      </c>
      <c r="C175" s="99"/>
      <c r="D175" s="99"/>
      <c r="E175" s="110"/>
      <c r="F175" s="31"/>
      <c r="G175" s="106"/>
      <c r="H175" s="99"/>
      <c r="I175" s="41"/>
      <c r="J175" s="96"/>
      <c r="K175" s="134"/>
      <c r="L175" s="106"/>
    </row>
    <row r="176" ht="22.5" customHeight="1">
      <c r="A176" s="135"/>
      <c r="B176" s="136"/>
      <c r="C176" s="137"/>
      <c r="D176" s="137"/>
      <c r="E176" s="138"/>
      <c r="F176" s="139"/>
      <c r="G176" s="140"/>
      <c r="H176" s="99"/>
      <c r="I176" s="37"/>
      <c r="J176" s="96"/>
      <c r="K176" s="133"/>
      <c r="L176" s="140"/>
    </row>
    <row r="177" ht="22.5" customHeight="1">
      <c r="A177" s="135"/>
      <c r="B177" s="136"/>
      <c r="C177" s="137"/>
      <c r="D177" s="137"/>
      <c r="E177" s="138"/>
      <c r="F177" s="139"/>
      <c r="G177" s="140"/>
      <c r="H177" s="99"/>
      <c r="I177" s="41"/>
      <c r="J177" s="96"/>
      <c r="K177" s="134"/>
      <c r="L177" s="140"/>
    </row>
    <row r="178" ht="22.5" customHeight="1">
      <c r="A178" s="135"/>
      <c r="B178" s="136"/>
      <c r="C178" s="137"/>
      <c r="D178" s="137"/>
      <c r="E178" s="138"/>
      <c r="F178" s="139"/>
      <c r="G178" s="140"/>
      <c r="H178" s="99"/>
      <c r="I178" s="37"/>
      <c r="J178" s="96"/>
      <c r="K178" s="133"/>
      <c r="L178" s="140"/>
    </row>
    <row r="179" ht="22.5" customHeight="1">
      <c r="A179" s="135"/>
      <c r="B179" s="136"/>
      <c r="C179" s="137"/>
      <c r="D179" s="137"/>
      <c r="E179" s="138"/>
      <c r="F179" s="139"/>
      <c r="G179" s="140"/>
      <c r="H179" s="99"/>
      <c r="I179" s="41"/>
      <c r="J179" s="96"/>
      <c r="K179" s="134"/>
      <c r="L179" s="140"/>
    </row>
    <row r="180" ht="22.5" customHeight="1">
      <c r="A180" s="135"/>
      <c r="B180" s="136"/>
      <c r="C180" s="137"/>
      <c r="D180" s="137"/>
      <c r="E180" s="138"/>
      <c r="F180" s="139"/>
      <c r="G180" s="140"/>
      <c r="H180" s="99"/>
      <c r="I180" s="37"/>
      <c r="J180" s="96"/>
      <c r="K180" s="133"/>
      <c r="L180" s="140"/>
    </row>
    <row r="181" ht="22.5" customHeight="1">
      <c r="A181" s="135"/>
      <c r="B181" s="136"/>
      <c r="C181" s="137"/>
      <c r="D181" s="137"/>
      <c r="E181" s="138"/>
      <c r="F181" s="139"/>
      <c r="G181" s="140"/>
      <c r="H181" s="99"/>
      <c r="I181" s="41"/>
      <c r="J181" s="96"/>
      <c r="K181" s="134"/>
      <c r="L181" s="140"/>
    </row>
    <row r="182" ht="22.5" customHeight="1">
      <c r="A182" s="135"/>
      <c r="B182" s="136"/>
      <c r="C182" s="137"/>
      <c r="D182" s="137"/>
      <c r="E182" s="138"/>
      <c r="F182" s="139"/>
      <c r="G182" s="140"/>
      <c r="H182" s="99"/>
      <c r="I182" s="37"/>
      <c r="J182" s="96"/>
      <c r="K182" s="133"/>
      <c r="L182" s="140"/>
    </row>
    <row r="183" ht="22.5" customHeight="1">
      <c r="A183" s="135"/>
      <c r="B183" s="136"/>
      <c r="C183" s="137"/>
      <c r="D183" s="137"/>
      <c r="E183" s="138"/>
      <c r="F183" s="139"/>
      <c r="G183" s="140"/>
      <c r="H183" s="99"/>
      <c r="I183" s="41"/>
      <c r="J183" s="96"/>
      <c r="K183" s="134"/>
      <c r="L183" s="140"/>
    </row>
    <row r="184" ht="22.5" customHeight="1">
      <c r="A184" s="135"/>
      <c r="B184" s="136"/>
      <c r="C184" s="137"/>
      <c r="D184" s="137"/>
      <c r="E184" s="138"/>
      <c r="F184" s="139"/>
      <c r="G184" s="140"/>
      <c r="H184" s="99"/>
      <c r="I184" s="37"/>
      <c r="J184" s="96"/>
      <c r="K184" s="133"/>
      <c r="L184" s="140"/>
    </row>
    <row r="185" ht="22.5" customHeight="1">
      <c r="A185" s="135"/>
      <c r="B185" s="136"/>
      <c r="C185" s="137"/>
      <c r="D185" s="137"/>
      <c r="E185" s="138"/>
      <c r="F185" s="139"/>
      <c r="G185" s="140"/>
      <c r="H185" s="99"/>
      <c r="I185" s="41"/>
      <c r="J185" s="96"/>
      <c r="K185" s="134"/>
      <c r="L185" s="140"/>
    </row>
    <row r="186" ht="22.5" customHeight="1">
      <c r="A186" s="135"/>
      <c r="B186" s="136"/>
      <c r="C186" s="137"/>
      <c r="D186" s="137"/>
      <c r="E186" s="138"/>
      <c r="F186" s="139"/>
      <c r="G186" s="140"/>
      <c r="H186" s="99"/>
      <c r="I186" s="37"/>
      <c r="J186" s="96"/>
      <c r="K186" s="133"/>
      <c r="L186" s="140"/>
    </row>
    <row r="187" ht="22.5" customHeight="1">
      <c r="A187" s="135"/>
      <c r="B187" s="136"/>
      <c r="C187" s="137"/>
      <c r="D187" s="137"/>
      <c r="E187" s="138"/>
      <c r="F187" s="139"/>
      <c r="G187" s="140"/>
      <c r="H187" s="99"/>
      <c r="I187" s="41"/>
      <c r="J187" s="96"/>
      <c r="K187" s="134"/>
      <c r="L187" s="140"/>
    </row>
    <row r="188" ht="22.5" customHeight="1">
      <c r="A188" s="135"/>
      <c r="B188" s="136"/>
      <c r="C188" s="137"/>
      <c r="D188" s="137"/>
      <c r="E188" s="138"/>
      <c r="F188" s="139"/>
      <c r="G188" s="140"/>
      <c r="H188" s="99"/>
      <c r="I188" s="37"/>
      <c r="J188" s="96"/>
      <c r="K188" s="133"/>
      <c r="L188" s="140"/>
    </row>
    <row r="189" ht="22.5" customHeight="1">
      <c r="A189" s="135"/>
      <c r="B189" s="136"/>
      <c r="C189" s="137"/>
      <c r="D189" s="137"/>
      <c r="E189" s="138"/>
      <c r="F189" s="139"/>
      <c r="G189" s="140"/>
      <c r="H189" s="99"/>
      <c r="I189" s="41"/>
      <c r="J189" s="96"/>
      <c r="K189" s="134"/>
      <c r="L189" s="140"/>
    </row>
    <row r="190" ht="22.5" customHeight="1">
      <c r="A190" s="135"/>
      <c r="B190" s="136"/>
      <c r="C190" s="137"/>
      <c r="D190" s="137"/>
      <c r="E190" s="138"/>
      <c r="F190" s="139"/>
      <c r="G190" s="140"/>
      <c r="H190" s="99"/>
      <c r="I190" s="37"/>
      <c r="J190" s="96"/>
      <c r="K190" s="133"/>
      <c r="L190" s="140"/>
    </row>
    <row r="191" ht="22.5" customHeight="1">
      <c r="A191" s="135"/>
      <c r="B191" s="136"/>
      <c r="C191" s="137"/>
      <c r="D191" s="137"/>
      <c r="E191" s="138"/>
      <c r="F191" s="139"/>
      <c r="G191" s="140"/>
      <c r="H191" s="99"/>
      <c r="I191" s="41"/>
      <c r="J191" s="96"/>
      <c r="K191" s="134"/>
      <c r="L191" s="140"/>
    </row>
    <row r="192" ht="22.5" customHeight="1">
      <c r="A192" s="135"/>
      <c r="B192" s="136"/>
      <c r="C192" s="137"/>
      <c r="D192" s="137"/>
      <c r="E192" s="138"/>
      <c r="F192" s="139"/>
      <c r="G192" s="140"/>
      <c r="H192" s="99"/>
      <c r="I192" s="37"/>
      <c r="J192" s="96"/>
      <c r="K192" s="133"/>
      <c r="L192" s="140"/>
    </row>
    <row r="193" ht="22.5" customHeight="1">
      <c r="A193" s="135"/>
      <c r="B193" s="136"/>
      <c r="C193" s="137"/>
      <c r="D193" s="137"/>
      <c r="E193" s="138"/>
      <c r="F193" s="139"/>
      <c r="G193" s="140"/>
      <c r="H193" s="99"/>
      <c r="I193" s="41"/>
      <c r="J193" s="96"/>
      <c r="K193" s="134"/>
      <c r="L193" s="140"/>
    </row>
    <row r="194" ht="22.5" customHeight="1">
      <c r="A194" s="135"/>
      <c r="B194" s="136"/>
      <c r="C194" s="137"/>
      <c r="D194" s="137"/>
      <c r="E194" s="138"/>
      <c r="F194" s="139"/>
      <c r="G194" s="140"/>
      <c r="H194" s="99"/>
      <c r="I194" s="37"/>
      <c r="J194" s="96"/>
      <c r="K194" s="133"/>
      <c r="L194" s="140"/>
    </row>
    <row r="195" ht="22.5" customHeight="1">
      <c r="A195" s="135"/>
      <c r="B195" s="136"/>
      <c r="C195" s="137"/>
      <c r="D195" s="137"/>
      <c r="E195" s="138"/>
      <c r="F195" s="139"/>
      <c r="G195" s="140"/>
      <c r="H195" s="99"/>
      <c r="I195" s="41"/>
      <c r="J195" s="96"/>
      <c r="K195" s="134"/>
      <c r="L195" s="140"/>
    </row>
    <row r="196" ht="22.5" customHeight="1">
      <c r="A196" s="135"/>
      <c r="B196" s="136"/>
      <c r="C196" s="137"/>
      <c r="D196" s="137"/>
      <c r="E196" s="138"/>
      <c r="F196" s="139"/>
      <c r="G196" s="140"/>
      <c r="H196" s="99"/>
      <c r="I196" s="37"/>
      <c r="J196" s="96"/>
      <c r="K196" s="133"/>
      <c r="L196" s="140"/>
    </row>
    <row r="197" ht="22.5" customHeight="1">
      <c r="A197" s="135"/>
      <c r="B197" s="136"/>
      <c r="C197" s="137"/>
      <c r="D197" s="137"/>
      <c r="E197" s="138"/>
      <c r="F197" s="139"/>
      <c r="G197" s="140"/>
      <c r="H197" s="99"/>
      <c r="I197" s="41"/>
      <c r="J197" s="96"/>
      <c r="K197" s="134"/>
      <c r="L197" s="140"/>
    </row>
    <row r="198" ht="22.5" customHeight="1">
      <c r="A198" s="135"/>
      <c r="B198" s="136"/>
      <c r="C198" s="137"/>
      <c r="D198" s="137"/>
      <c r="E198" s="138"/>
      <c r="F198" s="139"/>
      <c r="G198" s="140"/>
      <c r="H198" s="99"/>
      <c r="I198" s="37"/>
      <c r="J198" s="96"/>
      <c r="K198" s="133"/>
      <c r="L198" s="140"/>
    </row>
    <row r="199" ht="22.5" customHeight="1">
      <c r="A199" s="135"/>
      <c r="B199" s="136"/>
      <c r="C199" s="137"/>
      <c r="D199" s="137"/>
      <c r="E199" s="138"/>
      <c r="F199" s="139"/>
      <c r="G199" s="140"/>
      <c r="H199" s="99"/>
      <c r="I199" s="41"/>
      <c r="J199" s="96"/>
      <c r="K199" s="134"/>
      <c r="L199" s="140"/>
    </row>
    <row r="200" ht="22.5" customHeight="1">
      <c r="A200" s="135"/>
      <c r="B200" s="136"/>
      <c r="C200" s="137"/>
      <c r="D200" s="137"/>
      <c r="E200" s="138"/>
      <c r="F200" s="139"/>
      <c r="G200" s="140"/>
      <c r="H200" s="99"/>
      <c r="I200" s="37"/>
      <c r="J200" s="96"/>
      <c r="K200" s="133"/>
      <c r="L200" s="140"/>
    </row>
    <row r="201" ht="22.5" customHeight="1">
      <c r="A201" s="135"/>
      <c r="B201" s="136"/>
      <c r="C201" s="137"/>
      <c r="D201" s="137"/>
      <c r="E201" s="138"/>
      <c r="F201" s="139"/>
      <c r="G201" s="140"/>
      <c r="H201" s="99"/>
      <c r="I201" s="41"/>
      <c r="J201" s="96"/>
      <c r="K201" s="134"/>
      <c r="L201" s="140"/>
    </row>
    <row r="202" ht="22.5" customHeight="1">
      <c r="A202" s="135"/>
      <c r="B202" s="136"/>
      <c r="C202" s="137"/>
      <c r="D202" s="137"/>
      <c r="E202" s="138"/>
      <c r="F202" s="139"/>
      <c r="G202" s="140"/>
      <c r="H202" s="99"/>
      <c r="I202" s="37"/>
      <c r="J202" s="96"/>
      <c r="K202" s="133"/>
      <c r="L202" s="140"/>
    </row>
    <row r="203" ht="22.5" customHeight="1">
      <c r="A203" s="135"/>
      <c r="B203" s="136"/>
      <c r="C203" s="137"/>
      <c r="D203" s="137"/>
      <c r="E203" s="138"/>
      <c r="F203" s="139"/>
      <c r="G203" s="140"/>
      <c r="H203" s="99"/>
      <c r="I203" s="41"/>
      <c r="J203" s="96"/>
      <c r="K203" s="134"/>
      <c r="L203" s="140"/>
    </row>
    <row r="204" ht="22.5" customHeight="1">
      <c r="A204" s="135"/>
      <c r="B204" s="136"/>
      <c r="C204" s="137"/>
      <c r="D204" s="137"/>
      <c r="E204" s="138"/>
      <c r="F204" s="139"/>
      <c r="G204" s="140"/>
      <c r="H204" s="99"/>
      <c r="I204" s="37"/>
      <c r="J204" s="96"/>
      <c r="K204" s="133"/>
      <c r="L204" s="140"/>
    </row>
    <row r="205" ht="22.5" customHeight="1">
      <c r="A205" s="135"/>
      <c r="B205" s="136"/>
      <c r="C205" s="137"/>
      <c r="D205" s="137"/>
      <c r="E205" s="138"/>
      <c r="F205" s="139"/>
      <c r="G205" s="140"/>
      <c r="H205" s="99"/>
      <c r="I205" s="41"/>
      <c r="J205" s="96"/>
      <c r="K205" s="134"/>
      <c r="L205" s="140"/>
    </row>
    <row r="206" ht="22.5" customHeight="1">
      <c r="A206" s="135"/>
      <c r="B206" s="136"/>
      <c r="C206" s="137"/>
      <c r="D206" s="137"/>
      <c r="E206" s="138"/>
      <c r="F206" s="139"/>
      <c r="G206" s="140"/>
      <c r="H206" s="99"/>
      <c r="I206" s="37"/>
      <c r="J206" s="96"/>
      <c r="K206" s="133"/>
      <c r="L206" s="140"/>
    </row>
    <row r="207" ht="22.5" customHeight="1">
      <c r="A207" s="135"/>
      <c r="B207" s="136"/>
      <c r="C207" s="137"/>
      <c r="D207" s="137"/>
      <c r="E207" s="138"/>
      <c r="F207" s="139"/>
      <c r="G207" s="140"/>
      <c r="H207" s="99"/>
      <c r="I207" s="41"/>
      <c r="J207" s="96"/>
      <c r="K207" s="134"/>
      <c r="L207" s="140"/>
    </row>
    <row r="208" ht="22.5" customHeight="1">
      <c r="A208" s="135"/>
      <c r="B208" s="136"/>
      <c r="C208" s="137"/>
      <c r="D208" s="137"/>
      <c r="E208" s="138"/>
      <c r="F208" s="139"/>
      <c r="G208" s="140"/>
      <c r="H208" s="99"/>
      <c r="I208" s="37"/>
      <c r="J208" s="96"/>
      <c r="K208" s="133"/>
      <c r="L208" s="140"/>
    </row>
    <row r="209" ht="22.5" customHeight="1">
      <c r="A209" s="135"/>
      <c r="B209" s="136"/>
      <c r="C209" s="137"/>
      <c r="D209" s="137"/>
      <c r="E209" s="138"/>
      <c r="F209" s="139"/>
      <c r="G209" s="140"/>
      <c r="H209" s="99"/>
      <c r="I209" s="41"/>
      <c r="J209" s="96"/>
      <c r="K209" s="134"/>
      <c r="L209" s="140"/>
    </row>
    <row r="210" ht="22.5" customHeight="1">
      <c r="A210" s="135"/>
      <c r="B210" s="136"/>
      <c r="C210" s="137"/>
      <c r="D210" s="137"/>
      <c r="E210" s="138"/>
      <c r="F210" s="139"/>
      <c r="G210" s="140"/>
      <c r="H210" s="99"/>
      <c r="I210" s="37"/>
      <c r="J210" s="96"/>
      <c r="K210" s="133"/>
      <c r="L210" s="140"/>
    </row>
    <row r="211" ht="22.5" customHeight="1">
      <c r="A211" s="135"/>
      <c r="B211" s="136"/>
      <c r="C211" s="137"/>
      <c r="D211" s="137"/>
      <c r="E211" s="138"/>
      <c r="F211" s="139"/>
      <c r="G211" s="140"/>
      <c r="H211" s="99"/>
      <c r="I211" s="41"/>
      <c r="J211" s="96"/>
      <c r="K211" s="134"/>
      <c r="L211" s="140"/>
    </row>
    <row r="212" ht="22.5" customHeight="1">
      <c r="A212" s="135"/>
      <c r="B212" s="136"/>
      <c r="C212" s="137"/>
      <c r="D212" s="137"/>
      <c r="E212" s="138"/>
      <c r="F212" s="139"/>
      <c r="G212" s="140"/>
      <c r="H212" s="99"/>
      <c r="I212" s="37"/>
      <c r="J212" s="96"/>
      <c r="K212" s="133"/>
      <c r="L212" s="140"/>
    </row>
    <row r="213" ht="22.5" customHeight="1">
      <c r="A213" s="135"/>
      <c r="B213" s="136"/>
      <c r="C213" s="137"/>
      <c r="D213" s="137"/>
      <c r="E213" s="138"/>
      <c r="F213" s="139"/>
      <c r="G213" s="140"/>
      <c r="H213" s="99"/>
      <c r="I213" s="41"/>
      <c r="J213" s="96"/>
      <c r="K213" s="134"/>
      <c r="L213" s="140"/>
    </row>
    <row r="214" ht="22.5" customHeight="1">
      <c r="A214" s="135"/>
      <c r="B214" s="136"/>
      <c r="C214" s="137"/>
      <c r="D214" s="137"/>
      <c r="E214" s="138"/>
      <c r="F214" s="139"/>
      <c r="G214" s="140"/>
      <c r="H214" s="99"/>
      <c r="I214" s="37"/>
      <c r="J214" s="96"/>
      <c r="K214" s="133"/>
      <c r="L214" s="140"/>
    </row>
    <row r="215" ht="22.5" customHeight="1">
      <c r="A215" s="135"/>
      <c r="B215" s="136"/>
      <c r="C215" s="137"/>
      <c r="D215" s="137"/>
      <c r="E215" s="138"/>
      <c r="F215" s="139"/>
      <c r="G215" s="140"/>
      <c r="H215" s="99"/>
      <c r="I215" s="41"/>
      <c r="J215" s="96"/>
      <c r="K215" s="134"/>
      <c r="L215" s="140"/>
    </row>
    <row r="216" ht="22.5" customHeight="1">
      <c r="A216" s="135"/>
      <c r="B216" s="136"/>
      <c r="C216" s="137"/>
      <c r="D216" s="137"/>
      <c r="E216" s="138"/>
      <c r="F216" s="139"/>
      <c r="G216" s="140"/>
      <c r="H216" s="99"/>
      <c r="I216" s="37"/>
      <c r="J216" s="96"/>
      <c r="K216" s="133"/>
      <c r="L216" s="140"/>
    </row>
    <row r="217" ht="22.5" customHeight="1">
      <c r="A217" s="135"/>
      <c r="B217" s="136"/>
      <c r="C217" s="137"/>
      <c r="D217" s="137"/>
      <c r="E217" s="138"/>
      <c r="F217" s="139"/>
      <c r="G217" s="140"/>
      <c r="H217" s="99"/>
      <c r="I217" s="41"/>
      <c r="J217" s="96"/>
      <c r="K217" s="134"/>
      <c r="L217" s="140"/>
    </row>
    <row r="218" ht="22.5" customHeight="1">
      <c r="A218" s="135"/>
      <c r="B218" s="136"/>
      <c r="C218" s="137"/>
      <c r="D218" s="137"/>
      <c r="E218" s="138"/>
      <c r="F218" s="139"/>
      <c r="G218" s="140"/>
      <c r="H218" s="99"/>
      <c r="I218" s="37"/>
      <c r="J218" s="96"/>
      <c r="K218" s="133"/>
      <c r="L218" s="140"/>
    </row>
    <row r="219" ht="22.5" customHeight="1">
      <c r="A219" s="135"/>
      <c r="B219" s="136"/>
      <c r="C219" s="137"/>
      <c r="D219" s="137"/>
      <c r="E219" s="138"/>
      <c r="F219" s="139"/>
      <c r="G219" s="140"/>
      <c r="H219" s="99"/>
      <c r="I219" s="41"/>
      <c r="J219" s="96"/>
      <c r="K219" s="134"/>
      <c r="L219" s="140"/>
    </row>
    <row r="220" ht="22.5" customHeight="1">
      <c r="A220" s="135"/>
      <c r="B220" s="136"/>
      <c r="C220" s="137"/>
      <c r="D220" s="137"/>
      <c r="E220" s="138"/>
      <c r="F220" s="139"/>
      <c r="G220" s="140"/>
      <c r="H220" s="99"/>
      <c r="I220" s="37"/>
      <c r="J220" s="96"/>
      <c r="K220" s="133"/>
      <c r="L220" s="140"/>
    </row>
    <row r="221" ht="22.5" customHeight="1">
      <c r="A221" s="135"/>
      <c r="B221" s="136"/>
      <c r="C221" s="137"/>
      <c r="D221" s="137"/>
      <c r="E221" s="138"/>
      <c r="F221" s="139"/>
      <c r="G221" s="140"/>
      <c r="H221" s="141"/>
      <c r="I221" s="41"/>
      <c r="J221" s="142"/>
      <c r="K221" s="134"/>
      <c r="L221" s="140"/>
    </row>
    <row r="222" ht="22.5" customHeight="1">
      <c r="A222" s="135"/>
      <c r="B222" s="136"/>
      <c r="C222" s="137"/>
      <c r="D222" s="137"/>
      <c r="E222" s="138"/>
      <c r="F222" s="139"/>
      <c r="G222" s="140"/>
      <c r="H222" s="143"/>
      <c r="I222" s="37"/>
      <c r="J222" s="144"/>
      <c r="K222" s="133"/>
      <c r="L222" s="140"/>
    </row>
    <row r="223" ht="22.5" customHeight="1">
      <c r="A223" s="135"/>
      <c r="B223" s="136"/>
      <c r="C223" s="137"/>
      <c r="D223" s="137"/>
      <c r="E223" s="138"/>
      <c r="F223" s="139"/>
      <c r="G223" s="140"/>
      <c r="H223" s="141"/>
      <c r="I223" s="41"/>
      <c r="J223" s="142"/>
      <c r="K223" s="134"/>
      <c r="L223" s="140"/>
    </row>
    <row r="224" ht="22.5" customHeight="1">
      <c r="A224" s="135"/>
      <c r="B224" s="136"/>
      <c r="C224" s="137"/>
      <c r="D224" s="137"/>
      <c r="E224" s="138"/>
      <c r="F224" s="139"/>
      <c r="G224" s="140"/>
      <c r="H224" s="143"/>
      <c r="I224" s="37"/>
      <c r="J224" s="144"/>
      <c r="K224" s="133"/>
      <c r="L224" s="140"/>
    </row>
    <row r="225" ht="22.5" customHeight="1">
      <c r="A225" s="135"/>
      <c r="B225" s="136"/>
      <c r="C225" s="137"/>
      <c r="D225" s="137"/>
      <c r="E225" s="138"/>
      <c r="F225" s="139"/>
      <c r="G225" s="140"/>
      <c r="H225" s="141"/>
      <c r="I225" s="41"/>
      <c r="J225" s="142"/>
      <c r="K225" s="134"/>
      <c r="L225" s="140"/>
    </row>
    <row r="226" ht="22.5" customHeight="1">
      <c r="A226" s="135"/>
      <c r="B226" s="136"/>
      <c r="C226" s="137"/>
      <c r="D226" s="137"/>
      <c r="E226" s="138"/>
      <c r="F226" s="139"/>
      <c r="G226" s="140"/>
      <c r="H226" s="143"/>
      <c r="I226" s="37"/>
      <c r="J226" s="144"/>
      <c r="K226" s="133"/>
      <c r="L226" s="140"/>
    </row>
    <row r="227" ht="22.5" customHeight="1">
      <c r="A227" s="135"/>
      <c r="B227" s="136"/>
      <c r="C227" s="137"/>
      <c r="D227" s="137"/>
      <c r="E227" s="138"/>
      <c r="F227" s="139"/>
      <c r="G227" s="140"/>
      <c r="H227" s="141"/>
      <c r="I227" s="41"/>
      <c r="J227" s="142"/>
      <c r="K227" s="134"/>
      <c r="L227" s="140"/>
    </row>
    <row r="228" ht="22.5" customHeight="1">
      <c r="A228" s="135"/>
      <c r="B228" s="136"/>
      <c r="C228" s="137"/>
      <c r="D228" s="137"/>
      <c r="E228" s="138"/>
      <c r="F228" s="139"/>
      <c r="G228" s="140"/>
      <c r="H228" s="143"/>
      <c r="I228" s="37"/>
      <c r="J228" s="144"/>
      <c r="K228" s="133"/>
      <c r="L228" s="140"/>
    </row>
    <row r="229" ht="22.5" customHeight="1">
      <c r="A229" s="135"/>
      <c r="B229" s="136"/>
      <c r="C229" s="137"/>
      <c r="D229" s="137"/>
      <c r="E229" s="138"/>
      <c r="F229" s="139"/>
      <c r="G229" s="140"/>
      <c r="H229" s="141"/>
      <c r="I229" s="41"/>
      <c r="J229" s="142"/>
      <c r="K229" s="134"/>
      <c r="L229" s="140"/>
    </row>
    <row r="230" ht="22.5" customHeight="1">
      <c r="A230" s="135"/>
      <c r="B230" s="136"/>
      <c r="C230" s="137"/>
      <c r="D230" s="137"/>
      <c r="E230" s="138"/>
      <c r="F230" s="139"/>
      <c r="G230" s="140"/>
      <c r="H230" s="143"/>
      <c r="I230" s="37"/>
      <c r="J230" s="144"/>
      <c r="K230" s="133"/>
      <c r="L230" s="140"/>
    </row>
    <row r="231" ht="22.5" customHeight="1">
      <c r="A231" s="135"/>
      <c r="B231" s="136"/>
      <c r="C231" s="137"/>
      <c r="D231" s="137"/>
      <c r="E231" s="138"/>
      <c r="F231" s="139"/>
      <c r="G231" s="140"/>
      <c r="H231" s="141"/>
      <c r="I231" s="41"/>
      <c r="J231" s="142"/>
      <c r="K231" s="134"/>
      <c r="L231" s="140"/>
    </row>
    <row r="232" ht="22.5" customHeight="1">
      <c r="A232" s="135"/>
      <c r="B232" s="136"/>
      <c r="C232" s="137"/>
      <c r="D232" s="137"/>
      <c r="E232" s="138"/>
      <c r="F232" s="139"/>
      <c r="G232" s="140"/>
      <c r="H232" s="143"/>
      <c r="I232" s="37"/>
      <c r="J232" s="144"/>
      <c r="K232" s="133"/>
      <c r="L232" s="140"/>
    </row>
    <row r="233" ht="22.5" customHeight="1">
      <c r="A233" s="135"/>
      <c r="B233" s="136"/>
      <c r="C233" s="137"/>
      <c r="D233" s="137"/>
      <c r="E233" s="138"/>
      <c r="F233" s="139"/>
      <c r="G233" s="140"/>
      <c r="H233" s="141"/>
      <c r="I233" s="41"/>
      <c r="J233" s="142"/>
      <c r="K233" s="134"/>
      <c r="L233" s="140"/>
    </row>
    <row r="234" ht="22.5" customHeight="1">
      <c r="A234" s="135"/>
      <c r="B234" s="136"/>
      <c r="C234" s="137"/>
      <c r="D234" s="137"/>
      <c r="E234" s="138"/>
      <c r="F234" s="139"/>
      <c r="G234" s="140"/>
      <c r="H234" s="143"/>
      <c r="I234" s="37"/>
      <c r="J234" s="144"/>
      <c r="K234" s="133"/>
      <c r="L234" s="140"/>
    </row>
    <row r="235" ht="22.5" customHeight="1">
      <c r="A235" s="135"/>
      <c r="B235" s="136"/>
      <c r="C235" s="137"/>
      <c r="D235" s="137"/>
      <c r="E235" s="138"/>
      <c r="F235" s="139"/>
      <c r="G235" s="140"/>
      <c r="H235" s="141"/>
      <c r="I235" s="41"/>
      <c r="J235" s="142"/>
      <c r="K235" s="134"/>
      <c r="L235" s="140"/>
    </row>
    <row r="236" ht="22.5" customHeight="1">
      <c r="A236" s="135"/>
      <c r="B236" s="136"/>
      <c r="C236" s="137"/>
      <c r="D236" s="137"/>
      <c r="E236" s="138"/>
      <c r="F236" s="139"/>
      <c r="G236" s="140"/>
      <c r="H236" s="143"/>
      <c r="I236" s="37"/>
      <c r="J236" s="144"/>
      <c r="K236" s="133"/>
      <c r="L236" s="140"/>
    </row>
    <row r="237" ht="22.5" customHeight="1">
      <c r="A237" s="135"/>
      <c r="B237" s="136"/>
      <c r="C237" s="137"/>
      <c r="D237" s="137"/>
      <c r="E237" s="138"/>
      <c r="F237" s="139"/>
      <c r="G237" s="140"/>
      <c r="H237" s="141"/>
      <c r="I237" s="41"/>
      <c r="J237" s="142"/>
      <c r="K237" s="134"/>
      <c r="L237" s="140"/>
    </row>
    <row r="238" ht="22.5" customHeight="1">
      <c r="A238" s="135"/>
      <c r="B238" s="136"/>
      <c r="C238" s="137"/>
      <c r="D238" s="137"/>
      <c r="E238" s="138"/>
      <c r="F238" s="139"/>
      <c r="G238" s="140"/>
      <c r="H238" s="143"/>
      <c r="I238" s="37"/>
      <c r="J238" s="144"/>
      <c r="K238" s="133"/>
      <c r="L238" s="140"/>
    </row>
    <row r="239" ht="22.5" customHeight="1">
      <c r="A239" s="135"/>
      <c r="B239" s="136"/>
      <c r="C239" s="137"/>
      <c r="D239" s="137"/>
      <c r="E239" s="138"/>
      <c r="F239" s="139"/>
      <c r="G239" s="140"/>
      <c r="H239" s="141"/>
      <c r="I239" s="41"/>
      <c r="J239" s="142"/>
      <c r="K239" s="134"/>
      <c r="L239" s="140"/>
    </row>
    <row r="240" ht="22.5" customHeight="1">
      <c r="A240" s="135"/>
      <c r="B240" s="136"/>
      <c r="C240" s="137"/>
      <c r="D240" s="137"/>
      <c r="E240" s="138"/>
      <c r="F240" s="139"/>
      <c r="G240" s="140"/>
      <c r="H240" s="143"/>
      <c r="I240" s="37"/>
      <c r="J240" s="144"/>
      <c r="K240" s="133"/>
      <c r="L240" s="140"/>
    </row>
    <row r="241" ht="22.5" customHeight="1">
      <c r="A241" s="135"/>
      <c r="B241" s="136"/>
      <c r="C241" s="137"/>
      <c r="D241" s="137"/>
      <c r="E241" s="138"/>
      <c r="F241" s="139"/>
      <c r="G241" s="140"/>
      <c r="H241" s="141"/>
      <c r="I241" s="41"/>
      <c r="J241" s="142"/>
      <c r="K241" s="134"/>
      <c r="L241" s="140"/>
    </row>
    <row r="242" ht="22.5" customHeight="1">
      <c r="A242" s="135"/>
      <c r="B242" s="136"/>
      <c r="C242" s="137"/>
      <c r="D242" s="137"/>
      <c r="E242" s="138"/>
      <c r="F242" s="139"/>
      <c r="G242" s="140"/>
      <c r="H242" s="143"/>
      <c r="I242" s="37"/>
      <c r="J242" s="144"/>
      <c r="K242" s="133"/>
      <c r="L242" s="140"/>
    </row>
    <row r="243" ht="22.5" customHeight="1">
      <c r="A243" s="135"/>
      <c r="B243" s="136"/>
      <c r="C243" s="137"/>
      <c r="D243" s="137"/>
      <c r="E243" s="138"/>
      <c r="F243" s="139"/>
      <c r="G243" s="140"/>
      <c r="H243" s="141"/>
      <c r="I243" s="41"/>
      <c r="J243" s="142"/>
      <c r="K243" s="134"/>
      <c r="L243" s="140"/>
    </row>
    <row r="244" ht="22.5" customHeight="1">
      <c r="A244" s="135"/>
      <c r="B244" s="136"/>
      <c r="C244" s="137"/>
      <c r="D244" s="137"/>
      <c r="E244" s="138"/>
      <c r="F244" s="139"/>
      <c r="G244" s="140"/>
      <c r="H244" s="143"/>
      <c r="I244" s="37"/>
      <c r="J244" s="144"/>
      <c r="K244" s="133"/>
      <c r="L244" s="140"/>
    </row>
    <row r="245" ht="22.5" customHeight="1">
      <c r="A245" s="135"/>
      <c r="B245" s="136"/>
      <c r="C245" s="137"/>
      <c r="D245" s="137"/>
      <c r="E245" s="138"/>
      <c r="F245" s="139"/>
      <c r="G245" s="140"/>
      <c r="H245" s="141"/>
      <c r="I245" s="41"/>
      <c r="J245" s="142"/>
      <c r="K245" s="134"/>
      <c r="L245" s="140"/>
    </row>
    <row r="246" ht="22.5" customHeight="1">
      <c r="A246" s="135"/>
      <c r="B246" s="136"/>
      <c r="C246" s="137"/>
      <c r="D246" s="137"/>
      <c r="E246" s="138"/>
      <c r="F246" s="139"/>
      <c r="G246" s="140"/>
      <c r="H246" s="143"/>
      <c r="I246" s="37"/>
      <c r="J246" s="144"/>
      <c r="K246" s="133"/>
      <c r="L246" s="140"/>
    </row>
    <row r="247" ht="22.5" customHeight="1">
      <c r="A247" s="135"/>
      <c r="B247" s="136"/>
      <c r="C247" s="137"/>
      <c r="D247" s="137"/>
      <c r="E247" s="138"/>
      <c r="F247" s="139"/>
      <c r="G247" s="140"/>
      <c r="H247" s="141"/>
      <c r="I247" s="41"/>
      <c r="J247" s="142"/>
      <c r="K247" s="134"/>
      <c r="L247" s="140"/>
    </row>
    <row r="248" ht="22.5" customHeight="1">
      <c r="A248" s="135"/>
      <c r="B248" s="136"/>
      <c r="C248" s="137"/>
      <c r="D248" s="137"/>
      <c r="E248" s="138"/>
      <c r="F248" s="139"/>
      <c r="G248" s="140"/>
      <c r="H248" s="143"/>
      <c r="I248" s="37"/>
      <c r="J248" s="144"/>
      <c r="K248" s="133"/>
      <c r="L248" s="140"/>
    </row>
    <row r="249" ht="22.5" customHeight="1">
      <c r="A249" s="135"/>
      <c r="B249" s="136"/>
      <c r="C249" s="137"/>
      <c r="D249" s="137"/>
      <c r="E249" s="138"/>
      <c r="F249" s="139"/>
      <c r="G249" s="140"/>
      <c r="H249" s="141"/>
      <c r="I249" s="41"/>
      <c r="J249" s="142"/>
      <c r="K249" s="134"/>
      <c r="L249" s="140"/>
    </row>
    <row r="250" ht="22.5" customHeight="1">
      <c r="A250" s="135"/>
      <c r="B250" s="136"/>
      <c r="C250" s="137"/>
      <c r="D250" s="137"/>
      <c r="E250" s="138"/>
      <c r="F250" s="139"/>
      <c r="G250" s="140"/>
      <c r="H250" s="143"/>
      <c r="I250" s="37"/>
      <c r="J250" s="144"/>
      <c r="K250" s="133"/>
      <c r="L250" s="140"/>
    </row>
    <row r="251" ht="22.5" customHeight="1">
      <c r="A251" s="135"/>
      <c r="B251" s="136"/>
      <c r="C251" s="137"/>
      <c r="D251" s="137"/>
      <c r="E251" s="138"/>
      <c r="F251" s="139"/>
      <c r="G251" s="140"/>
      <c r="H251" s="141"/>
      <c r="I251" s="41"/>
      <c r="J251" s="142"/>
      <c r="K251" s="134"/>
      <c r="L251" s="140"/>
    </row>
    <row r="252" ht="22.5" customHeight="1">
      <c r="A252" s="135"/>
      <c r="B252" s="136"/>
      <c r="C252" s="137"/>
      <c r="D252" s="137"/>
      <c r="E252" s="138"/>
      <c r="F252" s="139"/>
      <c r="G252" s="140"/>
      <c r="H252" s="143"/>
      <c r="I252" s="37"/>
      <c r="J252" s="144"/>
      <c r="K252" s="133"/>
      <c r="L252" s="140"/>
    </row>
    <row r="253" ht="22.5" customHeight="1">
      <c r="A253" s="135"/>
      <c r="B253" s="136"/>
      <c r="C253" s="137"/>
      <c r="D253" s="137"/>
      <c r="E253" s="138"/>
      <c r="F253" s="139"/>
      <c r="G253" s="140"/>
      <c r="H253" s="141"/>
      <c r="I253" s="41"/>
      <c r="J253" s="142"/>
      <c r="K253" s="134"/>
      <c r="L253" s="140"/>
    </row>
    <row r="254" ht="22.5" customHeight="1">
      <c r="A254" s="135"/>
      <c r="B254" s="136"/>
      <c r="C254" s="137"/>
      <c r="D254" s="137"/>
      <c r="E254" s="138"/>
      <c r="F254" s="139"/>
      <c r="G254" s="140"/>
      <c r="H254" s="143"/>
      <c r="I254" s="37"/>
      <c r="J254" s="144"/>
      <c r="K254" s="133"/>
      <c r="L254" s="140"/>
    </row>
    <row r="255" ht="22.5" customHeight="1">
      <c r="A255" s="135"/>
      <c r="B255" s="136"/>
      <c r="C255" s="137"/>
      <c r="D255" s="137"/>
      <c r="E255" s="138"/>
      <c r="F255" s="139"/>
      <c r="G255" s="140"/>
      <c r="H255" s="141"/>
      <c r="I255" s="41"/>
      <c r="J255" s="142"/>
      <c r="K255" s="134"/>
      <c r="L255" s="140"/>
    </row>
    <row r="256" ht="22.5" customHeight="1">
      <c r="A256" s="135"/>
      <c r="B256" s="136"/>
      <c r="C256" s="137"/>
      <c r="D256" s="137"/>
      <c r="E256" s="138"/>
      <c r="F256" s="139"/>
      <c r="G256" s="140"/>
      <c r="H256" s="143"/>
      <c r="I256" s="37"/>
      <c r="J256" s="144"/>
      <c r="K256" s="133"/>
      <c r="L256" s="140"/>
    </row>
    <row r="257" ht="22.5" customHeight="1">
      <c r="A257" s="135"/>
      <c r="B257" s="136"/>
      <c r="C257" s="137"/>
      <c r="D257" s="137"/>
      <c r="E257" s="138"/>
      <c r="F257" s="139"/>
      <c r="G257" s="140"/>
      <c r="H257" s="141"/>
      <c r="I257" s="41"/>
      <c r="J257" s="142"/>
      <c r="K257" s="134"/>
      <c r="L257" s="140"/>
    </row>
    <row r="258" ht="22.5" customHeight="1">
      <c r="A258" s="135"/>
      <c r="B258" s="136"/>
      <c r="C258" s="137"/>
      <c r="D258" s="137"/>
      <c r="E258" s="138"/>
      <c r="F258" s="139"/>
      <c r="G258" s="140"/>
      <c r="H258" s="143"/>
      <c r="I258" s="37"/>
      <c r="J258" s="144"/>
      <c r="K258" s="133"/>
      <c r="L258" s="140"/>
    </row>
    <row r="259" ht="22.5" customHeight="1">
      <c r="A259" s="135"/>
      <c r="B259" s="136"/>
      <c r="C259" s="137"/>
      <c r="D259" s="137"/>
      <c r="E259" s="138"/>
      <c r="F259" s="139"/>
      <c r="G259" s="140"/>
      <c r="H259" s="141"/>
      <c r="I259" s="41"/>
      <c r="J259" s="142"/>
      <c r="K259" s="134"/>
      <c r="L259" s="140"/>
    </row>
    <row r="260" ht="22.5" customHeight="1">
      <c r="A260" s="135"/>
      <c r="B260" s="136"/>
      <c r="C260" s="137"/>
      <c r="D260" s="137"/>
      <c r="E260" s="138"/>
      <c r="F260" s="139"/>
      <c r="G260" s="140"/>
      <c r="H260" s="143"/>
      <c r="I260" s="37"/>
      <c r="J260" s="144"/>
      <c r="K260" s="133"/>
      <c r="L260" s="140"/>
    </row>
    <row r="261" ht="22.5" customHeight="1">
      <c r="A261" s="135"/>
      <c r="B261" s="136"/>
      <c r="C261" s="137"/>
      <c r="D261" s="137"/>
      <c r="E261" s="138"/>
      <c r="F261" s="139"/>
      <c r="G261" s="140"/>
      <c r="H261" s="141"/>
      <c r="I261" s="41"/>
      <c r="J261" s="142"/>
      <c r="K261" s="134"/>
      <c r="L261" s="140"/>
    </row>
    <row r="262" ht="22.5" customHeight="1">
      <c r="A262" s="135"/>
      <c r="B262" s="136"/>
      <c r="C262" s="137"/>
      <c r="D262" s="137"/>
      <c r="E262" s="138"/>
      <c r="F262" s="139"/>
      <c r="G262" s="140"/>
      <c r="H262" s="143"/>
      <c r="I262" s="37"/>
      <c r="J262" s="144"/>
      <c r="K262" s="133"/>
      <c r="L262" s="140"/>
    </row>
    <row r="263" ht="22.5" customHeight="1">
      <c r="A263" s="135"/>
      <c r="B263" s="136"/>
      <c r="C263" s="137"/>
      <c r="D263" s="137"/>
      <c r="E263" s="138"/>
      <c r="F263" s="139"/>
      <c r="G263" s="140"/>
      <c r="H263" s="141"/>
      <c r="I263" s="41"/>
      <c r="J263" s="142"/>
      <c r="K263" s="134"/>
      <c r="L263" s="140"/>
    </row>
    <row r="264" ht="22.5" customHeight="1">
      <c r="A264" s="135"/>
      <c r="B264" s="136"/>
      <c r="C264" s="137"/>
      <c r="D264" s="137"/>
      <c r="E264" s="138"/>
      <c r="F264" s="139"/>
      <c r="G264" s="140"/>
      <c r="H264" s="143"/>
      <c r="I264" s="37"/>
      <c r="J264" s="144"/>
      <c r="K264" s="133"/>
      <c r="L264" s="140"/>
    </row>
    <row r="265" ht="22.5" customHeight="1">
      <c r="A265" s="135"/>
      <c r="B265" s="136"/>
      <c r="C265" s="137"/>
      <c r="D265" s="137"/>
      <c r="E265" s="138"/>
      <c r="F265" s="139"/>
      <c r="G265" s="140"/>
      <c r="H265" s="141"/>
      <c r="I265" s="41"/>
      <c r="J265" s="142"/>
      <c r="K265" s="134"/>
      <c r="L265" s="140"/>
    </row>
    <row r="266" ht="22.5" customHeight="1">
      <c r="A266" s="135"/>
      <c r="B266" s="136"/>
      <c r="C266" s="137"/>
      <c r="D266" s="137"/>
      <c r="E266" s="138"/>
      <c r="F266" s="139"/>
      <c r="G266" s="140"/>
      <c r="H266" s="143"/>
      <c r="I266" s="37"/>
      <c r="J266" s="144"/>
      <c r="K266" s="133"/>
      <c r="L266" s="140"/>
    </row>
    <row r="267" ht="22.5" customHeight="1">
      <c r="A267" s="135"/>
      <c r="B267" s="136"/>
      <c r="C267" s="137"/>
      <c r="D267" s="137"/>
      <c r="E267" s="138"/>
      <c r="F267" s="139"/>
      <c r="G267" s="140"/>
      <c r="H267" s="141"/>
      <c r="I267" s="41"/>
      <c r="J267" s="142"/>
      <c r="K267" s="134"/>
      <c r="L267" s="140"/>
    </row>
    <row r="268" ht="22.5" customHeight="1">
      <c r="A268" s="135"/>
      <c r="B268" s="136"/>
      <c r="C268" s="137"/>
      <c r="D268" s="137"/>
      <c r="E268" s="138"/>
      <c r="F268" s="139"/>
      <c r="G268" s="140"/>
      <c r="H268" s="143"/>
      <c r="I268" s="37"/>
      <c r="J268" s="144"/>
      <c r="K268" s="133"/>
      <c r="L268" s="140"/>
    </row>
    <row r="269" ht="22.5" customHeight="1">
      <c r="A269" s="135"/>
      <c r="B269" s="136"/>
      <c r="C269" s="137"/>
      <c r="D269" s="137"/>
      <c r="E269" s="138"/>
      <c r="F269" s="139"/>
      <c r="G269" s="140"/>
      <c r="H269" s="141"/>
      <c r="I269" s="41"/>
      <c r="J269" s="142"/>
      <c r="K269" s="134"/>
      <c r="L269" s="140"/>
    </row>
    <row r="270" ht="22.5" customHeight="1">
      <c r="A270" s="135"/>
      <c r="B270" s="136"/>
      <c r="C270" s="137"/>
      <c r="D270" s="137"/>
      <c r="E270" s="138"/>
      <c r="F270" s="139"/>
      <c r="G270" s="140"/>
      <c r="H270" s="143"/>
      <c r="I270" s="37"/>
      <c r="J270" s="144"/>
      <c r="K270" s="133"/>
      <c r="L270" s="140"/>
    </row>
    <row r="271" ht="22.5" customHeight="1">
      <c r="A271" s="135"/>
      <c r="B271" s="136"/>
      <c r="C271" s="137"/>
      <c r="D271" s="137"/>
      <c r="E271" s="138"/>
      <c r="F271" s="139"/>
      <c r="G271" s="140"/>
      <c r="H271" s="141"/>
      <c r="I271" s="41"/>
      <c r="J271" s="142"/>
      <c r="K271" s="134"/>
      <c r="L271" s="140"/>
    </row>
    <row r="272" ht="22.5" customHeight="1">
      <c r="A272" s="135"/>
      <c r="B272" s="136"/>
      <c r="C272" s="137"/>
      <c r="D272" s="137"/>
      <c r="E272" s="138"/>
      <c r="F272" s="139"/>
      <c r="G272" s="140"/>
      <c r="H272" s="143"/>
      <c r="I272" s="37"/>
      <c r="J272" s="144"/>
      <c r="K272" s="133"/>
      <c r="L272" s="140"/>
    </row>
    <row r="273" ht="22.5" customHeight="1">
      <c r="A273" s="135"/>
      <c r="B273" s="136"/>
      <c r="C273" s="137"/>
      <c r="D273" s="137"/>
      <c r="E273" s="138"/>
      <c r="F273" s="139"/>
      <c r="G273" s="140"/>
      <c r="H273" s="141"/>
      <c r="I273" s="41"/>
      <c r="J273" s="142"/>
      <c r="K273" s="134"/>
      <c r="L273" s="140"/>
    </row>
    <row r="274" ht="22.5" customHeight="1">
      <c r="A274" s="135"/>
      <c r="B274" s="136"/>
      <c r="C274" s="137"/>
      <c r="D274" s="137"/>
      <c r="E274" s="138"/>
      <c r="F274" s="139"/>
      <c r="G274" s="140"/>
      <c r="H274" s="143"/>
      <c r="I274" s="37"/>
      <c r="J274" s="144"/>
      <c r="K274" s="133"/>
      <c r="L274" s="140"/>
    </row>
    <row r="275" ht="22.5" customHeight="1">
      <c r="A275" s="135"/>
      <c r="B275" s="136"/>
      <c r="C275" s="137"/>
      <c r="D275" s="137"/>
      <c r="E275" s="138"/>
      <c r="F275" s="139"/>
      <c r="G275" s="140"/>
      <c r="H275" s="141"/>
      <c r="I275" s="41"/>
      <c r="J275" s="142"/>
      <c r="K275" s="134"/>
      <c r="L275" s="140"/>
    </row>
    <row r="276" ht="22.5" customHeight="1">
      <c r="A276" s="135"/>
      <c r="B276" s="136"/>
      <c r="C276" s="137"/>
      <c r="D276" s="137"/>
      <c r="E276" s="138"/>
      <c r="F276" s="139"/>
      <c r="G276" s="140"/>
      <c r="H276" s="143"/>
      <c r="I276" s="37"/>
      <c r="J276" s="144"/>
      <c r="K276" s="133"/>
      <c r="L276" s="140"/>
    </row>
    <row r="277" ht="22.5" customHeight="1">
      <c r="A277" s="135"/>
      <c r="B277" s="136"/>
      <c r="C277" s="137"/>
      <c r="D277" s="137"/>
      <c r="E277" s="138"/>
      <c r="F277" s="139"/>
      <c r="G277" s="140"/>
      <c r="H277" s="141"/>
      <c r="I277" s="41"/>
      <c r="J277" s="142"/>
      <c r="K277" s="134"/>
      <c r="L277" s="140"/>
    </row>
    <row r="278" ht="22.5" customHeight="1">
      <c r="A278" s="135"/>
      <c r="B278" s="136"/>
      <c r="C278" s="137"/>
      <c r="D278" s="137"/>
      <c r="E278" s="138"/>
      <c r="F278" s="139"/>
      <c r="G278" s="140"/>
      <c r="H278" s="143"/>
      <c r="I278" s="37"/>
      <c r="J278" s="144"/>
      <c r="K278" s="133"/>
      <c r="L278" s="140"/>
    </row>
    <row r="279" ht="22.5" customHeight="1">
      <c r="A279" s="135"/>
      <c r="B279" s="136"/>
      <c r="C279" s="137"/>
      <c r="D279" s="137"/>
      <c r="E279" s="138"/>
      <c r="F279" s="139"/>
      <c r="G279" s="140"/>
      <c r="H279" s="141"/>
      <c r="I279" s="41"/>
      <c r="J279" s="142"/>
      <c r="K279" s="134"/>
      <c r="L279" s="140"/>
    </row>
    <row r="280" ht="22.5" customHeight="1">
      <c r="A280" s="135"/>
      <c r="B280" s="136"/>
      <c r="C280" s="137"/>
      <c r="D280" s="137"/>
      <c r="E280" s="145"/>
      <c r="F280" s="139"/>
      <c r="G280" s="140"/>
      <c r="H280" s="143"/>
      <c r="I280" s="37"/>
      <c r="J280" s="144"/>
      <c r="K280" s="133"/>
      <c r="L280" s="140"/>
    </row>
    <row r="281" ht="22.5" customHeight="1">
      <c r="A281" s="135"/>
      <c r="B281" s="136"/>
      <c r="C281" s="137"/>
      <c r="D281" s="137"/>
      <c r="E281" s="145"/>
      <c r="F281" s="139"/>
      <c r="G281" s="140"/>
      <c r="H281" s="141"/>
      <c r="I281" s="41"/>
      <c r="J281" s="142"/>
      <c r="K281" s="134"/>
      <c r="L281" s="140"/>
    </row>
    <row r="282" ht="22.5" customHeight="1">
      <c r="A282" s="135"/>
      <c r="B282" s="136"/>
      <c r="C282" s="137"/>
      <c r="D282" s="137"/>
      <c r="E282" s="145"/>
      <c r="F282" s="139"/>
      <c r="G282" s="140"/>
      <c r="H282" s="143"/>
      <c r="I282" s="37"/>
      <c r="J282" s="144"/>
      <c r="K282" s="133"/>
      <c r="L282" s="140"/>
    </row>
    <row r="283" ht="22.5" customHeight="1">
      <c r="A283" s="135"/>
      <c r="B283" s="136"/>
      <c r="C283" s="137"/>
      <c r="D283" s="137"/>
      <c r="E283" s="145"/>
      <c r="F283" s="139"/>
      <c r="G283" s="140"/>
      <c r="H283" s="141"/>
      <c r="I283" s="41"/>
      <c r="J283" s="142"/>
      <c r="K283" s="134"/>
      <c r="L283" s="140"/>
    </row>
    <row r="284" ht="22.5" customHeight="1">
      <c r="A284" s="135"/>
      <c r="B284" s="136"/>
      <c r="C284" s="137"/>
      <c r="D284" s="137"/>
      <c r="E284" s="145"/>
      <c r="F284" s="139"/>
      <c r="G284" s="140"/>
      <c r="H284" s="143"/>
      <c r="I284" s="37"/>
      <c r="J284" s="144"/>
      <c r="K284" s="133"/>
      <c r="L284" s="140"/>
    </row>
    <row r="285" ht="22.5" customHeight="1">
      <c r="A285" s="135"/>
      <c r="B285" s="136"/>
      <c r="C285" s="137"/>
      <c r="D285" s="137"/>
      <c r="E285" s="145"/>
      <c r="F285" s="139"/>
      <c r="G285" s="140"/>
      <c r="H285" s="141"/>
      <c r="I285" s="41"/>
      <c r="J285" s="142"/>
      <c r="K285" s="134"/>
      <c r="L285" s="140"/>
    </row>
    <row r="286" ht="22.5" customHeight="1">
      <c r="A286" s="135"/>
      <c r="B286" s="136"/>
      <c r="C286" s="137"/>
      <c r="D286" s="137"/>
      <c r="E286" s="145"/>
      <c r="F286" s="139"/>
      <c r="G286" s="140"/>
      <c r="H286" s="143"/>
      <c r="I286" s="37"/>
      <c r="J286" s="144"/>
      <c r="K286" s="133"/>
      <c r="L286" s="140"/>
    </row>
    <row r="287" ht="22.5" customHeight="1">
      <c r="A287" s="135"/>
      <c r="B287" s="136"/>
      <c r="C287" s="137"/>
      <c r="D287" s="137"/>
      <c r="E287" s="145"/>
      <c r="F287" s="139"/>
      <c r="G287" s="140"/>
      <c r="H287" s="141"/>
      <c r="I287" s="41"/>
      <c r="J287" s="142"/>
      <c r="K287" s="134"/>
      <c r="L287" s="140"/>
    </row>
    <row r="288" ht="22.5" customHeight="1">
      <c r="A288" s="135"/>
      <c r="B288" s="136"/>
      <c r="C288" s="137"/>
      <c r="D288" s="137"/>
      <c r="E288" s="145"/>
      <c r="F288" s="139"/>
      <c r="G288" s="140"/>
      <c r="H288" s="143"/>
      <c r="I288" s="37"/>
      <c r="J288" s="144"/>
      <c r="K288" s="133"/>
      <c r="L288" s="140"/>
    </row>
    <row r="289" ht="22.5" customHeight="1">
      <c r="A289" s="135"/>
      <c r="B289" s="136"/>
      <c r="C289" s="137"/>
      <c r="D289" s="137"/>
      <c r="E289" s="145"/>
      <c r="F289" s="139"/>
      <c r="G289" s="140"/>
      <c r="H289" s="141"/>
      <c r="I289" s="41"/>
      <c r="J289" s="142"/>
      <c r="K289" s="134"/>
      <c r="L289" s="140"/>
    </row>
    <row r="290" ht="22.5" customHeight="1">
      <c r="A290" s="135"/>
      <c r="B290" s="136"/>
      <c r="C290" s="137"/>
      <c r="D290" s="137"/>
      <c r="E290" s="145"/>
      <c r="F290" s="139"/>
      <c r="G290" s="140"/>
      <c r="H290" s="143"/>
      <c r="I290" s="37"/>
      <c r="J290" s="144"/>
      <c r="K290" s="133"/>
      <c r="L290" s="140"/>
    </row>
    <row r="291" ht="22.5" customHeight="1">
      <c r="A291" s="135"/>
      <c r="B291" s="136"/>
      <c r="C291" s="137"/>
      <c r="D291" s="137"/>
      <c r="E291" s="145"/>
      <c r="F291" s="139"/>
      <c r="G291" s="140"/>
      <c r="H291" s="141"/>
      <c r="I291" s="41"/>
      <c r="J291" s="142"/>
      <c r="K291" s="134"/>
      <c r="L291" s="140"/>
    </row>
    <row r="292" ht="22.5" customHeight="1">
      <c r="A292" s="135"/>
      <c r="B292" s="136"/>
      <c r="C292" s="137"/>
      <c r="D292" s="137"/>
      <c r="E292" s="145"/>
      <c r="F292" s="139"/>
      <c r="G292" s="140"/>
      <c r="H292" s="143"/>
      <c r="I292" s="37"/>
      <c r="J292" s="144"/>
      <c r="K292" s="133"/>
      <c r="L292" s="140"/>
    </row>
    <row r="293" ht="22.5" customHeight="1">
      <c r="A293" s="135"/>
      <c r="B293" s="136"/>
      <c r="C293" s="137"/>
      <c r="D293" s="137"/>
      <c r="E293" s="145"/>
      <c r="F293" s="139"/>
      <c r="G293" s="140"/>
      <c r="H293" s="141"/>
      <c r="I293" s="41"/>
      <c r="J293" s="142"/>
      <c r="K293" s="134"/>
      <c r="L293" s="140"/>
    </row>
    <row r="294" ht="22.5" customHeight="1">
      <c r="A294" s="135"/>
      <c r="B294" s="136"/>
      <c r="C294" s="137"/>
      <c r="D294" s="137"/>
      <c r="E294" s="145"/>
      <c r="F294" s="139"/>
      <c r="G294" s="140"/>
      <c r="H294" s="143"/>
      <c r="I294" s="37"/>
      <c r="J294" s="144"/>
      <c r="K294" s="133"/>
      <c r="L294" s="140"/>
    </row>
    <row r="295" ht="22.5" customHeight="1">
      <c r="A295" s="135"/>
      <c r="B295" s="136"/>
      <c r="C295" s="137"/>
      <c r="D295" s="137"/>
      <c r="E295" s="145"/>
      <c r="F295" s="139"/>
      <c r="G295" s="140"/>
      <c r="H295" s="141"/>
      <c r="I295" s="41"/>
      <c r="J295" s="142"/>
      <c r="K295" s="134"/>
      <c r="L295" s="140"/>
    </row>
    <row r="296" ht="22.5" customHeight="1">
      <c r="A296" s="135"/>
      <c r="B296" s="136"/>
      <c r="C296" s="137"/>
      <c r="D296" s="137"/>
      <c r="E296" s="145"/>
      <c r="F296" s="139"/>
      <c r="G296" s="140"/>
      <c r="H296" s="143"/>
      <c r="I296" s="37"/>
      <c r="J296" s="144"/>
      <c r="K296" s="133"/>
      <c r="L296" s="140"/>
    </row>
    <row r="297" ht="22.5" customHeight="1">
      <c r="A297" s="135"/>
      <c r="B297" s="136"/>
      <c r="C297" s="137"/>
      <c r="D297" s="137"/>
      <c r="E297" s="145"/>
      <c r="F297" s="139"/>
      <c r="G297" s="140"/>
      <c r="H297" s="141"/>
      <c r="I297" s="41"/>
      <c r="J297" s="142"/>
      <c r="K297" s="134"/>
      <c r="L297" s="140"/>
    </row>
    <row r="298" ht="22.5" customHeight="1">
      <c r="A298" s="135"/>
      <c r="B298" s="136"/>
      <c r="C298" s="137"/>
      <c r="D298" s="137"/>
      <c r="E298" s="145"/>
      <c r="F298" s="139"/>
      <c r="G298" s="140"/>
      <c r="H298" s="143"/>
      <c r="I298" s="37"/>
      <c r="J298" s="144"/>
      <c r="K298" s="133"/>
      <c r="L298" s="140"/>
    </row>
    <row r="299" ht="22.5" customHeight="1">
      <c r="A299" s="135"/>
      <c r="B299" s="136"/>
      <c r="C299" s="137"/>
      <c r="D299" s="137"/>
      <c r="E299" s="145"/>
      <c r="F299" s="139"/>
      <c r="G299" s="140"/>
      <c r="H299" s="141"/>
      <c r="I299" s="41"/>
      <c r="J299" s="142"/>
      <c r="K299" s="134"/>
      <c r="L299" s="140"/>
    </row>
    <row r="300" ht="22.5" customHeight="1">
      <c r="A300" s="135"/>
      <c r="B300" s="136"/>
      <c r="C300" s="137"/>
      <c r="D300" s="137"/>
      <c r="E300" s="145"/>
      <c r="F300" s="139"/>
      <c r="G300" s="140"/>
      <c r="H300" s="143"/>
      <c r="I300" s="37"/>
      <c r="J300" s="144"/>
      <c r="K300" s="133"/>
      <c r="L300" s="140"/>
    </row>
    <row r="301" ht="22.5" customHeight="1">
      <c r="A301" s="135"/>
      <c r="B301" s="136"/>
      <c r="C301" s="137"/>
      <c r="D301" s="137"/>
      <c r="E301" s="145"/>
      <c r="F301" s="139"/>
      <c r="G301" s="140"/>
      <c r="H301" s="141"/>
      <c r="I301" s="41"/>
      <c r="J301" s="142"/>
      <c r="K301" s="134"/>
      <c r="L301" s="140"/>
    </row>
    <row r="302" ht="22.5" customHeight="1">
      <c r="A302" s="135"/>
      <c r="B302" s="136"/>
      <c r="C302" s="137"/>
      <c r="D302" s="137"/>
      <c r="E302" s="145"/>
      <c r="F302" s="139"/>
      <c r="G302" s="140"/>
      <c r="H302" s="143"/>
      <c r="I302" s="37"/>
      <c r="J302" s="144"/>
      <c r="K302" s="133"/>
      <c r="L302" s="140"/>
    </row>
    <row r="303" ht="22.5" customHeight="1">
      <c r="A303" s="135"/>
      <c r="B303" s="136"/>
      <c r="C303" s="137"/>
      <c r="D303" s="137"/>
      <c r="E303" s="145"/>
      <c r="F303" s="139"/>
      <c r="G303" s="140"/>
      <c r="H303" s="141"/>
      <c r="I303" s="41"/>
      <c r="J303" s="142"/>
      <c r="K303" s="134"/>
      <c r="L303" s="140"/>
    </row>
    <row r="304" ht="22.5" customHeight="1">
      <c r="A304" s="135"/>
      <c r="B304" s="136"/>
      <c r="C304" s="137"/>
      <c r="D304" s="137"/>
      <c r="E304" s="145"/>
      <c r="F304" s="139"/>
      <c r="G304" s="140"/>
      <c r="H304" s="143"/>
      <c r="I304" s="37"/>
      <c r="J304" s="144"/>
      <c r="K304" s="133"/>
      <c r="L304" s="140"/>
    </row>
    <row r="305" ht="22.5" customHeight="1">
      <c r="A305" s="135"/>
      <c r="B305" s="136"/>
      <c r="C305" s="137"/>
      <c r="D305" s="137"/>
      <c r="E305" s="145"/>
      <c r="F305" s="139"/>
      <c r="G305" s="140"/>
      <c r="H305" s="141"/>
      <c r="I305" s="41"/>
      <c r="J305" s="142"/>
      <c r="K305" s="134"/>
      <c r="L305" s="140"/>
    </row>
    <row r="306" ht="22.5" customHeight="1">
      <c r="A306" s="135"/>
      <c r="B306" s="136"/>
      <c r="C306" s="137"/>
      <c r="D306" s="137"/>
      <c r="E306" s="145"/>
      <c r="F306" s="139"/>
      <c r="G306" s="140"/>
      <c r="H306" s="143"/>
      <c r="I306" s="37"/>
      <c r="J306" s="144"/>
      <c r="K306" s="133"/>
      <c r="L306" s="140"/>
    </row>
    <row r="307" ht="22.5" customHeight="1">
      <c r="A307" s="135"/>
      <c r="B307" s="136"/>
      <c r="C307" s="137"/>
      <c r="D307" s="137"/>
      <c r="E307" s="145"/>
      <c r="F307" s="139"/>
      <c r="G307" s="140"/>
      <c r="H307" s="141"/>
      <c r="I307" s="41"/>
      <c r="J307" s="142"/>
      <c r="K307" s="134"/>
      <c r="L307" s="140"/>
    </row>
    <row r="308" ht="22.5" customHeight="1">
      <c r="A308" s="135"/>
      <c r="B308" s="136"/>
      <c r="C308" s="137"/>
      <c r="D308" s="137"/>
      <c r="E308" s="145"/>
      <c r="F308" s="139"/>
      <c r="G308" s="140"/>
      <c r="H308" s="143"/>
      <c r="I308" s="37"/>
      <c r="J308" s="144"/>
      <c r="K308" s="133"/>
      <c r="L308" s="140"/>
    </row>
    <row r="309" ht="22.5" customHeight="1">
      <c r="A309" s="135"/>
      <c r="B309" s="136"/>
      <c r="C309" s="137"/>
      <c r="D309" s="137"/>
      <c r="E309" s="145"/>
      <c r="F309" s="139"/>
      <c r="G309" s="140"/>
      <c r="H309" s="141"/>
      <c r="I309" s="41"/>
      <c r="J309" s="142"/>
      <c r="K309" s="134"/>
      <c r="L309" s="140"/>
    </row>
    <row r="310" ht="22.5" customHeight="1">
      <c r="A310" s="135"/>
      <c r="B310" s="136"/>
      <c r="C310" s="137"/>
      <c r="D310" s="137"/>
      <c r="E310" s="145"/>
      <c r="F310" s="139"/>
      <c r="G310" s="140"/>
      <c r="H310" s="143"/>
      <c r="I310" s="37"/>
      <c r="J310" s="144"/>
      <c r="K310" s="133"/>
      <c r="L310" s="140"/>
    </row>
    <row r="311" ht="22.5" customHeight="1">
      <c r="A311" s="135"/>
      <c r="B311" s="136"/>
      <c r="C311" s="137"/>
      <c r="D311" s="137"/>
      <c r="E311" s="145"/>
      <c r="F311" s="139"/>
      <c r="G311" s="140"/>
      <c r="H311" s="141"/>
      <c r="I311" s="41"/>
      <c r="J311" s="142"/>
      <c r="K311" s="134"/>
      <c r="L311" s="140"/>
    </row>
    <row r="312" ht="22.5" customHeight="1">
      <c r="A312" s="135"/>
      <c r="B312" s="136"/>
      <c r="C312" s="137"/>
      <c r="D312" s="137"/>
      <c r="E312" s="145"/>
      <c r="F312" s="139"/>
      <c r="G312" s="140"/>
      <c r="H312" s="143"/>
      <c r="I312" s="37"/>
      <c r="J312" s="144"/>
      <c r="K312" s="133"/>
      <c r="L312" s="140"/>
    </row>
    <row r="313" ht="22.5" customHeight="1">
      <c r="A313" s="135"/>
      <c r="B313" s="136"/>
      <c r="C313" s="137"/>
      <c r="D313" s="137"/>
      <c r="E313" s="145"/>
      <c r="F313" s="139"/>
      <c r="G313" s="140"/>
      <c r="H313" s="141"/>
      <c r="I313" s="41"/>
      <c r="J313" s="142"/>
      <c r="K313" s="134"/>
      <c r="L313" s="140"/>
    </row>
    <row r="314" ht="22.5" customHeight="1">
      <c r="A314" s="135"/>
      <c r="B314" s="136"/>
      <c r="C314" s="137"/>
      <c r="D314" s="137"/>
      <c r="E314" s="145"/>
      <c r="F314" s="139"/>
      <c r="G314" s="140"/>
      <c r="H314" s="143"/>
      <c r="I314" s="37"/>
      <c r="J314" s="144"/>
      <c r="K314" s="133"/>
      <c r="L314" s="140"/>
    </row>
    <row r="315" ht="22.5" customHeight="1">
      <c r="A315" s="135"/>
      <c r="B315" s="136"/>
      <c r="C315" s="137"/>
      <c r="D315" s="137"/>
      <c r="E315" s="145"/>
      <c r="F315" s="139"/>
      <c r="G315" s="140"/>
      <c r="H315" s="141"/>
      <c r="I315" s="41"/>
      <c r="J315" s="142"/>
      <c r="K315" s="134"/>
      <c r="L315" s="140"/>
    </row>
    <row r="316" ht="22.5" customHeight="1">
      <c r="A316" s="135"/>
      <c r="B316" s="136"/>
      <c r="C316" s="137"/>
      <c r="D316" s="137"/>
      <c r="E316" s="145"/>
      <c r="F316" s="139"/>
      <c r="G316" s="140"/>
      <c r="H316" s="143"/>
      <c r="I316" s="37"/>
      <c r="J316" s="144"/>
      <c r="K316" s="133"/>
      <c r="L316" s="140"/>
    </row>
    <row r="317" ht="22.5" customHeight="1">
      <c r="A317" s="135"/>
      <c r="B317" s="136"/>
      <c r="C317" s="137"/>
      <c r="D317" s="137"/>
      <c r="E317" s="145"/>
      <c r="F317" s="139"/>
      <c r="G317" s="140"/>
      <c r="H317" s="141"/>
      <c r="I317" s="41"/>
      <c r="J317" s="142"/>
      <c r="K317" s="134"/>
      <c r="L317" s="140"/>
    </row>
    <row r="318" ht="22.5" customHeight="1">
      <c r="A318" s="135"/>
      <c r="B318" s="136"/>
      <c r="C318" s="137"/>
      <c r="D318" s="137"/>
      <c r="E318" s="145"/>
      <c r="F318" s="139"/>
      <c r="G318" s="140"/>
      <c r="H318" s="143"/>
      <c r="I318" s="37"/>
      <c r="J318" s="144"/>
      <c r="K318" s="133"/>
      <c r="L318" s="140"/>
    </row>
    <row r="319" ht="22.5" customHeight="1">
      <c r="A319" s="135"/>
      <c r="B319" s="136"/>
      <c r="C319" s="137"/>
      <c r="D319" s="137"/>
      <c r="E319" s="145"/>
      <c r="F319" s="139"/>
      <c r="G319" s="140"/>
      <c r="H319" s="141"/>
      <c r="I319" s="41"/>
      <c r="J319" s="142"/>
      <c r="K319" s="134"/>
      <c r="L319" s="140"/>
    </row>
    <row r="320" ht="22.5" customHeight="1">
      <c r="A320" s="135"/>
      <c r="B320" s="136"/>
      <c r="C320" s="137"/>
      <c r="D320" s="137"/>
      <c r="E320" s="145"/>
      <c r="F320" s="139"/>
      <c r="G320" s="140"/>
      <c r="H320" s="143"/>
      <c r="I320" s="37"/>
      <c r="J320" s="144"/>
      <c r="K320" s="133"/>
      <c r="L320" s="140"/>
    </row>
    <row r="321" ht="22.5" customHeight="1">
      <c r="A321" s="135"/>
      <c r="B321" s="136"/>
      <c r="C321" s="137"/>
      <c r="D321" s="137"/>
      <c r="E321" s="145"/>
      <c r="F321" s="139"/>
      <c r="G321" s="140"/>
      <c r="H321" s="141"/>
      <c r="I321" s="41"/>
      <c r="J321" s="142"/>
      <c r="K321" s="134"/>
      <c r="L321" s="140"/>
    </row>
    <row r="322" ht="22.5" customHeight="1">
      <c r="A322" s="135"/>
      <c r="B322" s="136"/>
      <c r="C322" s="137"/>
      <c r="D322" s="137"/>
      <c r="E322" s="145"/>
      <c r="F322" s="139"/>
      <c r="G322" s="140"/>
      <c r="H322" s="143"/>
      <c r="I322" s="37"/>
      <c r="J322" s="144"/>
      <c r="K322" s="133"/>
      <c r="L322" s="140"/>
    </row>
    <row r="323" ht="22.5" customHeight="1">
      <c r="A323" s="135"/>
      <c r="B323" s="136"/>
      <c r="C323" s="137"/>
      <c r="D323" s="137"/>
      <c r="E323" s="145"/>
      <c r="F323" s="139"/>
      <c r="G323" s="140"/>
      <c r="H323" s="141"/>
      <c r="I323" s="41"/>
      <c r="J323" s="142"/>
      <c r="K323" s="134"/>
      <c r="L323" s="140"/>
    </row>
    <row r="324" ht="22.5" customHeight="1">
      <c r="A324" s="135"/>
      <c r="B324" s="136"/>
      <c r="C324" s="137"/>
      <c r="D324" s="137"/>
      <c r="E324" s="145"/>
      <c r="F324" s="139"/>
      <c r="G324" s="140"/>
      <c r="H324" s="143"/>
      <c r="I324" s="37"/>
      <c r="J324" s="144"/>
      <c r="K324" s="133"/>
      <c r="L324" s="140"/>
    </row>
    <row r="325" ht="22.5" customHeight="1">
      <c r="A325" s="135"/>
      <c r="B325" s="136"/>
      <c r="C325" s="137"/>
      <c r="D325" s="137"/>
      <c r="E325" s="145"/>
      <c r="F325" s="139"/>
      <c r="G325" s="140"/>
      <c r="H325" s="141"/>
      <c r="I325" s="41"/>
      <c r="J325" s="142"/>
      <c r="K325" s="134"/>
      <c r="L325" s="140"/>
    </row>
    <row r="326" ht="22.5" customHeight="1">
      <c r="A326" s="135"/>
      <c r="B326" s="136"/>
      <c r="C326" s="137"/>
      <c r="D326" s="137"/>
      <c r="E326" s="145"/>
      <c r="F326" s="139"/>
      <c r="G326" s="140"/>
      <c r="H326" s="143"/>
      <c r="I326" s="37"/>
      <c r="J326" s="144"/>
      <c r="K326" s="133"/>
      <c r="L326" s="140"/>
    </row>
    <row r="327" ht="22.5" customHeight="1">
      <c r="A327" s="135"/>
      <c r="B327" s="136"/>
      <c r="C327" s="137"/>
      <c r="D327" s="137"/>
      <c r="E327" s="145"/>
      <c r="F327" s="139"/>
      <c r="G327" s="140"/>
      <c r="H327" s="141"/>
      <c r="I327" s="41"/>
      <c r="J327" s="142"/>
      <c r="K327" s="134"/>
      <c r="L327" s="140"/>
    </row>
    <row r="328" ht="22.5" customHeight="1">
      <c r="A328" s="135"/>
      <c r="B328" s="136"/>
      <c r="C328" s="137"/>
      <c r="D328" s="137"/>
      <c r="E328" s="145"/>
      <c r="F328" s="139"/>
      <c r="G328" s="140"/>
      <c r="H328" s="143"/>
      <c r="I328" s="37"/>
      <c r="J328" s="144"/>
      <c r="K328" s="133"/>
      <c r="L328" s="140"/>
    </row>
    <row r="329" ht="22.5" customHeight="1">
      <c r="A329" s="135"/>
      <c r="B329" s="136"/>
      <c r="C329" s="137"/>
      <c r="D329" s="137"/>
      <c r="E329" s="145"/>
      <c r="F329" s="139"/>
      <c r="G329" s="140"/>
      <c r="H329" s="141"/>
      <c r="I329" s="41"/>
      <c r="J329" s="142"/>
      <c r="K329" s="134"/>
      <c r="L329" s="140"/>
    </row>
    <row r="330" ht="22.5" customHeight="1">
      <c r="A330" s="135"/>
      <c r="B330" s="136"/>
      <c r="C330" s="137"/>
      <c r="D330" s="137"/>
      <c r="E330" s="145"/>
      <c r="F330" s="139"/>
      <c r="G330" s="140"/>
      <c r="H330" s="143"/>
      <c r="I330" s="37"/>
      <c r="J330" s="144"/>
      <c r="K330" s="133"/>
      <c r="L330" s="140"/>
    </row>
    <row r="331" ht="22.5" customHeight="1">
      <c r="A331" s="135"/>
      <c r="B331" s="136"/>
      <c r="C331" s="137"/>
      <c r="D331" s="137"/>
      <c r="E331" s="145"/>
      <c r="F331" s="139"/>
      <c r="G331" s="140"/>
      <c r="H331" s="141"/>
      <c r="I331" s="41"/>
      <c r="J331" s="142"/>
      <c r="K331" s="134"/>
      <c r="L331" s="140"/>
    </row>
    <row r="332" ht="22.5" customHeight="1">
      <c r="A332" s="135"/>
      <c r="B332" s="136"/>
      <c r="C332" s="137"/>
      <c r="D332" s="137"/>
      <c r="E332" s="145"/>
      <c r="F332" s="139"/>
      <c r="G332" s="140"/>
      <c r="H332" s="143"/>
      <c r="I332" s="37"/>
      <c r="J332" s="144"/>
      <c r="K332" s="133"/>
      <c r="L332" s="140"/>
    </row>
    <row r="333" ht="22.5" customHeight="1">
      <c r="A333" s="135"/>
      <c r="B333" s="136"/>
      <c r="C333" s="137"/>
      <c r="D333" s="137"/>
      <c r="E333" s="145"/>
      <c r="F333" s="139"/>
      <c r="G333" s="140"/>
      <c r="H333" s="141"/>
      <c r="I333" s="41"/>
      <c r="J333" s="142"/>
      <c r="K333" s="134"/>
      <c r="L333" s="140"/>
    </row>
    <row r="334" ht="22.5" customHeight="1">
      <c r="A334" s="135"/>
      <c r="B334" s="136"/>
      <c r="C334" s="137"/>
      <c r="D334" s="137"/>
      <c r="E334" s="145"/>
      <c r="F334" s="139"/>
      <c r="G334" s="140"/>
      <c r="H334" s="143"/>
      <c r="I334" s="37"/>
      <c r="J334" s="144"/>
      <c r="K334" s="133"/>
      <c r="L334" s="140"/>
    </row>
    <row r="335" ht="22.5" customHeight="1">
      <c r="A335" s="135"/>
      <c r="B335" s="136"/>
      <c r="C335" s="137"/>
      <c r="D335" s="137"/>
      <c r="E335" s="145"/>
      <c r="F335" s="139"/>
      <c r="G335" s="140"/>
      <c r="H335" s="141"/>
      <c r="I335" s="41"/>
      <c r="J335" s="142"/>
      <c r="K335" s="134"/>
      <c r="L335" s="140"/>
    </row>
    <row r="336" ht="22.5" customHeight="1">
      <c r="A336" s="135"/>
      <c r="B336" s="136"/>
      <c r="C336" s="137"/>
      <c r="D336" s="137"/>
      <c r="E336" s="145"/>
      <c r="F336" s="139"/>
      <c r="G336" s="140"/>
      <c r="H336" s="143"/>
      <c r="I336" s="37"/>
      <c r="J336" s="144"/>
      <c r="K336" s="133"/>
      <c r="L336" s="140"/>
    </row>
    <row r="337" ht="22.5" customHeight="1">
      <c r="A337" s="135"/>
      <c r="B337" s="136"/>
      <c r="C337" s="137"/>
      <c r="D337" s="137"/>
      <c r="E337" s="145"/>
      <c r="F337" s="139"/>
      <c r="G337" s="140"/>
      <c r="H337" s="141"/>
      <c r="I337" s="41"/>
      <c r="J337" s="142"/>
      <c r="K337" s="134"/>
      <c r="L337" s="140"/>
    </row>
    <row r="338" ht="22.5" customHeight="1">
      <c r="A338" s="135"/>
      <c r="B338" s="136"/>
      <c r="C338" s="137"/>
      <c r="D338" s="137"/>
      <c r="E338" s="145"/>
      <c r="F338" s="139"/>
      <c r="G338" s="140"/>
      <c r="H338" s="143"/>
      <c r="I338" s="37"/>
      <c r="J338" s="144"/>
      <c r="K338" s="133"/>
      <c r="L338" s="140"/>
    </row>
    <row r="339" ht="22.5" customHeight="1">
      <c r="A339" s="135"/>
      <c r="B339" s="136"/>
      <c r="C339" s="137"/>
      <c r="D339" s="137"/>
      <c r="E339" s="145"/>
      <c r="F339" s="139"/>
      <c r="G339" s="140"/>
      <c r="H339" s="141"/>
      <c r="I339" s="41"/>
      <c r="J339" s="142"/>
      <c r="K339" s="134"/>
      <c r="L339" s="140"/>
    </row>
    <row r="340" ht="22.5" customHeight="1">
      <c r="A340" s="135"/>
      <c r="B340" s="136"/>
      <c r="C340" s="137"/>
      <c r="D340" s="137"/>
      <c r="E340" s="145"/>
      <c r="F340" s="139"/>
      <c r="G340" s="140"/>
      <c r="H340" s="143"/>
      <c r="I340" s="37"/>
      <c r="J340" s="144"/>
      <c r="K340" s="133"/>
      <c r="L340" s="140"/>
    </row>
    <row r="341" ht="22.5" customHeight="1">
      <c r="A341" s="135"/>
      <c r="B341" s="136"/>
      <c r="C341" s="137"/>
      <c r="D341" s="137"/>
      <c r="E341" s="145"/>
      <c r="F341" s="139"/>
      <c r="G341" s="140"/>
      <c r="H341" s="141"/>
      <c r="I341" s="41"/>
      <c r="J341" s="142"/>
      <c r="K341" s="134"/>
      <c r="L341" s="140"/>
    </row>
    <row r="342" ht="22.5" customHeight="1">
      <c r="A342" s="135"/>
      <c r="B342" s="136"/>
      <c r="C342" s="137"/>
      <c r="D342" s="137"/>
      <c r="E342" s="145"/>
      <c r="F342" s="139"/>
      <c r="G342" s="140"/>
      <c r="H342" s="143"/>
      <c r="I342" s="37"/>
      <c r="J342" s="144"/>
      <c r="K342" s="133"/>
      <c r="L342" s="140"/>
    </row>
    <row r="343" ht="22.5" customHeight="1">
      <c r="A343" s="135"/>
      <c r="B343" s="136"/>
      <c r="C343" s="137"/>
      <c r="D343" s="137"/>
      <c r="E343" s="145"/>
      <c r="F343" s="139"/>
      <c r="G343" s="140"/>
      <c r="H343" s="141"/>
      <c r="I343" s="41"/>
      <c r="J343" s="142"/>
      <c r="K343" s="134"/>
      <c r="L343" s="140"/>
    </row>
    <row r="344" ht="22.5" customHeight="1">
      <c r="A344" s="135"/>
      <c r="B344" s="136"/>
      <c r="C344" s="137"/>
      <c r="D344" s="137"/>
      <c r="E344" s="145"/>
      <c r="F344" s="139"/>
      <c r="G344" s="140"/>
      <c r="H344" s="143"/>
      <c r="I344" s="37"/>
      <c r="J344" s="144"/>
      <c r="K344" s="133"/>
      <c r="L344" s="140"/>
    </row>
    <row r="345" ht="22.5" customHeight="1">
      <c r="A345" s="135"/>
      <c r="B345" s="136"/>
      <c r="C345" s="137"/>
      <c r="D345" s="137"/>
      <c r="E345" s="145"/>
      <c r="F345" s="139"/>
      <c r="G345" s="140"/>
      <c r="H345" s="141"/>
      <c r="I345" s="41"/>
      <c r="J345" s="142"/>
      <c r="K345" s="134"/>
      <c r="L345" s="140"/>
    </row>
    <row r="346" ht="22.5" customHeight="1">
      <c r="A346" s="135"/>
      <c r="B346" s="136"/>
      <c r="C346" s="137"/>
      <c r="D346" s="137"/>
      <c r="E346" s="145"/>
      <c r="F346" s="139"/>
      <c r="G346" s="140"/>
      <c r="H346" s="143"/>
      <c r="I346" s="37"/>
      <c r="J346" s="144"/>
      <c r="K346" s="133"/>
      <c r="L346" s="140"/>
    </row>
    <row r="347" ht="22.5" customHeight="1">
      <c r="A347" s="135"/>
      <c r="B347" s="136"/>
      <c r="C347" s="137"/>
      <c r="D347" s="137"/>
      <c r="E347" s="145"/>
      <c r="F347" s="139"/>
      <c r="G347" s="140"/>
      <c r="H347" s="141"/>
      <c r="I347" s="41"/>
      <c r="J347" s="142"/>
      <c r="K347" s="134"/>
      <c r="L347" s="140"/>
    </row>
    <row r="348" ht="22.5" customHeight="1">
      <c r="A348" s="135"/>
      <c r="B348" s="136"/>
      <c r="C348" s="137"/>
      <c r="D348" s="137"/>
      <c r="E348" s="145"/>
      <c r="F348" s="139"/>
      <c r="G348" s="140"/>
      <c r="H348" s="143"/>
      <c r="I348" s="37"/>
      <c r="J348" s="144"/>
      <c r="K348" s="133"/>
      <c r="L348" s="140"/>
    </row>
    <row r="349" ht="22.5" customHeight="1">
      <c r="A349" s="135"/>
      <c r="B349" s="136"/>
      <c r="C349" s="137"/>
      <c r="D349" s="137"/>
      <c r="E349" s="145"/>
      <c r="F349" s="139"/>
      <c r="G349" s="140"/>
      <c r="H349" s="141"/>
      <c r="I349" s="41"/>
      <c r="J349" s="142"/>
      <c r="K349" s="134"/>
      <c r="L349" s="140"/>
    </row>
    <row r="350" ht="22.5" customHeight="1">
      <c r="A350" s="135"/>
      <c r="B350" s="136"/>
      <c r="C350" s="137"/>
      <c r="D350" s="137"/>
      <c r="E350" s="145"/>
      <c r="F350" s="139"/>
      <c r="G350" s="140"/>
      <c r="H350" s="143"/>
      <c r="I350" s="37"/>
      <c r="J350" s="144"/>
      <c r="K350" s="133"/>
      <c r="L350" s="140"/>
    </row>
    <row r="351" ht="22.5" customHeight="1">
      <c r="A351" s="135"/>
      <c r="B351" s="136"/>
      <c r="C351" s="137"/>
      <c r="D351" s="137"/>
      <c r="E351" s="145"/>
      <c r="F351" s="139"/>
      <c r="G351" s="140"/>
      <c r="H351" s="141"/>
      <c r="I351" s="41"/>
      <c r="J351" s="142"/>
      <c r="K351" s="134"/>
      <c r="L351" s="140"/>
    </row>
    <row r="352" ht="22.5" customHeight="1">
      <c r="A352" s="135"/>
      <c r="B352" s="136"/>
      <c r="C352" s="137"/>
      <c r="D352" s="137"/>
      <c r="E352" s="145"/>
      <c r="F352" s="139"/>
      <c r="G352" s="140"/>
      <c r="H352" s="143"/>
      <c r="I352" s="37"/>
      <c r="J352" s="144"/>
      <c r="K352" s="133"/>
      <c r="L352" s="140"/>
    </row>
    <row r="353" ht="22.5" customHeight="1">
      <c r="A353" s="135"/>
      <c r="B353" s="136"/>
      <c r="C353" s="137"/>
      <c r="D353" s="137"/>
      <c r="E353" s="145"/>
      <c r="F353" s="139"/>
      <c r="G353" s="140"/>
      <c r="H353" s="141"/>
      <c r="I353" s="41"/>
      <c r="J353" s="142"/>
      <c r="K353" s="134"/>
      <c r="L353" s="140"/>
    </row>
    <row r="354" ht="22.5" customHeight="1">
      <c r="A354" s="135"/>
      <c r="B354" s="136"/>
      <c r="C354" s="137"/>
      <c r="D354" s="137"/>
      <c r="E354" s="145"/>
      <c r="F354" s="139"/>
      <c r="G354" s="140"/>
      <c r="H354" s="143"/>
      <c r="I354" s="37"/>
      <c r="J354" s="144"/>
      <c r="K354" s="133"/>
      <c r="L354" s="140"/>
    </row>
    <row r="355" ht="22.5" customHeight="1">
      <c r="A355" s="135"/>
      <c r="B355" s="136"/>
      <c r="C355" s="137"/>
      <c r="D355" s="137"/>
      <c r="E355" s="145"/>
      <c r="F355" s="139"/>
      <c r="G355" s="140"/>
      <c r="H355" s="141"/>
      <c r="I355" s="41"/>
      <c r="J355" s="142"/>
      <c r="K355" s="134"/>
      <c r="L355" s="140"/>
    </row>
    <row r="356" ht="22.5" customHeight="1">
      <c r="A356" s="135"/>
      <c r="B356" s="136"/>
      <c r="C356" s="137"/>
      <c r="D356" s="137"/>
      <c r="E356" s="145"/>
      <c r="F356" s="139"/>
      <c r="G356" s="140"/>
      <c r="H356" s="143"/>
      <c r="I356" s="37"/>
      <c r="J356" s="144"/>
      <c r="K356" s="133"/>
      <c r="L356" s="140"/>
    </row>
    <row r="357" ht="22.5" customHeight="1">
      <c r="A357" s="135"/>
      <c r="B357" s="136"/>
      <c r="C357" s="137"/>
      <c r="D357" s="137"/>
      <c r="E357" s="145"/>
      <c r="F357" s="139"/>
      <c r="G357" s="140"/>
      <c r="H357" s="141"/>
      <c r="I357" s="41"/>
      <c r="J357" s="142"/>
      <c r="K357" s="134"/>
      <c r="L357" s="140"/>
    </row>
    <row r="358" ht="22.5" customHeight="1">
      <c r="A358" s="135"/>
      <c r="B358" s="136"/>
      <c r="C358" s="137"/>
      <c r="D358" s="137"/>
      <c r="E358" s="145"/>
      <c r="F358" s="139"/>
      <c r="G358" s="140"/>
      <c r="H358" s="143"/>
      <c r="I358" s="37"/>
      <c r="J358" s="144"/>
      <c r="K358" s="133"/>
      <c r="L358" s="140"/>
    </row>
    <row r="359" ht="22.5" customHeight="1">
      <c r="A359" s="135"/>
      <c r="B359" s="136"/>
      <c r="C359" s="137"/>
      <c r="D359" s="137"/>
      <c r="E359" s="145"/>
      <c r="F359" s="139"/>
      <c r="G359" s="140"/>
      <c r="H359" s="141"/>
      <c r="I359" s="41"/>
      <c r="J359" s="142"/>
      <c r="K359" s="134"/>
      <c r="L359" s="140"/>
    </row>
    <row r="360" ht="22.5" customHeight="1">
      <c r="A360" s="135"/>
      <c r="B360" s="136"/>
      <c r="C360" s="137"/>
      <c r="D360" s="137"/>
      <c r="E360" s="145"/>
      <c r="F360" s="139"/>
      <c r="G360" s="140"/>
      <c r="H360" s="143"/>
      <c r="I360" s="37"/>
      <c r="J360" s="144"/>
      <c r="K360" s="133"/>
      <c r="L360" s="140"/>
    </row>
    <row r="361" ht="22.5" customHeight="1">
      <c r="A361" s="135"/>
      <c r="B361" s="136"/>
      <c r="C361" s="137"/>
      <c r="D361" s="137"/>
      <c r="E361" s="145"/>
      <c r="F361" s="139"/>
      <c r="G361" s="140"/>
      <c r="H361" s="141"/>
      <c r="I361" s="41"/>
      <c r="J361" s="142"/>
      <c r="K361" s="134"/>
      <c r="L361" s="140"/>
    </row>
    <row r="362" ht="22.5" customHeight="1">
      <c r="A362" s="135"/>
      <c r="B362" s="136"/>
      <c r="C362" s="137"/>
      <c r="D362" s="137"/>
      <c r="E362" s="145"/>
      <c r="F362" s="139"/>
      <c r="G362" s="140"/>
      <c r="H362" s="143"/>
      <c r="I362" s="37"/>
      <c r="J362" s="144"/>
      <c r="K362" s="133"/>
      <c r="L362" s="140"/>
    </row>
    <row r="363" ht="22.5" customHeight="1">
      <c r="A363" s="135"/>
      <c r="B363" s="136"/>
      <c r="C363" s="137"/>
      <c r="D363" s="137"/>
      <c r="E363" s="145"/>
      <c r="F363" s="139"/>
      <c r="G363" s="140"/>
      <c r="H363" s="141"/>
      <c r="I363" s="41"/>
      <c r="J363" s="142"/>
      <c r="K363" s="134"/>
      <c r="L363" s="140"/>
    </row>
    <row r="364" ht="22.5" customHeight="1">
      <c r="A364" s="135"/>
      <c r="B364" s="136"/>
      <c r="C364" s="137"/>
      <c r="D364" s="137"/>
      <c r="E364" s="145"/>
      <c r="F364" s="139"/>
      <c r="G364" s="140"/>
      <c r="H364" s="143"/>
      <c r="I364" s="37"/>
      <c r="J364" s="144"/>
      <c r="K364" s="133"/>
      <c r="L364" s="140"/>
    </row>
    <row r="365" ht="22.5" customHeight="1">
      <c r="A365" s="135"/>
      <c r="B365" s="136"/>
      <c r="C365" s="137"/>
      <c r="D365" s="137"/>
      <c r="E365" s="145"/>
      <c r="F365" s="139"/>
      <c r="G365" s="140"/>
      <c r="H365" s="141"/>
      <c r="I365" s="41"/>
      <c r="J365" s="142"/>
      <c r="K365" s="134"/>
      <c r="L365" s="140"/>
    </row>
    <row r="366" ht="22.5" customHeight="1">
      <c r="A366" s="135"/>
      <c r="B366" s="136"/>
      <c r="C366" s="137"/>
      <c r="D366" s="137"/>
      <c r="E366" s="145"/>
      <c r="F366" s="139"/>
      <c r="G366" s="140"/>
      <c r="H366" s="143"/>
      <c r="I366" s="37"/>
      <c r="J366" s="144"/>
      <c r="K366" s="133"/>
      <c r="L366" s="140"/>
    </row>
    <row r="367" ht="22.5" customHeight="1">
      <c r="A367" s="135"/>
      <c r="B367" s="136"/>
      <c r="C367" s="137"/>
      <c r="D367" s="137"/>
      <c r="E367" s="145"/>
      <c r="F367" s="139"/>
      <c r="G367" s="140"/>
      <c r="H367" s="141"/>
      <c r="I367" s="41"/>
      <c r="J367" s="142"/>
      <c r="K367" s="134"/>
      <c r="L367" s="140"/>
    </row>
    <row r="368" ht="22.5" customHeight="1">
      <c r="A368" s="135"/>
      <c r="B368" s="136"/>
      <c r="C368" s="137"/>
      <c r="D368" s="137"/>
      <c r="E368" s="145"/>
      <c r="F368" s="139"/>
      <c r="G368" s="140"/>
      <c r="H368" s="143"/>
      <c r="I368" s="37"/>
      <c r="J368" s="144"/>
      <c r="K368" s="133"/>
      <c r="L368" s="140"/>
    </row>
    <row r="369" ht="22.5" customHeight="1">
      <c r="A369" s="135"/>
      <c r="B369" s="136"/>
      <c r="C369" s="137"/>
      <c r="D369" s="137"/>
      <c r="E369" s="145"/>
      <c r="F369" s="139"/>
      <c r="G369" s="140"/>
      <c r="H369" s="141"/>
      <c r="I369" s="41"/>
      <c r="J369" s="142"/>
      <c r="K369" s="134"/>
      <c r="L369" s="140"/>
    </row>
    <row r="370" ht="22.5" customHeight="1">
      <c r="A370" s="135"/>
      <c r="B370" s="136"/>
      <c r="C370" s="137"/>
      <c r="D370" s="137"/>
      <c r="E370" s="145"/>
      <c r="F370" s="139"/>
      <c r="G370" s="140"/>
      <c r="H370" s="143"/>
      <c r="I370" s="37"/>
      <c r="J370" s="144"/>
      <c r="K370" s="133"/>
      <c r="L370" s="140"/>
    </row>
    <row r="371" ht="22.5" customHeight="1">
      <c r="A371" s="135"/>
      <c r="B371" s="136"/>
      <c r="C371" s="137"/>
      <c r="D371" s="137"/>
      <c r="E371" s="145"/>
      <c r="F371" s="139"/>
      <c r="G371" s="140"/>
      <c r="H371" s="141"/>
      <c r="I371" s="41"/>
      <c r="J371" s="142"/>
      <c r="K371" s="134"/>
      <c r="L371" s="140"/>
    </row>
    <row r="372" ht="22.5" customHeight="1">
      <c r="A372" s="135"/>
      <c r="B372" s="136"/>
      <c r="C372" s="137"/>
      <c r="D372" s="137"/>
      <c r="E372" s="145"/>
      <c r="F372" s="139"/>
      <c r="G372" s="140"/>
      <c r="H372" s="143"/>
      <c r="I372" s="37"/>
      <c r="J372" s="144"/>
      <c r="K372" s="133"/>
      <c r="L372" s="140"/>
    </row>
    <row r="373" ht="22.5" customHeight="1">
      <c r="A373" s="135"/>
      <c r="B373" s="136"/>
      <c r="C373" s="137"/>
      <c r="D373" s="137"/>
      <c r="E373" s="145"/>
      <c r="F373" s="139"/>
      <c r="G373" s="140"/>
      <c r="H373" s="141"/>
      <c r="I373" s="41"/>
      <c r="J373" s="142"/>
      <c r="K373" s="134"/>
      <c r="L373" s="140"/>
    </row>
    <row r="374" ht="22.5" customHeight="1">
      <c r="A374" s="135"/>
      <c r="B374" s="136"/>
      <c r="C374" s="137"/>
      <c r="D374" s="137"/>
      <c r="E374" s="145"/>
      <c r="F374" s="139"/>
      <c r="G374" s="140"/>
      <c r="H374" s="143"/>
      <c r="I374" s="37"/>
      <c r="J374" s="144"/>
      <c r="K374" s="133"/>
      <c r="L374" s="140"/>
    </row>
    <row r="375" ht="22.5" customHeight="1">
      <c r="A375" s="135"/>
      <c r="B375" s="136"/>
      <c r="C375" s="137"/>
      <c r="D375" s="137"/>
      <c r="E375" s="145"/>
      <c r="F375" s="139"/>
      <c r="G375" s="140"/>
      <c r="H375" s="141"/>
      <c r="I375" s="41"/>
      <c r="J375" s="142"/>
      <c r="K375" s="134"/>
      <c r="L375" s="140"/>
    </row>
    <row r="376" ht="22.5" customHeight="1">
      <c r="A376" s="135"/>
      <c r="B376" s="136"/>
      <c r="C376" s="137"/>
      <c r="D376" s="137"/>
      <c r="E376" s="145"/>
      <c r="F376" s="139"/>
      <c r="G376" s="140"/>
      <c r="H376" s="143"/>
      <c r="I376" s="37"/>
      <c r="J376" s="144"/>
      <c r="K376" s="133"/>
      <c r="L376" s="140"/>
    </row>
    <row r="377" ht="22.5" customHeight="1">
      <c r="A377" s="135"/>
      <c r="B377" s="136"/>
      <c r="C377" s="137"/>
      <c r="D377" s="137"/>
      <c r="E377" s="145"/>
      <c r="F377" s="139"/>
      <c r="G377" s="140"/>
      <c r="H377" s="141"/>
      <c r="I377" s="41"/>
      <c r="J377" s="142"/>
      <c r="K377" s="134"/>
      <c r="L377" s="140"/>
    </row>
    <row r="378" ht="22.5" customHeight="1">
      <c r="A378" s="135"/>
      <c r="B378" s="136"/>
      <c r="C378" s="137"/>
      <c r="D378" s="137"/>
      <c r="E378" s="145"/>
      <c r="F378" s="139"/>
      <c r="G378" s="140"/>
      <c r="H378" s="143"/>
      <c r="I378" s="37"/>
      <c r="J378" s="144"/>
      <c r="K378" s="133"/>
      <c r="L378" s="140"/>
    </row>
    <row r="379" ht="22.5" customHeight="1">
      <c r="A379" s="135"/>
      <c r="B379" s="136"/>
      <c r="C379" s="137"/>
      <c r="D379" s="137"/>
      <c r="E379" s="145"/>
      <c r="F379" s="139"/>
      <c r="G379" s="140"/>
      <c r="H379" s="141"/>
      <c r="I379" s="41"/>
      <c r="J379" s="142"/>
      <c r="K379" s="134"/>
      <c r="L379" s="140"/>
    </row>
    <row r="380" ht="22.5" customHeight="1">
      <c r="A380" s="135"/>
      <c r="B380" s="136"/>
      <c r="C380" s="137"/>
      <c r="D380" s="137"/>
      <c r="E380" s="145"/>
      <c r="F380" s="139"/>
      <c r="G380" s="140"/>
      <c r="H380" s="143"/>
      <c r="I380" s="37"/>
      <c r="J380" s="144"/>
      <c r="K380" s="133"/>
      <c r="L380" s="140"/>
    </row>
    <row r="381" ht="22.5" customHeight="1">
      <c r="A381" s="135"/>
      <c r="B381" s="136"/>
      <c r="C381" s="137"/>
      <c r="D381" s="137"/>
      <c r="E381" s="145"/>
      <c r="F381" s="139"/>
      <c r="G381" s="140"/>
      <c r="H381" s="141"/>
      <c r="I381" s="41"/>
      <c r="J381" s="142"/>
      <c r="K381" s="134"/>
      <c r="L381" s="140"/>
    </row>
    <row r="382" ht="22.5" customHeight="1">
      <c r="A382" s="135"/>
      <c r="B382" s="136"/>
      <c r="C382" s="137"/>
      <c r="D382" s="137"/>
      <c r="E382" s="145"/>
      <c r="F382" s="139"/>
      <c r="G382" s="140"/>
      <c r="H382" s="143"/>
      <c r="I382" s="37"/>
      <c r="J382" s="144"/>
      <c r="K382" s="133"/>
      <c r="L382" s="140"/>
    </row>
    <row r="383" ht="22.5" customHeight="1">
      <c r="A383" s="135"/>
      <c r="B383" s="136"/>
      <c r="C383" s="137"/>
      <c r="D383" s="137"/>
      <c r="E383" s="145"/>
      <c r="F383" s="139"/>
      <c r="G383" s="140"/>
      <c r="H383" s="141"/>
      <c r="I383" s="41"/>
      <c r="J383" s="142"/>
      <c r="K383" s="134"/>
      <c r="L383" s="140"/>
    </row>
    <row r="384" ht="22.5" customHeight="1">
      <c r="A384" s="135"/>
      <c r="B384" s="136"/>
      <c r="C384" s="137"/>
      <c r="D384" s="137"/>
      <c r="E384" s="145"/>
      <c r="F384" s="139"/>
      <c r="G384" s="140"/>
      <c r="H384" s="143"/>
      <c r="I384" s="37"/>
      <c r="J384" s="144"/>
      <c r="K384" s="133"/>
      <c r="L384" s="140"/>
    </row>
    <row r="385" ht="22.5" customHeight="1">
      <c r="A385" s="135"/>
      <c r="B385" s="136"/>
      <c r="C385" s="137"/>
      <c r="D385" s="137"/>
      <c r="E385" s="145"/>
      <c r="F385" s="139"/>
      <c r="G385" s="140"/>
      <c r="H385" s="141"/>
      <c r="I385" s="41"/>
      <c r="J385" s="142"/>
      <c r="K385" s="134"/>
      <c r="L385" s="140"/>
    </row>
    <row r="386" ht="22.5" customHeight="1">
      <c r="A386" s="135"/>
      <c r="B386" s="136"/>
      <c r="C386" s="137"/>
      <c r="D386" s="137"/>
      <c r="E386" s="145"/>
      <c r="F386" s="139"/>
      <c r="G386" s="140"/>
      <c r="H386" s="143"/>
      <c r="I386" s="37"/>
      <c r="J386" s="144"/>
      <c r="K386" s="133"/>
      <c r="L386" s="140"/>
    </row>
    <row r="387" ht="22.5" customHeight="1">
      <c r="A387" s="135"/>
      <c r="B387" s="136"/>
      <c r="C387" s="137"/>
      <c r="D387" s="137"/>
      <c r="E387" s="145"/>
      <c r="F387" s="139"/>
      <c r="G387" s="140"/>
      <c r="H387" s="141"/>
      <c r="I387" s="41"/>
      <c r="J387" s="142"/>
      <c r="K387" s="134"/>
      <c r="L387" s="140"/>
    </row>
    <row r="388" ht="22.5" customHeight="1">
      <c r="A388" s="135"/>
      <c r="B388" s="136"/>
      <c r="C388" s="137"/>
      <c r="D388" s="137"/>
      <c r="E388" s="145"/>
      <c r="F388" s="139"/>
      <c r="G388" s="140"/>
      <c r="H388" s="143"/>
      <c r="I388" s="37"/>
      <c r="J388" s="144"/>
      <c r="K388" s="133"/>
      <c r="L388" s="140"/>
    </row>
    <row r="389" ht="22.5" customHeight="1">
      <c r="A389" s="135"/>
      <c r="B389" s="136"/>
      <c r="C389" s="137"/>
      <c r="D389" s="137"/>
      <c r="E389" s="145"/>
      <c r="F389" s="139"/>
      <c r="G389" s="140"/>
      <c r="H389" s="141"/>
      <c r="I389" s="41"/>
      <c r="J389" s="142"/>
      <c r="K389" s="134"/>
      <c r="L389" s="140"/>
    </row>
    <row r="390" ht="22.5" customHeight="1">
      <c r="A390" s="135"/>
      <c r="B390" s="136"/>
      <c r="C390" s="137"/>
      <c r="D390" s="137"/>
      <c r="E390" s="145"/>
      <c r="F390" s="139"/>
      <c r="G390" s="140"/>
      <c r="H390" s="143"/>
      <c r="I390" s="37"/>
      <c r="J390" s="144"/>
      <c r="K390" s="133"/>
      <c r="L390" s="140"/>
    </row>
    <row r="391" ht="22.5" customHeight="1">
      <c r="A391" s="135"/>
      <c r="B391" s="136"/>
      <c r="C391" s="137"/>
      <c r="D391" s="137"/>
      <c r="E391" s="145"/>
      <c r="F391" s="139"/>
      <c r="G391" s="140"/>
      <c r="H391" s="141"/>
      <c r="I391" s="41"/>
      <c r="J391" s="142"/>
      <c r="K391" s="134"/>
      <c r="L391" s="140"/>
    </row>
    <row r="392" ht="22.5" customHeight="1">
      <c r="A392" s="135"/>
      <c r="B392" s="136"/>
      <c r="C392" s="137"/>
      <c r="D392" s="137"/>
      <c r="E392" s="145"/>
      <c r="F392" s="139"/>
      <c r="G392" s="140"/>
      <c r="H392" s="143"/>
      <c r="I392" s="37"/>
      <c r="J392" s="144"/>
      <c r="K392" s="133"/>
      <c r="L392" s="140"/>
    </row>
    <row r="393" ht="22.5" customHeight="1">
      <c r="A393" s="135"/>
      <c r="B393" s="136"/>
      <c r="C393" s="137"/>
      <c r="D393" s="137"/>
      <c r="E393" s="145"/>
      <c r="F393" s="139"/>
      <c r="G393" s="140"/>
      <c r="H393" s="141"/>
      <c r="I393" s="41"/>
      <c r="J393" s="142"/>
      <c r="K393" s="134"/>
      <c r="L393" s="140"/>
    </row>
    <row r="394" ht="22.5" customHeight="1">
      <c r="A394" s="135"/>
      <c r="B394" s="136"/>
      <c r="C394" s="137"/>
      <c r="D394" s="137"/>
      <c r="E394" s="145"/>
      <c r="F394" s="139"/>
      <c r="G394" s="140"/>
      <c r="H394" s="143"/>
      <c r="I394" s="37"/>
      <c r="J394" s="144"/>
      <c r="K394" s="133"/>
      <c r="L394" s="140"/>
    </row>
    <row r="395" ht="22.5" customHeight="1">
      <c r="A395" s="135"/>
      <c r="B395" s="136"/>
      <c r="C395" s="137"/>
      <c r="D395" s="137"/>
      <c r="E395" s="145"/>
      <c r="F395" s="139"/>
      <c r="G395" s="140"/>
      <c r="H395" s="141"/>
      <c r="I395" s="41"/>
      <c r="J395" s="142"/>
      <c r="K395" s="134"/>
      <c r="L395" s="140"/>
    </row>
    <row r="396" ht="22.5" customHeight="1">
      <c r="A396" s="135"/>
      <c r="B396" s="136"/>
      <c r="C396" s="137"/>
      <c r="D396" s="137"/>
      <c r="E396" s="145"/>
      <c r="F396" s="139"/>
      <c r="G396" s="140"/>
      <c r="H396" s="143"/>
      <c r="I396" s="37"/>
      <c r="J396" s="144"/>
      <c r="K396" s="133"/>
      <c r="L396" s="140"/>
    </row>
    <row r="397" ht="22.5" customHeight="1">
      <c r="A397" s="135"/>
      <c r="B397" s="136"/>
      <c r="C397" s="137"/>
      <c r="D397" s="137"/>
      <c r="E397" s="145"/>
      <c r="F397" s="139"/>
      <c r="G397" s="140"/>
      <c r="H397" s="141"/>
      <c r="I397" s="41"/>
      <c r="J397" s="142"/>
      <c r="K397" s="134"/>
      <c r="L397" s="140"/>
    </row>
    <row r="398" ht="22.5" customHeight="1">
      <c r="A398" s="135"/>
      <c r="B398" s="136"/>
      <c r="C398" s="137"/>
      <c r="D398" s="137"/>
      <c r="E398" s="145"/>
      <c r="F398" s="139"/>
      <c r="G398" s="140"/>
      <c r="H398" s="143"/>
      <c r="I398" s="37"/>
      <c r="J398" s="144"/>
      <c r="K398" s="133"/>
      <c r="L398" s="140"/>
    </row>
    <row r="399" ht="22.5" customHeight="1">
      <c r="A399" s="135"/>
      <c r="B399" s="136"/>
      <c r="C399" s="137"/>
      <c r="D399" s="137"/>
      <c r="E399" s="145"/>
      <c r="F399" s="139"/>
      <c r="G399" s="140"/>
      <c r="H399" s="141"/>
      <c r="I399" s="41"/>
      <c r="J399" s="142"/>
      <c r="K399" s="134"/>
      <c r="L399" s="140"/>
    </row>
    <row r="400" ht="22.5" customHeight="1">
      <c r="A400" s="135"/>
      <c r="B400" s="136"/>
      <c r="C400" s="137"/>
      <c r="D400" s="137"/>
      <c r="E400" s="145"/>
      <c r="F400" s="139"/>
      <c r="G400" s="140"/>
      <c r="H400" s="143"/>
      <c r="I400" s="37"/>
      <c r="J400" s="144"/>
      <c r="K400" s="133"/>
      <c r="L400" s="140"/>
    </row>
    <row r="401" ht="22.5" customHeight="1">
      <c r="A401" s="135"/>
      <c r="B401" s="136"/>
      <c r="C401" s="137"/>
      <c r="D401" s="137"/>
      <c r="E401" s="145"/>
      <c r="F401" s="139"/>
      <c r="G401" s="140"/>
      <c r="H401" s="141"/>
      <c r="I401" s="41"/>
      <c r="J401" s="142"/>
      <c r="K401" s="134"/>
      <c r="L401" s="140"/>
    </row>
    <row r="402" ht="22.5" customHeight="1">
      <c r="A402" s="135"/>
      <c r="B402" s="136"/>
      <c r="C402" s="137"/>
      <c r="D402" s="137"/>
      <c r="E402" s="145"/>
      <c r="F402" s="139"/>
      <c r="G402" s="140"/>
      <c r="H402" s="143"/>
      <c r="I402" s="37"/>
      <c r="J402" s="144"/>
      <c r="K402" s="133"/>
      <c r="L402" s="140"/>
    </row>
    <row r="403" ht="22.5" customHeight="1">
      <c r="A403" s="135"/>
      <c r="B403" s="136"/>
      <c r="C403" s="137"/>
      <c r="D403" s="137"/>
      <c r="E403" s="145"/>
      <c r="F403" s="139"/>
      <c r="G403" s="140"/>
      <c r="H403" s="141"/>
      <c r="I403" s="41"/>
      <c r="J403" s="142"/>
      <c r="K403" s="134"/>
      <c r="L403" s="140"/>
    </row>
    <row r="404" ht="22.5" customHeight="1">
      <c r="A404" s="135"/>
      <c r="B404" s="136"/>
      <c r="C404" s="137"/>
      <c r="D404" s="137"/>
      <c r="E404" s="145"/>
      <c r="F404" s="139"/>
      <c r="G404" s="140"/>
      <c r="H404" s="143"/>
      <c r="I404" s="37"/>
      <c r="J404" s="144"/>
      <c r="K404" s="133"/>
      <c r="L404" s="140"/>
    </row>
    <row r="405" ht="22.5" customHeight="1">
      <c r="A405" s="135"/>
      <c r="B405" s="136"/>
      <c r="C405" s="137"/>
      <c r="D405" s="137"/>
      <c r="E405" s="145"/>
      <c r="F405" s="139"/>
      <c r="G405" s="140"/>
      <c r="H405" s="141"/>
      <c r="I405" s="41"/>
      <c r="J405" s="142"/>
      <c r="K405" s="134"/>
      <c r="L405" s="140"/>
    </row>
    <row r="406" ht="22.5" customHeight="1">
      <c r="A406" s="135"/>
      <c r="B406" s="136"/>
      <c r="C406" s="137"/>
      <c r="D406" s="137"/>
      <c r="E406" s="145"/>
      <c r="F406" s="139"/>
      <c r="G406" s="140"/>
      <c r="H406" s="143"/>
      <c r="I406" s="37"/>
      <c r="J406" s="144"/>
      <c r="K406" s="133"/>
      <c r="L406" s="140"/>
    </row>
    <row r="407" ht="22.5" customHeight="1">
      <c r="A407" s="135"/>
      <c r="B407" s="136"/>
      <c r="C407" s="137"/>
      <c r="D407" s="137"/>
      <c r="E407" s="145"/>
      <c r="F407" s="139"/>
      <c r="G407" s="140"/>
      <c r="H407" s="141"/>
      <c r="I407" s="41"/>
      <c r="J407" s="142"/>
      <c r="K407" s="134"/>
      <c r="L407" s="140"/>
    </row>
    <row r="408" ht="22.5" customHeight="1">
      <c r="A408" s="135"/>
      <c r="B408" s="136"/>
      <c r="C408" s="137"/>
      <c r="D408" s="137"/>
      <c r="E408" s="145"/>
      <c r="F408" s="139"/>
      <c r="G408" s="140"/>
      <c r="H408" s="143"/>
      <c r="I408" s="37"/>
      <c r="J408" s="144"/>
      <c r="K408" s="133"/>
      <c r="L408" s="140"/>
    </row>
    <row r="409" ht="22.5" customHeight="1">
      <c r="A409" s="135"/>
      <c r="B409" s="136"/>
      <c r="C409" s="137"/>
      <c r="D409" s="137"/>
      <c r="E409" s="145"/>
      <c r="F409" s="139"/>
      <c r="G409" s="140"/>
      <c r="H409" s="141"/>
      <c r="I409" s="41"/>
      <c r="J409" s="142"/>
      <c r="K409" s="134"/>
      <c r="L409" s="140"/>
    </row>
    <row r="410" ht="22.5" customHeight="1">
      <c r="A410" s="135"/>
      <c r="B410" s="136"/>
      <c r="C410" s="137"/>
      <c r="D410" s="137"/>
      <c r="E410" s="145"/>
      <c r="F410" s="139"/>
      <c r="G410" s="140"/>
      <c r="H410" s="143"/>
      <c r="I410" s="37"/>
      <c r="J410" s="144"/>
      <c r="K410" s="133"/>
      <c r="L410" s="140"/>
    </row>
    <row r="411" ht="22.5" customHeight="1">
      <c r="A411" s="135"/>
      <c r="B411" s="136"/>
      <c r="C411" s="137"/>
      <c r="D411" s="137"/>
      <c r="E411" s="145"/>
      <c r="F411" s="139"/>
      <c r="G411" s="140"/>
      <c r="H411" s="141"/>
      <c r="I411" s="41"/>
      <c r="J411" s="142"/>
      <c r="K411" s="134"/>
      <c r="L411" s="140"/>
    </row>
    <row r="412" ht="22.5" customHeight="1">
      <c r="A412" s="135"/>
      <c r="B412" s="136"/>
      <c r="C412" s="137"/>
      <c r="D412" s="137"/>
      <c r="E412" s="145"/>
      <c r="F412" s="139"/>
      <c r="G412" s="140"/>
      <c r="H412" s="143"/>
      <c r="I412" s="37"/>
      <c r="J412" s="144"/>
      <c r="K412" s="133"/>
      <c r="L412" s="140"/>
    </row>
    <row r="413" ht="22.5" customHeight="1">
      <c r="A413" s="135"/>
      <c r="B413" s="136"/>
      <c r="C413" s="137"/>
      <c r="D413" s="137"/>
      <c r="E413" s="145"/>
      <c r="F413" s="139"/>
      <c r="G413" s="140"/>
      <c r="H413" s="141"/>
      <c r="I413" s="41"/>
      <c r="J413" s="142"/>
      <c r="K413" s="134"/>
      <c r="L413" s="140"/>
    </row>
    <row r="414" ht="22.5" customHeight="1">
      <c r="A414" s="135"/>
      <c r="B414" s="136"/>
      <c r="C414" s="137"/>
      <c r="D414" s="137"/>
      <c r="E414" s="145"/>
      <c r="F414" s="139"/>
      <c r="G414" s="140"/>
      <c r="H414" s="143"/>
      <c r="I414" s="37"/>
      <c r="J414" s="144"/>
      <c r="K414" s="133"/>
      <c r="L414" s="140"/>
    </row>
    <row r="415" ht="22.5" customHeight="1">
      <c r="A415" s="135"/>
      <c r="B415" s="136"/>
      <c r="C415" s="137"/>
      <c r="D415" s="137"/>
      <c r="E415" s="145"/>
      <c r="F415" s="139"/>
      <c r="G415" s="140"/>
      <c r="H415" s="141"/>
      <c r="I415" s="41"/>
      <c r="J415" s="142"/>
      <c r="K415" s="134"/>
      <c r="L415" s="140"/>
    </row>
    <row r="416" ht="22.5" customHeight="1">
      <c r="A416" s="135"/>
      <c r="B416" s="136"/>
      <c r="C416" s="137"/>
      <c r="D416" s="137"/>
      <c r="E416" s="145"/>
      <c r="F416" s="139"/>
      <c r="G416" s="140"/>
      <c r="H416" s="143"/>
      <c r="I416" s="37"/>
      <c r="J416" s="144"/>
      <c r="K416" s="133"/>
      <c r="L416" s="140"/>
    </row>
    <row r="417" ht="22.5" customHeight="1">
      <c r="A417" s="135"/>
      <c r="B417" s="136"/>
      <c r="C417" s="137"/>
      <c r="D417" s="137"/>
      <c r="E417" s="145"/>
      <c r="F417" s="139"/>
      <c r="G417" s="140"/>
      <c r="H417" s="141"/>
      <c r="I417" s="41"/>
      <c r="J417" s="142"/>
      <c r="K417" s="134"/>
      <c r="L417" s="140"/>
    </row>
    <row r="418" ht="22.5" customHeight="1">
      <c r="A418" s="135"/>
      <c r="B418" s="136"/>
      <c r="C418" s="137"/>
      <c r="D418" s="137"/>
      <c r="E418" s="145"/>
      <c r="F418" s="139"/>
      <c r="G418" s="140"/>
      <c r="H418" s="143"/>
      <c r="I418" s="37"/>
      <c r="J418" s="144"/>
      <c r="K418" s="133"/>
      <c r="L418" s="140"/>
    </row>
    <row r="419" ht="22.5" customHeight="1">
      <c r="A419" s="135"/>
      <c r="B419" s="136"/>
      <c r="C419" s="137"/>
      <c r="D419" s="137"/>
      <c r="E419" s="145"/>
      <c r="F419" s="139"/>
      <c r="G419" s="140"/>
      <c r="H419" s="141"/>
      <c r="I419" s="41"/>
      <c r="J419" s="142"/>
      <c r="K419" s="134"/>
      <c r="L419" s="140"/>
    </row>
    <row r="420" ht="22.5" customHeight="1">
      <c r="A420" s="135"/>
      <c r="B420" s="136"/>
      <c r="C420" s="137"/>
      <c r="D420" s="137"/>
      <c r="E420" s="145"/>
      <c r="F420" s="139"/>
      <c r="G420" s="140"/>
      <c r="H420" s="143"/>
      <c r="I420" s="37"/>
      <c r="J420" s="144"/>
      <c r="K420" s="133"/>
      <c r="L420" s="140"/>
    </row>
    <row r="421" ht="22.5" customHeight="1">
      <c r="A421" s="135"/>
      <c r="B421" s="136"/>
      <c r="C421" s="137"/>
      <c r="D421" s="137"/>
      <c r="E421" s="145"/>
      <c r="F421" s="139"/>
      <c r="G421" s="140"/>
      <c r="H421" s="141"/>
      <c r="I421" s="41"/>
      <c r="J421" s="142"/>
      <c r="K421" s="134"/>
      <c r="L421" s="140"/>
    </row>
    <row r="422" ht="22.5" customHeight="1">
      <c r="A422" s="135"/>
      <c r="B422" s="136"/>
      <c r="C422" s="137"/>
      <c r="D422" s="137"/>
      <c r="E422" s="145"/>
      <c r="F422" s="139"/>
      <c r="G422" s="140"/>
      <c r="H422" s="143"/>
      <c r="I422" s="37"/>
      <c r="J422" s="144"/>
      <c r="K422" s="133"/>
      <c r="L422" s="140"/>
    </row>
    <row r="423" ht="22.5" customHeight="1">
      <c r="A423" s="135"/>
      <c r="B423" s="136"/>
      <c r="C423" s="137"/>
      <c r="D423" s="137"/>
      <c r="E423" s="145"/>
      <c r="F423" s="139"/>
      <c r="G423" s="140"/>
      <c r="H423" s="141"/>
      <c r="I423" s="41"/>
      <c r="J423" s="142"/>
      <c r="K423" s="134"/>
      <c r="L423" s="140"/>
    </row>
    <row r="424" ht="22.5" customHeight="1">
      <c r="A424" s="135"/>
      <c r="B424" s="136"/>
      <c r="C424" s="137"/>
      <c r="D424" s="137"/>
      <c r="E424" s="145"/>
      <c r="F424" s="139"/>
      <c r="G424" s="140"/>
      <c r="H424" s="143"/>
      <c r="I424" s="37"/>
      <c r="J424" s="144"/>
      <c r="K424" s="133"/>
      <c r="L424" s="140"/>
    </row>
    <row r="425" ht="22.5" customHeight="1">
      <c r="A425" s="135"/>
      <c r="B425" s="136"/>
      <c r="C425" s="137"/>
      <c r="D425" s="137"/>
      <c r="E425" s="145"/>
      <c r="F425" s="139"/>
      <c r="G425" s="140"/>
      <c r="H425" s="141"/>
      <c r="I425" s="41"/>
      <c r="J425" s="142"/>
      <c r="K425" s="134"/>
      <c r="L425" s="140"/>
    </row>
    <row r="426" ht="22.5" customHeight="1">
      <c r="A426" s="135"/>
      <c r="B426" s="136"/>
      <c r="C426" s="137"/>
      <c r="D426" s="137"/>
      <c r="E426" s="145"/>
      <c r="F426" s="139"/>
      <c r="G426" s="140"/>
      <c r="H426" s="143"/>
      <c r="I426" s="37"/>
      <c r="J426" s="144"/>
      <c r="K426" s="133"/>
      <c r="L426" s="140"/>
    </row>
    <row r="427" ht="22.5" customHeight="1">
      <c r="A427" s="135"/>
      <c r="B427" s="136"/>
      <c r="C427" s="137"/>
      <c r="D427" s="137"/>
      <c r="E427" s="145"/>
      <c r="F427" s="139"/>
      <c r="G427" s="140"/>
      <c r="H427" s="141"/>
      <c r="I427" s="41"/>
      <c r="J427" s="142"/>
      <c r="K427" s="134"/>
      <c r="L427" s="140"/>
    </row>
    <row r="428" ht="22.5" customHeight="1">
      <c r="A428" s="135"/>
      <c r="B428" s="136"/>
      <c r="C428" s="137"/>
      <c r="D428" s="137"/>
      <c r="E428" s="145"/>
      <c r="F428" s="139"/>
      <c r="G428" s="140"/>
      <c r="H428" s="143"/>
      <c r="I428" s="37"/>
      <c r="J428" s="144"/>
      <c r="K428" s="133"/>
      <c r="L428" s="140"/>
    </row>
    <row r="429" ht="22.5" customHeight="1">
      <c r="A429" s="135"/>
      <c r="B429" s="136"/>
      <c r="C429" s="137"/>
      <c r="D429" s="137"/>
      <c r="E429" s="145"/>
      <c r="F429" s="139"/>
      <c r="G429" s="140"/>
      <c r="H429" s="141"/>
      <c r="I429" s="41"/>
      <c r="J429" s="142"/>
      <c r="K429" s="134"/>
      <c r="L429" s="140"/>
    </row>
    <row r="430" ht="22.5" customHeight="1">
      <c r="A430" s="135"/>
      <c r="B430" s="136"/>
      <c r="C430" s="137"/>
      <c r="D430" s="137"/>
      <c r="E430" s="145"/>
      <c r="F430" s="139"/>
      <c r="G430" s="140"/>
      <c r="H430" s="143"/>
      <c r="I430" s="37"/>
      <c r="J430" s="144"/>
      <c r="K430" s="133"/>
      <c r="L430" s="140"/>
    </row>
    <row r="431" ht="22.5" customHeight="1">
      <c r="A431" s="135"/>
      <c r="B431" s="136"/>
      <c r="C431" s="137"/>
      <c r="D431" s="137"/>
      <c r="E431" s="145"/>
      <c r="F431" s="139"/>
      <c r="G431" s="140"/>
      <c r="H431" s="141"/>
      <c r="I431" s="41"/>
      <c r="J431" s="142"/>
      <c r="K431" s="134"/>
      <c r="L431" s="140"/>
    </row>
    <row r="432" ht="22.5" customHeight="1">
      <c r="A432" s="135"/>
      <c r="B432" s="136"/>
      <c r="C432" s="137"/>
      <c r="D432" s="137"/>
      <c r="E432" s="145"/>
      <c r="F432" s="139"/>
      <c r="G432" s="140"/>
      <c r="H432" s="143"/>
      <c r="I432" s="37"/>
      <c r="J432" s="144"/>
      <c r="K432" s="133"/>
      <c r="L432" s="140"/>
    </row>
    <row r="433" ht="22.5" customHeight="1">
      <c r="A433" s="135"/>
      <c r="B433" s="136"/>
      <c r="C433" s="137"/>
      <c r="D433" s="137"/>
      <c r="E433" s="145"/>
      <c r="F433" s="139"/>
      <c r="G433" s="140"/>
      <c r="H433" s="141"/>
      <c r="I433" s="41"/>
      <c r="J433" s="142"/>
      <c r="K433" s="134"/>
      <c r="L433" s="140"/>
    </row>
    <row r="434" ht="22.5" customHeight="1">
      <c r="A434" s="135"/>
      <c r="B434" s="136"/>
      <c r="C434" s="137"/>
      <c r="D434" s="137"/>
      <c r="E434" s="145"/>
      <c r="F434" s="139"/>
      <c r="G434" s="140"/>
      <c r="H434" s="143"/>
      <c r="I434" s="37"/>
      <c r="J434" s="144"/>
      <c r="K434" s="133"/>
      <c r="L434" s="140"/>
    </row>
    <row r="435" ht="22.5" customHeight="1">
      <c r="A435" s="135"/>
      <c r="B435" s="136"/>
      <c r="C435" s="137"/>
      <c r="D435" s="137"/>
      <c r="E435" s="145"/>
      <c r="F435" s="139"/>
      <c r="G435" s="140"/>
      <c r="H435" s="141"/>
      <c r="I435" s="41"/>
      <c r="J435" s="142"/>
      <c r="K435" s="134"/>
      <c r="L435" s="140"/>
    </row>
    <row r="436" ht="22.5" customHeight="1">
      <c r="A436" s="135"/>
      <c r="B436" s="136"/>
      <c r="C436" s="137"/>
      <c r="D436" s="137"/>
      <c r="E436" s="145"/>
      <c r="F436" s="139"/>
      <c r="G436" s="140"/>
      <c r="H436" s="143"/>
      <c r="I436" s="37"/>
      <c r="J436" s="144"/>
      <c r="K436" s="133"/>
      <c r="L436" s="140"/>
    </row>
    <row r="437" ht="22.5" customHeight="1">
      <c r="A437" s="135"/>
      <c r="B437" s="136"/>
      <c r="C437" s="137"/>
      <c r="D437" s="137"/>
      <c r="E437" s="145"/>
      <c r="F437" s="139"/>
      <c r="G437" s="140"/>
      <c r="H437" s="141"/>
      <c r="I437" s="41"/>
      <c r="J437" s="142"/>
      <c r="K437" s="134"/>
      <c r="L437" s="140"/>
    </row>
    <row r="438" ht="22.5" customHeight="1">
      <c r="A438" s="135"/>
      <c r="B438" s="136"/>
      <c r="C438" s="137"/>
      <c r="D438" s="137"/>
      <c r="E438" s="145"/>
      <c r="F438" s="139"/>
      <c r="G438" s="140"/>
      <c r="H438" s="143"/>
      <c r="I438" s="37"/>
      <c r="J438" s="144"/>
      <c r="K438" s="133"/>
      <c r="L438" s="140"/>
    </row>
    <row r="439" ht="22.5" customHeight="1">
      <c r="A439" s="135"/>
      <c r="B439" s="136"/>
      <c r="C439" s="137"/>
      <c r="D439" s="137"/>
      <c r="E439" s="145"/>
      <c r="F439" s="139"/>
      <c r="G439" s="140"/>
      <c r="H439" s="141"/>
      <c r="I439" s="41"/>
      <c r="J439" s="142"/>
      <c r="K439" s="134"/>
      <c r="L439" s="140"/>
    </row>
    <row r="440" ht="22.5" customHeight="1">
      <c r="A440" s="135"/>
      <c r="B440" s="136"/>
      <c r="C440" s="137"/>
      <c r="D440" s="137"/>
      <c r="E440" s="145"/>
      <c r="F440" s="139"/>
      <c r="G440" s="140"/>
      <c r="H440" s="143"/>
      <c r="I440" s="37"/>
      <c r="J440" s="144"/>
      <c r="K440" s="133"/>
      <c r="L440" s="140"/>
    </row>
    <row r="441" ht="22.5" customHeight="1">
      <c r="A441" s="135"/>
      <c r="B441" s="136"/>
      <c r="C441" s="137"/>
      <c r="D441" s="137"/>
      <c r="E441" s="145"/>
      <c r="F441" s="139"/>
      <c r="G441" s="140"/>
      <c r="H441" s="141"/>
      <c r="I441" s="41"/>
      <c r="J441" s="142"/>
      <c r="K441" s="134"/>
      <c r="L441" s="140"/>
    </row>
    <row r="442" ht="22.5" customHeight="1">
      <c r="A442" s="135"/>
      <c r="B442" s="136"/>
      <c r="C442" s="137"/>
      <c r="D442" s="137"/>
      <c r="E442" s="145"/>
      <c r="F442" s="139"/>
      <c r="G442" s="140"/>
      <c r="H442" s="143"/>
      <c r="I442" s="37"/>
      <c r="J442" s="144"/>
      <c r="K442" s="133"/>
      <c r="L442" s="140"/>
    </row>
    <row r="443" ht="22.5" customHeight="1">
      <c r="A443" s="135"/>
      <c r="B443" s="136"/>
      <c r="C443" s="137"/>
      <c r="D443" s="137"/>
      <c r="E443" s="145"/>
      <c r="F443" s="139"/>
      <c r="G443" s="140"/>
      <c r="H443" s="141"/>
      <c r="I443" s="41"/>
      <c r="J443" s="142"/>
      <c r="K443" s="134"/>
      <c r="L443" s="140"/>
    </row>
    <row r="444" ht="22.5" customHeight="1">
      <c r="A444" s="135"/>
      <c r="B444" s="136"/>
      <c r="C444" s="137"/>
      <c r="D444" s="137"/>
      <c r="E444" s="145"/>
      <c r="F444" s="139"/>
      <c r="G444" s="140"/>
      <c r="H444" s="143"/>
      <c r="I444" s="37"/>
      <c r="J444" s="144"/>
      <c r="K444" s="133"/>
      <c r="L444" s="140"/>
    </row>
    <row r="445" ht="22.5" customHeight="1">
      <c r="A445" s="135"/>
      <c r="B445" s="136"/>
      <c r="C445" s="137"/>
      <c r="D445" s="137"/>
      <c r="E445" s="145"/>
      <c r="F445" s="139"/>
      <c r="G445" s="140"/>
      <c r="H445" s="141"/>
      <c r="I445" s="41"/>
      <c r="J445" s="142"/>
      <c r="K445" s="134"/>
      <c r="L445" s="140"/>
    </row>
    <row r="446" ht="22.5" customHeight="1">
      <c r="A446" s="135"/>
      <c r="B446" s="136"/>
      <c r="C446" s="137"/>
      <c r="D446" s="137"/>
      <c r="E446" s="145"/>
      <c r="F446" s="139"/>
      <c r="G446" s="140"/>
      <c r="H446" s="143"/>
      <c r="I446" s="37"/>
      <c r="J446" s="144"/>
      <c r="K446" s="133"/>
      <c r="L446" s="140"/>
    </row>
    <row r="447" ht="22.5" customHeight="1">
      <c r="A447" s="135"/>
      <c r="B447" s="136"/>
      <c r="C447" s="137"/>
      <c r="D447" s="137"/>
      <c r="E447" s="145"/>
      <c r="F447" s="139"/>
      <c r="G447" s="140"/>
      <c r="H447" s="141"/>
      <c r="I447" s="41"/>
      <c r="J447" s="142"/>
      <c r="K447" s="134"/>
      <c r="L447" s="140"/>
    </row>
    <row r="448" ht="22.5" customHeight="1">
      <c r="A448" s="135"/>
      <c r="B448" s="136"/>
      <c r="C448" s="137"/>
      <c r="D448" s="137"/>
      <c r="E448" s="145"/>
      <c r="F448" s="139"/>
      <c r="G448" s="140"/>
      <c r="H448" s="143"/>
      <c r="I448" s="37"/>
      <c r="J448" s="144"/>
      <c r="K448" s="133"/>
      <c r="L448" s="140"/>
    </row>
    <row r="449" ht="22.5" customHeight="1">
      <c r="A449" s="135"/>
      <c r="B449" s="136"/>
      <c r="C449" s="137"/>
      <c r="D449" s="137"/>
      <c r="E449" s="145"/>
      <c r="F449" s="139"/>
      <c r="G449" s="140"/>
      <c r="H449" s="141"/>
      <c r="I449" s="41"/>
      <c r="J449" s="142"/>
      <c r="K449" s="134"/>
      <c r="L449" s="140"/>
    </row>
    <row r="450" ht="22.5" customHeight="1">
      <c r="A450" s="135"/>
      <c r="B450" s="136"/>
      <c r="C450" s="137"/>
      <c r="D450" s="137"/>
      <c r="E450" s="145"/>
      <c r="F450" s="139"/>
      <c r="G450" s="140"/>
      <c r="H450" s="143"/>
      <c r="I450" s="37"/>
      <c r="J450" s="144"/>
      <c r="K450" s="133"/>
      <c r="L450" s="140"/>
    </row>
    <row r="451" ht="22.5" customHeight="1">
      <c r="A451" s="135"/>
      <c r="B451" s="136"/>
      <c r="C451" s="137"/>
      <c r="D451" s="137"/>
      <c r="E451" s="145"/>
      <c r="F451" s="139"/>
      <c r="G451" s="140"/>
      <c r="H451" s="141"/>
      <c r="I451" s="41"/>
      <c r="J451" s="142"/>
      <c r="K451" s="134"/>
      <c r="L451" s="140"/>
    </row>
    <row r="452" ht="22.5" customHeight="1">
      <c r="A452" s="135"/>
      <c r="B452" s="136"/>
      <c r="C452" s="137"/>
      <c r="D452" s="137"/>
      <c r="E452" s="145"/>
      <c r="F452" s="139"/>
      <c r="G452" s="140"/>
      <c r="H452" s="143"/>
      <c r="I452" s="37"/>
      <c r="J452" s="144"/>
      <c r="K452" s="133"/>
      <c r="L452" s="140"/>
    </row>
    <row r="453" ht="22.5" customHeight="1">
      <c r="A453" s="135"/>
      <c r="B453" s="136"/>
      <c r="C453" s="137"/>
      <c r="D453" s="137"/>
      <c r="E453" s="145"/>
      <c r="F453" s="139"/>
      <c r="G453" s="140"/>
      <c r="H453" s="141"/>
      <c r="I453" s="41"/>
      <c r="J453" s="142"/>
      <c r="K453" s="134"/>
      <c r="L453" s="140"/>
    </row>
    <row r="454" ht="22.5" customHeight="1">
      <c r="A454" s="135"/>
      <c r="B454" s="136"/>
      <c r="C454" s="137"/>
      <c r="D454" s="137"/>
      <c r="E454" s="145"/>
      <c r="F454" s="139"/>
      <c r="G454" s="140"/>
      <c r="H454" s="143"/>
      <c r="I454" s="37"/>
      <c r="J454" s="144"/>
      <c r="K454" s="133"/>
      <c r="L454" s="140"/>
    </row>
    <row r="455" ht="22.5" customHeight="1">
      <c r="A455" s="135"/>
      <c r="B455" s="136"/>
      <c r="C455" s="137"/>
      <c r="D455" s="137"/>
      <c r="E455" s="145"/>
      <c r="F455" s="139"/>
      <c r="G455" s="140"/>
      <c r="H455" s="141"/>
      <c r="I455" s="41"/>
      <c r="J455" s="142"/>
      <c r="K455" s="134"/>
      <c r="L455" s="140"/>
    </row>
    <row r="456" ht="22.5" customHeight="1">
      <c r="A456" s="135"/>
      <c r="B456" s="136"/>
      <c r="C456" s="137"/>
      <c r="D456" s="137"/>
      <c r="E456" s="145"/>
      <c r="F456" s="139"/>
      <c r="G456" s="140"/>
      <c r="H456" s="143"/>
      <c r="I456" s="37"/>
      <c r="J456" s="144"/>
      <c r="K456" s="133"/>
      <c r="L456" s="140"/>
    </row>
    <row r="457" ht="22.5" customHeight="1">
      <c r="A457" s="135"/>
      <c r="B457" s="136"/>
      <c r="C457" s="137"/>
      <c r="D457" s="137"/>
      <c r="E457" s="145"/>
      <c r="F457" s="139"/>
      <c r="G457" s="140"/>
      <c r="H457" s="141"/>
      <c r="I457" s="41"/>
      <c r="J457" s="142"/>
      <c r="K457" s="134"/>
      <c r="L457" s="140"/>
    </row>
    <row r="458" ht="22.5" customHeight="1">
      <c r="A458" s="135"/>
      <c r="B458" s="136"/>
      <c r="C458" s="137"/>
      <c r="D458" s="137"/>
      <c r="E458" s="145"/>
      <c r="F458" s="139"/>
      <c r="G458" s="140"/>
      <c r="H458" s="143"/>
      <c r="I458" s="37"/>
      <c r="J458" s="144"/>
      <c r="K458" s="133"/>
      <c r="L458" s="140"/>
    </row>
    <row r="459" ht="22.5" customHeight="1">
      <c r="A459" s="135"/>
      <c r="B459" s="136"/>
      <c r="C459" s="137"/>
      <c r="D459" s="137"/>
      <c r="E459" s="145"/>
      <c r="F459" s="139"/>
      <c r="G459" s="140"/>
      <c r="H459" s="141"/>
      <c r="I459" s="41"/>
      <c r="J459" s="142"/>
      <c r="K459" s="134"/>
      <c r="L459" s="140"/>
    </row>
    <row r="460" ht="22.5" customHeight="1">
      <c r="A460" s="135"/>
      <c r="B460" s="136"/>
      <c r="C460" s="137"/>
      <c r="D460" s="137"/>
      <c r="E460" s="145"/>
      <c r="F460" s="139"/>
      <c r="G460" s="140"/>
      <c r="H460" s="143"/>
      <c r="I460" s="37"/>
      <c r="J460" s="144"/>
      <c r="K460" s="133"/>
      <c r="L460" s="140"/>
    </row>
    <row r="461" ht="22.5" customHeight="1">
      <c r="A461" s="135"/>
      <c r="B461" s="136"/>
      <c r="C461" s="137"/>
      <c r="D461" s="137"/>
      <c r="E461" s="145"/>
      <c r="F461" s="139"/>
      <c r="G461" s="140"/>
      <c r="H461" s="141"/>
      <c r="I461" s="41"/>
      <c r="J461" s="142"/>
      <c r="K461" s="134"/>
      <c r="L461" s="140"/>
    </row>
    <row r="462" ht="22.5" customHeight="1">
      <c r="A462" s="135"/>
      <c r="B462" s="136"/>
      <c r="C462" s="137"/>
      <c r="D462" s="137"/>
      <c r="E462" s="145"/>
      <c r="F462" s="139"/>
      <c r="G462" s="140"/>
      <c r="H462" s="143"/>
      <c r="I462" s="37"/>
      <c r="J462" s="144"/>
      <c r="K462" s="133"/>
      <c r="L462" s="140"/>
    </row>
    <row r="463" ht="22.5" customHeight="1">
      <c r="A463" s="135"/>
      <c r="B463" s="136"/>
      <c r="C463" s="137"/>
      <c r="D463" s="137"/>
      <c r="E463" s="145"/>
      <c r="F463" s="139"/>
      <c r="G463" s="140"/>
      <c r="H463" s="141"/>
      <c r="I463" s="41"/>
      <c r="J463" s="142"/>
      <c r="K463" s="134"/>
      <c r="L463" s="140"/>
    </row>
    <row r="464" ht="22.5" customHeight="1">
      <c r="A464" s="135"/>
      <c r="B464" s="136"/>
      <c r="C464" s="137"/>
      <c r="D464" s="137"/>
      <c r="E464" s="145"/>
      <c r="F464" s="139"/>
      <c r="G464" s="140"/>
      <c r="H464" s="143"/>
      <c r="I464" s="37"/>
      <c r="J464" s="144"/>
      <c r="K464" s="133"/>
      <c r="L464" s="140"/>
    </row>
    <row r="465" ht="22.5" customHeight="1">
      <c r="A465" s="135"/>
      <c r="B465" s="136"/>
      <c r="C465" s="137"/>
      <c r="D465" s="137"/>
      <c r="E465" s="145"/>
      <c r="F465" s="139"/>
      <c r="G465" s="140"/>
      <c r="H465" s="141"/>
      <c r="I465" s="41"/>
      <c r="J465" s="142"/>
      <c r="K465" s="134"/>
      <c r="L465" s="140"/>
    </row>
    <row r="466" ht="22.5" customHeight="1">
      <c r="A466" s="135"/>
      <c r="B466" s="136"/>
      <c r="C466" s="137"/>
      <c r="D466" s="137"/>
      <c r="E466" s="145"/>
      <c r="F466" s="139"/>
      <c r="G466" s="140"/>
      <c r="H466" s="143"/>
      <c r="I466" s="37"/>
      <c r="J466" s="144"/>
      <c r="K466" s="133"/>
      <c r="L466" s="140"/>
    </row>
    <row r="467" ht="22.5" customHeight="1">
      <c r="A467" s="135"/>
      <c r="B467" s="136"/>
      <c r="C467" s="137"/>
      <c r="D467" s="137"/>
      <c r="E467" s="145"/>
      <c r="F467" s="139"/>
      <c r="G467" s="140"/>
      <c r="H467" s="141"/>
      <c r="I467" s="41"/>
      <c r="J467" s="142"/>
      <c r="K467" s="134"/>
      <c r="L467" s="140"/>
    </row>
    <row r="468" ht="22.5" customHeight="1">
      <c r="A468" s="135"/>
      <c r="B468" s="136"/>
      <c r="C468" s="137"/>
      <c r="D468" s="137"/>
      <c r="E468" s="145"/>
      <c r="F468" s="139"/>
      <c r="G468" s="140"/>
      <c r="H468" s="143"/>
      <c r="I468" s="37"/>
      <c r="J468" s="144"/>
      <c r="K468" s="133"/>
      <c r="L468" s="140"/>
    </row>
    <row r="469" ht="22.5" customHeight="1">
      <c r="A469" s="135"/>
      <c r="B469" s="136"/>
      <c r="C469" s="137"/>
      <c r="D469" s="137"/>
      <c r="E469" s="145"/>
      <c r="F469" s="139"/>
      <c r="G469" s="140"/>
      <c r="H469" s="141"/>
      <c r="I469" s="41"/>
      <c r="J469" s="142"/>
      <c r="K469" s="134"/>
      <c r="L469" s="140"/>
    </row>
    <row r="470" ht="22.5" customHeight="1">
      <c r="A470" s="135"/>
      <c r="B470" s="136"/>
      <c r="C470" s="137"/>
      <c r="D470" s="137"/>
      <c r="E470" s="145"/>
      <c r="F470" s="139"/>
      <c r="G470" s="140"/>
      <c r="H470" s="143"/>
      <c r="I470" s="37"/>
      <c r="J470" s="144"/>
      <c r="K470" s="133"/>
      <c r="L470" s="140"/>
    </row>
    <row r="471" ht="22.5" customHeight="1">
      <c r="A471" s="135"/>
      <c r="B471" s="136"/>
      <c r="C471" s="137"/>
      <c r="D471" s="137"/>
      <c r="E471" s="145"/>
      <c r="F471" s="139"/>
      <c r="G471" s="140"/>
      <c r="H471" s="141"/>
      <c r="I471" s="41"/>
      <c r="J471" s="142"/>
      <c r="K471" s="134"/>
      <c r="L471" s="140"/>
    </row>
    <row r="472" ht="22.5" customHeight="1">
      <c r="A472" s="135"/>
      <c r="B472" s="136"/>
      <c r="C472" s="137"/>
      <c r="D472" s="137"/>
      <c r="E472" s="145"/>
      <c r="F472" s="139"/>
      <c r="G472" s="140"/>
      <c r="H472" s="143"/>
      <c r="I472" s="37"/>
      <c r="J472" s="144"/>
      <c r="K472" s="133"/>
      <c r="L472" s="140"/>
    </row>
    <row r="473" ht="22.5" customHeight="1">
      <c r="A473" s="135"/>
      <c r="B473" s="136"/>
      <c r="C473" s="137"/>
      <c r="D473" s="137"/>
      <c r="E473" s="145"/>
      <c r="F473" s="139"/>
      <c r="G473" s="140"/>
      <c r="H473" s="141"/>
      <c r="I473" s="41"/>
      <c r="J473" s="142"/>
      <c r="K473" s="134"/>
      <c r="L473" s="140"/>
    </row>
    <row r="474" ht="22.5" customHeight="1">
      <c r="A474" s="135"/>
      <c r="B474" s="136"/>
      <c r="C474" s="137"/>
      <c r="D474" s="137"/>
      <c r="E474" s="145"/>
      <c r="F474" s="139"/>
      <c r="G474" s="140"/>
      <c r="H474" s="143"/>
      <c r="I474" s="37"/>
      <c r="J474" s="144"/>
      <c r="K474" s="133"/>
      <c r="L474" s="140"/>
    </row>
    <row r="475" ht="22.5" customHeight="1">
      <c r="A475" s="135"/>
      <c r="B475" s="136"/>
      <c r="C475" s="137"/>
      <c r="D475" s="137"/>
      <c r="E475" s="145"/>
      <c r="F475" s="139"/>
      <c r="G475" s="140"/>
      <c r="H475" s="141"/>
      <c r="I475" s="41"/>
      <c r="J475" s="142"/>
      <c r="K475" s="134"/>
      <c r="L475" s="140"/>
    </row>
    <row r="476" ht="22.5" customHeight="1">
      <c r="A476" s="135"/>
      <c r="B476" s="136"/>
      <c r="C476" s="137"/>
      <c r="D476" s="137"/>
      <c r="E476" s="145"/>
      <c r="F476" s="139"/>
      <c r="G476" s="140"/>
      <c r="H476" s="143"/>
      <c r="I476" s="37"/>
      <c r="J476" s="144"/>
      <c r="K476" s="133"/>
      <c r="L476" s="140"/>
    </row>
    <row r="477" ht="22.5" customHeight="1">
      <c r="A477" s="135"/>
      <c r="B477" s="136"/>
      <c r="C477" s="137"/>
      <c r="D477" s="137"/>
      <c r="E477" s="145"/>
      <c r="F477" s="139"/>
      <c r="G477" s="140"/>
      <c r="H477" s="141"/>
      <c r="I477" s="41"/>
      <c r="J477" s="142"/>
      <c r="K477" s="134"/>
      <c r="L477" s="140"/>
    </row>
    <row r="478" ht="22.5" customHeight="1">
      <c r="A478" s="135"/>
      <c r="B478" s="136"/>
      <c r="C478" s="137"/>
      <c r="D478" s="137"/>
      <c r="E478" s="145"/>
      <c r="F478" s="139"/>
      <c r="G478" s="140"/>
      <c r="H478" s="143"/>
      <c r="I478" s="37"/>
      <c r="J478" s="144"/>
      <c r="K478" s="133"/>
      <c r="L478" s="140"/>
    </row>
    <row r="479" ht="22.5" customHeight="1">
      <c r="A479" s="135"/>
      <c r="B479" s="136"/>
      <c r="C479" s="137"/>
      <c r="D479" s="137"/>
      <c r="E479" s="145"/>
      <c r="F479" s="139"/>
      <c r="G479" s="140"/>
      <c r="H479" s="141"/>
      <c r="I479" s="41"/>
      <c r="J479" s="142"/>
      <c r="K479" s="134"/>
      <c r="L479" s="140"/>
    </row>
    <row r="480" ht="22.5" customHeight="1">
      <c r="A480" s="135"/>
      <c r="B480" s="136"/>
      <c r="C480" s="137"/>
      <c r="D480" s="137"/>
      <c r="E480" s="145"/>
      <c r="F480" s="139"/>
      <c r="G480" s="140"/>
      <c r="H480" s="143"/>
      <c r="I480" s="37"/>
      <c r="J480" s="144"/>
      <c r="K480" s="133"/>
      <c r="L480" s="140"/>
    </row>
    <row r="481" ht="22.5" customHeight="1">
      <c r="A481" s="135"/>
      <c r="B481" s="136"/>
      <c r="C481" s="137"/>
      <c r="D481" s="137"/>
      <c r="E481" s="145"/>
      <c r="F481" s="139"/>
      <c r="G481" s="140"/>
      <c r="H481" s="141"/>
      <c r="I481" s="41"/>
      <c r="J481" s="142"/>
      <c r="K481" s="134"/>
      <c r="L481" s="140"/>
    </row>
    <row r="482" ht="22.5" customHeight="1">
      <c r="A482" s="135"/>
      <c r="B482" s="136"/>
      <c r="C482" s="137"/>
      <c r="D482" s="137"/>
      <c r="E482" s="145"/>
      <c r="F482" s="139"/>
      <c r="G482" s="140"/>
      <c r="H482" s="143"/>
      <c r="I482" s="37"/>
      <c r="J482" s="144"/>
      <c r="K482" s="133"/>
      <c r="L482" s="140"/>
    </row>
    <row r="483" ht="22.5" customHeight="1">
      <c r="A483" s="135"/>
      <c r="B483" s="136"/>
      <c r="C483" s="137"/>
      <c r="D483" s="137"/>
      <c r="E483" s="145"/>
      <c r="F483" s="139"/>
      <c r="G483" s="140"/>
      <c r="H483" s="141"/>
      <c r="I483" s="41"/>
      <c r="J483" s="142"/>
      <c r="K483" s="134"/>
      <c r="L483" s="140"/>
    </row>
    <row r="484" ht="22.5" customHeight="1">
      <c r="A484" s="135"/>
      <c r="B484" s="136"/>
      <c r="C484" s="137"/>
      <c r="D484" s="137"/>
      <c r="E484" s="145"/>
      <c r="F484" s="139"/>
      <c r="G484" s="140"/>
      <c r="H484" s="143"/>
      <c r="I484" s="37"/>
      <c r="J484" s="144"/>
      <c r="K484" s="133"/>
      <c r="L484" s="140"/>
    </row>
    <row r="485" ht="22.5" customHeight="1">
      <c r="A485" s="135"/>
      <c r="B485" s="136"/>
      <c r="C485" s="137"/>
      <c r="D485" s="137"/>
      <c r="E485" s="145"/>
      <c r="F485" s="139"/>
      <c r="G485" s="140"/>
      <c r="H485" s="141"/>
      <c r="I485" s="41"/>
      <c r="J485" s="142"/>
      <c r="K485" s="134"/>
      <c r="L485" s="140"/>
    </row>
    <row r="486" ht="22.5" customHeight="1">
      <c r="A486" s="135"/>
      <c r="B486" s="136"/>
      <c r="C486" s="137"/>
      <c r="D486" s="137"/>
      <c r="E486" s="145"/>
      <c r="F486" s="139"/>
      <c r="G486" s="140"/>
      <c r="H486" s="143"/>
      <c r="I486" s="37"/>
      <c r="J486" s="144"/>
      <c r="K486" s="133"/>
      <c r="L486" s="140"/>
    </row>
    <row r="487" ht="22.5" customHeight="1">
      <c r="A487" s="135"/>
      <c r="B487" s="136"/>
      <c r="C487" s="137"/>
      <c r="D487" s="137"/>
      <c r="E487" s="145"/>
      <c r="F487" s="139"/>
      <c r="G487" s="140"/>
      <c r="H487" s="141"/>
      <c r="I487" s="41"/>
      <c r="J487" s="142"/>
      <c r="K487" s="134"/>
      <c r="L487" s="140"/>
    </row>
    <row r="488" ht="22.5" customHeight="1">
      <c r="A488" s="135"/>
      <c r="B488" s="136"/>
      <c r="C488" s="137"/>
      <c r="D488" s="137"/>
      <c r="E488" s="145"/>
      <c r="F488" s="139"/>
      <c r="G488" s="140"/>
      <c r="H488" s="143"/>
      <c r="I488" s="37"/>
      <c r="J488" s="144"/>
      <c r="K488" s="133"/>
      <c r="L488" s="140"/>
    </row>
    <row r="489" ht="22.5" customHeight="1">
      <c r="A489" s="135"/>
      <c r="B489" s="136"/>
      <c r="C489" s="137"/>
      <c r="D489" s="137"/>
      <c r="E489" s="145"/>
      <c r="F489" s="139"/>
      <c r="G489" s="140"/>
      <c r="H489" s="141"/>
      <c r="I489" s="41"/>
      <c r="J489" s="142"/>
      <c r="K489" s="134"/>
      <c r="L489" s="140"/>
    </row>
    <row r="490" ht="22.5" customHeight="1">
      <c r="A490" s="135"/>
      <c r="B490" s="136"/>
      <c r="C490" s="137"/>
      <c r="D490" s="137"/>
      <c r="E490" s="145"/>
      <c r="F490" s="139"/>
      <c r="G490" s="140"/>
      <c r="H490" s="143"/>
      <c r="I490" s="37"/>
      <c r="J490" s="144"/>
      <c r="K490" s="133"/>
      <c r="L490" s="140"/>
    </row>
    <row r="491" ht="22.5" customHeight="1">
      <c r="A491" s="135"/>
      <c r="B491" s="136"/>
      <c r="C491" s="137"/>
      <c r="D491" s="137"/>
      <c r="E491" s="145"/>
      <c r="F491" s="139"/>
      <c r="G491" s="140"/>
      <c r="H491" s="141"/>
      <c r="I491" s="41"/>
      <c r="J491" s="142"/>
      <c r="K491" s="134"/>
      <c r="L491" s="140"/>
    </row>
    <row r="492" ht="22.5" customHeight="1">
      <c r="A492" s="135"/>
      <c r="B492" s="136"/>
      <c r="C492" s="137"/>
      <c r="D492" s="137"/>
      <c r="E492" s="145"/>
      <c r="F492" s="139"/>
      <c r="G492" s="140"/>
      <c r="H492" s="143"/>
      <c r="I492" s="37"/>
      <c r="J492" s="144"/>
      <c r="K492" s="133"/>
      <c r="L492" s="140"/>
    </row>
    <row r="493" ht="22.5" customHeight="1">
      <c r="A493" s="135"/>
      <c r="B493" s="136"/>
      <c r="C493" s="137"/>
      <c r="D493" s="137"/>
      <c r="E493" s="145"/>
      <c r="F493" s="139"/>
      <c r="G493" s="140"/>
      <c r="H493" s="141"/>
      <c r="I493" s="41"/>
      <c r="J493" s="142"/>
      <c r="K493" s="134"/>
      <c r="L493" s="140"/>
    </row>
    <row r="494" ht="22.5" customHeight="1">
      <c r="A494" s="135"/>
      <c r="B494" s="136"/>
      <c r="C494" s="137"/>
      <c r="D494" s="137"/>
      <c r="E494" s="145"/>
      <c r="F494" s="139"/>
      <c r="G494" s="140"/>
      <c r="H494" s="143"/>
      <c r="I494" s="37"/>
      <c r="J494" s="144"/>
      <c r="K494" s="133"/>
      <c r="L494" s="140"/>
    </row>
    <row r="495" ht="22.5" customHeight="1">
      <c r="A495" s="135"/>
      <c r="B495" s="136"/>
      <c r="C495" s="137"/>
      <c r="D495" s="137"/>
      <c r="E495" s="145"/>
      <c r="F495" s="139"/>
      <c r="G495" s="140"/>
      <c r="H495" s="141"/>
      <c r="I495" s="41"/>
      <c r="J495" s="142"/>
      <c r="K495" s="134"/>
      <c r="L495" s="140"/>
    </row>
    <row r="496" ht="22.5" customHeight="1">
      <c r="A496" s="135"/>
      <c r="B496" s="136"/>
      <c r="C496" s="137"/>
      <c r="D496" s="137"/>
      <c r="E496" s="145"/>
      <c r="F496" s="139"/>
      <c r="G496" s="140"/>
      <c r="H496" s="143"/>
      <c r="I496" s="37"/>
      <c r="J496" s="144"/>
      <c r="K496" s="133"/>
      <c r="L496" s="140"/>
    </row>
    <row r="497" ht="22.5" customHeight="1">
      <c r="A497" s="135"/>
      <c r="B497" s="136"/>
      <c r="C497" s="137"/>
      <c r="D497" s="137"/>
      <c r="E497" s="145"/>
      <c r="F497" s="139"/>
      <c r="G497" s="140"/>
      <c r="H497" s="141"/>
      <c r="I497" s="41"/>
      <c r="J497" s="142"/>
      <c r="K497" s="134"/>
      <c r="L497" s="140"/>
    </row>
    <row r="498" ht="22.5" customHeight="1">
      <c r="A498" s="135"/>
      <c r="B498" s="136"/>
      <c r="C498" s="137"/>
      <c r="D498" s="137"/>
      <c r="E498" s="145"/>
      <c r="F498" s="139"/>
      <c r="G498" s="140"/>
      <c r="H498" s="143"/>
      <c r="I498" s="37"/>
      <c r="J498" s="144"/>
      <c r="K498" s="133"/>
      <c r="L498" s="140"/>
    </row>
    <row r="499" ht="22.5" customHeight="1">
      <c r="A499" s="135"/>
      <c r="B499" s="136"/>
      <c r="C499" s="137"/>
      <c r="D499" s="137"/>
      <c r="E499" s="145"/>
      <c r="F499" s="139"/>
      <c r="G499" s="140"/>
      <c r="H499" s="141"/>
      <c r="I499" s="41"/>
      <c r="J499" s="142"/>
      <c r="K499" s="134"/>
      <c r="L499" s="140"/>
    </row>
    <row r="500" ht="22.5" customHeight="1">
      <c r="A500" s="135"/>
      <c r="B500" s="136"/>
      <c r="C500" s="137"/>
      <c r="D500" s="137"/>
      <c r="E500" s="145"/>
      <c r="F500" s="139"/>
      <c r="G500" s="140"/>
      <c r="H500" s="143"/>
      <c r="I500" s="37"/>
      <c r="J500" s="144"/>
      <c r="K500" s="133"/>
      <c r="L500" s="140"/>
    </row>
    <row r="501" ht="22.5" customHeight="1">
      <c r="A501" s="135"/>
      <c r="B501" s="136"/>
      <c r="C501" s="137"/>
      <c r="D501" s="137"/>
      <c r="E501" s="145"/>
      <c r="F501" s="139"/>
      <c r="G501" s="140"/>
      <c r="H501" s="141"/>
      <c r="I501" s="41"/>
      <c r="J501" s="142"/>
      <c r="K501" s="134"/>
      <c r="L501" s="140"/>
    </row>
    <row r="502" ht="22.5" customHeight="1">
      <c r="A502" s="135"/>
      <c r="B502" s="136"/>
      <c r="C502" s="137"/>
      <c r="D502" s="137"/>
      <c r="E502" s="145"/>
      <c r="F502" s="139"/>
      <c r="G502" s="140"/>
      <c r="H502" s="143"/>
      <c r="I502" s="37"/>
      <c r="J502" s="144"/>
      <c r="K502" s="133"/>
      <c r="L502" s="140"/>
    </row>
    <row r="503" ht="22.5" customHeight="1">
      <c r="A503" s="135"/>
      <c r="B503" s="136"/>
      <c r="C503" s="137"/>
      <c r="D503" s="137"/>
      <c r="E503" s="145"/>
      <c r="F503" s="139"/>
      <c r="G503" s="140"/>
      <c r="H503" s="141"/>
      <c r="I503" s="41"/>
      <c r="J503" s="142"/>
      <c r="K503" s="134"/>
      <c r="L503" s="140"/>
    </row>
    <row r="504" ht="22.5" customHeight="1">
      <c r="A504" s="135"/>
      <c r="B504" s="136"/>
      <c r="C504" s="137"/>
      <c r="D504" s="137"/>
      <c r="E504" s="145"/>
      <c r="F504" s="139"/>
      <c r="G504" s="140"/>
      <c r="H504" s="143"/>
      <c r="I504" s="37"/>
      <c r="J504" s="144"/>
      <c r="K504" s="133"/>
      <c r="L504" s="140"/>
    </row>
    <row r="505" ht="22.5" customHeight="1">
      <c r="A505" s="135"/>
      <c r="B505" s="136"/>
      <c r="C505" s="137"/>
      <c r="D505" s="137"/>
      <c r="E505" s="145"/>
      <c r="F505" s="139"/>
      <c r="G505" s="140"/>
      <c r="H505" s="141"/>
      <c r="I505" s="41"/>
      <c r="J505" s="142"/>
      <c r="K505" s="134"/>
      <c r="L505" s="140"/>
    </row>
    <row r="506" ht="22.5" customHeight="1">
      <c r="A506" s="135"/>
      <c r="B506" s="136"/>
      <c r="C506" s="137"/>
      <c r="D506" s="137"/>
      <c r="E506" s="145"/>
      <c r="F506" s="139"/>
      <c r="G506" s="140"/>
      <c r="H506" s="143"/>
      <c r="I506" s="37"/>
      <c r="J506" s="144"/>
      <c r="K506" s="133"/>
      <c r="L506" s="140"/>
    </row>
    <row r="507" ht="22.5" customHeight="1">
      <c r="A507" s="135"/>
      <c r="B507" s="136"/>
      <c r="C507" s="137"/>
      <c r="D507" s="137"/>
      <c r="E507" s="145"/>
      <c r="F507" s="139"/>
      <c r="G507" s="140"/>
      <c r="H507" s="141"/>
      <c r="I507" s="41"/>
      <c r="J507" s="142"/>
      <c r="K507" s="134"/>
      <c r="L507" s="140"/>
    </row>
    <row r="508" ht="22.5" customHeight="1">
      <c r="A508" s="135"/>
      <c r="B508" s="136"/>
      <c r="C508" s="137"/>
      <c r="D508" s="137"/>
      <c r="E508" s="145"/>
      <c r="F508" s="139"/>
      <c r="G508" s="140"/>
      <c r="H508" s="143"/>
      <c r="I508" s="37"/>
      <c r="J508" s="144"/>
      <c r="K508" s="133"/>
      <c r="L508" s="140"/>
    </row>
    <row r="509" ht="22.5" customHeight="1">
      <c r="A509" s="135"/>
      <c r="B509" s="136"/>
      <c r="C509" s="137"/>
      <c r="D509" s="137"/>
      <c r="E509" s="145"/>
      <c r="F509" s="139"/>
      <c r="G509" s="140"/>
      <c r="H509" s="141"/>
      <c r="I509" s="41"/>
      <c r="J509" s="142"/>
      <c r="K509" s="134"/>
      <c r="L509" s="140"/>
    </row>
    <row r="510" ht="22.5" customHeight="1">
      <c r="A510" s="135"/>
      <c r="B510" s="136"/>
      <c r="C510" s="137"/>
      <c r="D510" s="137"/>
      <c r="E510" s="145"/>
      <c r="F510" s="139"/>
      <c r="G510" s="140"/>
      <c r="H510" s="143"/>
      <c r="I510" s="37"/>
      <c r="J510" s="144"/>
      <c r="K510" s="133"/>
      <c r="L510" s="140"/>
    </row>
    <row r="511" ht="22.5" customHeight="1">
      <c r="A511" s="135"/>
      <c r="B511" s="136"/>
      <c r="C511" s="137"/>
      <c r="D511" s="137"/>
      <c r="E511" s="145"/>
      <c r="F511" s="139"/>
      <c r="G511" s="140"/>
      <c r="H511" s="141"/>
      <c r="I511" s="41"/>
      <c r="J511" s="142"/>
      <c r="K511" s="134"/>
      <c r="L511" s="140"/>
    </row>
    <row r="512" ht="22.5" customHeight="1">
      <c r="A512" s="135"/>
      <c r="B512" s="136"/>
      <c r="C512" s="137"/>
      <c r="D512" s="137"/>
      <c r="E512" s="145"/>
      <c r="F512" s="139"/>
      <c r="G512" s="140"/>
      <c r="H512" s="143"/>
      <c r="I512" s="37"/>
      <c r="J512" s="144"/>
      <c r="K512" s="133"/>
      <c r="L512" s="140"/>
    </row>
    <row r="513" ht="22.5" customHeight="1">
      <c r="A513" s="135"/>
      <c r="B513" s="136"/>
      <c r="C513" s="137"/>
      <c r="D513" s="137"/>
      <c r="E513" s="145"/>
      <c r="F513" s="139"/>
      <c r="G513" s="140"/>
      <c r="H513" s="141"/>
      <c r="I513" s="41"/>
      <c r="J513" s="142"/>
      <c r="K513" s="134"/>
      <c r="L513" s="140"/>
    </row>
    <row r="514" ht="22.5" customHeight="1">
      <c r="A514" s="135"/>
      <c r="B514" s="136"/>
      <c r="C514" s="137"/>
      <c r="D514" s="137"/>
      <c r="E514" s="145"/>
      <c r="F514" s="139"/>
      <c r="G514" s="140"/>
      <c r="H514" s="143"/>
      <c r="I514" s="37"/>
      <c r="J514" s="144"/>
      <c r="K514" s="133"/>
      <c r="L514" s="140"/>
    </row>
    <row r="515" ht="22.5" customHeight="1">
      <c r="A515" s="135"/>
      <c r="B515" s="136"/>
      <c r="C515" s="137"/>
      <c r="D515" s="137"/>
      <c r="E515" s="145"/>
      <c r="F515" s="139"/>
      <c r="G515" s="140"/>
      <c r="H515" s="141"/>
      <c r="I515" s="41"/>
      <c r="J515" s="142"/>
      <c r="K515" s="134"/>
      <c r="L515" s="140"/>
    </row>
    <row r="516" ht="22.5" customHeight="1">
      <c r="A516" s="135"/>
      <c r="B516" s="136"/>
      <c r="C516" s="137"/>
      <c r="D516" s="137"/>
      <c r="E516" s="145"/>
      <c r="F516" s="139"/>
      <c r="G516" s="140"/>
      <c r="H516" s="143"/>
      <c r="I516" s="37"/>
      <c r="J516" s="144"/>
      <c r="K516" s="133"/>
      <c r="L516" s="140"/>
    </row>
    <row r="517" ht="22.5" customHeight="1">
      <c r="A517" s="135"/>
      <c r="B517" s="136"/>
      <c r="C517" s="137"/>
      <c r="D517" s="137"/>
      <c r="E517" s="145"/>
      <c r="F517" s="139"/>
      <c r="G517" s="140"/>
      <c r="H517" s="141"/>
      <c r="I517" s="41"/>
      <c r="J517" s="142"/>
      <c r="K517" s="134"/>
      <c r="L517" s="140"/>
    </row>
    <row r="518" ht="22.5" customHeight="1">
      <c r="A518" s="135"/>
      <c r="B518" s="136"/>
      <c r="C518" s="137"/>
      <c r="D518" s="137"/>
      <c r="E518" s="145"/>
      <c r="F518" s="139"/>
      <c r="G518" s="140"/>
      <c r="H518" s="143"/>
      <c r="I518" s="37"/>
      <c r="J518" s="144"/>
      <c r="K518" s="133"/>
      <c r="L518" s="140"/>
    </row>
    <row r="519" ht="22.5" customHeight="1">
      <c r="A519" s="135"/>
      <c r="B519" s="136"/>
      <c r="C519" s="137"/>
      <c r="D519" s="137"/>
      <c r="E519" s="145"/>
      <c r="F519" s="139"/>
      <c r="G519" s="140"/>
      <c r="H519" s="141"/>
      <c r="I519" s="41"/>
      <c r="J519" s="142"/>
      <c r="K519" s="134"/>
      <c r="L519" s="140"/>
    </row>
    <row r="520" ht="22.5" customHeight="1">
      <c r="A520" s="135"/>
      <c r="B520" s="136"/>
      <c r="C520" s="137"/>
      <c r="D520" s="137"/>
      <c r="E520" s="145"/>
      <c r="F520" s="139"/>
      <c r="G520" s="140"/>
      <c r="H520" s="143"/>
      <c r="I520" s="37"/>
      <c r="J520" s="144"/>
      <c r="K520" s="133"/>
      <c r="L520" s="140"/>
    </row>
    <row r="521" ht="22.5" customHeight="1">
      <c r="A521" s="135"/>
      <c r="B521" s="136"/>
      <c r="C521" s="137"/>
      <c r="D521" s="137"/>
      <c r="E521" s="145"/>
      <c r="F521" s="139"/>
      <c r="G521" s="140"/>
      <c r="H521" s="141"/>
      <c r="I521" s="41"/>
      <c r="J521" s="142"/>
      <c r="K521" s="134"/>
      <c r="L521" s="140"/>
    </row>
    <row r="522" ht="22.5" customHeight="1">
      <c r="A522" s="135"/>
      <c r="B522" s="136"/>
      <c r="C522" s="137"/>
      <c r="D522" s="137"/>
      <c r="E522" s="145"/>
      <c r="F522" s="139"/>
      <c r="G522" s="140"/>
      <c r="H522" s="143"/>
      <c r="I522" s="37"/>
      <c r="J522" s="144"/>
      <c r="K522" s="133"/>
      <c r="L522" s="140"/>
    </row>
    <row r="523" ht="22.5" customHeight="1">
      <c r="A523" s="135"/>
      <c r="B523" s="136"/>
      <c r="C523" s="137"/>
      <c r="D523" s="137"/>
      <c r="E523" s="145"/>
      <c r="F523" s="139"/>
      <c r="G523" s="140"/>
      <c r="H523" s="141"/>
      <c r="I523" s="41"/>
      <c r="J523" s="142"/>
      <c r="K523" s="134"/>
      <c r="L523" s="140"/>
    </row>
    <row r="524" ht="22.5" customHeight="1">
      <c r="A524" s="135"/>
      <c r="B524" s="136"/>
      <c r="C524" s="137"/>
      <c r="D524" s="137"/>
      <c r="E524" s="145"/>
      <c r="F524" s="139"/>
      <c r="G524" s="140"/>
      <c r="H524" s="143"/>
      <c r="I524" s="37"/>
      <c r="J524" s="144"/>
      <c r="K524" s="133"/>
      <c r="L524" s="140"/>
    </row>
    <row r="525" ht="22.5" customHeight="1">
      <c r="A525" s="135"/>
      <c r="B525" s="136"/>
      <c r="C525" s="137"/>
      <c r="D525" s="137"/>
      <c r="E525" s="145"/>
      <c r="F525" s="139"/>
      <c r="G525" s="140"/>
      <c r="H525" s="141"/>
      <c r="I525" s="41"/>
      <c r="J525" s="142"/>
      <c r="K525" s="134"/>
      <c r="L525" s="140"/>
    </row>
    <row r="526" ht="22.5" customHeight="1">
      <c r="A526" s="135"/>
      <c r="B526" s="136"/>
      <c r="C526" s="137"/>
      <c r="D526" s="137"/>
      <c r="E526" s="145"/>
      <c r="F526" s="139"/>
      <c r="G526" s="140"/>
      <c r="H526" s="143"/>
      <c r="I526" s="37"/>
      <c r="J526" s="144"/>
      <c r="K526" s="133"/>
      <c r="L526" s="140"/>
    </row>
    <row r="527" ht="22.5" customHeight="1">
      <c r="A527" s="135"/>
      <c r="B527" s="136"/>
      <c r="C527" s="137"/>
      <c r="D527" s="137"/>
      <c r="E527" s="145"/>
      <c r="F527" s="139"/>
      <c r="G527" s="140"/>
      <c r="H527" s="141"/>
      <c r="I527" s="41"/>
      <c r="J527" s="142"/>
      <c r="K527" s="134"/>
      <c r="L527" s="140"/>
    </row>
    <row r="528" ht="22.5" customHeight="1">
      <c r="A528" s="135"/>
      <c r="B528" s="136"/>
      <c r="C528" s="137"/>
      <c r="D528" s="137"/>
      <c r="E528" s="145"/>
      <c r="F528" s="139"/>
      <c r="G528" s="140"/>
      <c r="H528" s="143"/>
      <c r="I528" s="37"/>
      <c r="J528" s="144"/>
      <c r="K528" s="133"/>
      <c r="L528" s="140"/>
    </row>
    <row r="529" ht="22.5" customHeight="1">
      <c r="A529" s="135"/>
      <c r="B529" s="136"/>
      <c r="C529" s="137"/>
      <c r="D529" s="137"/>
      <c r="E529" s="145"/>
      <c r="F529" s="139"/>
      <c r="G529" s="140"/>
      <c r="H529" s="141"/>
      <c r="I529" s="41"/>
      <c r="J529" s="142"/>
      <c r="K529" s="134"/>
      <c r="L529" s="140"/>
    </row>
    <row r="530" ht="22.5" customHeight="1">
      <c r="A530" s="135"/>
      <c r="B530" s="136"/>
      <c r="C530" s="137"/>
      <c r="D530" s="137"/>
      <c r="E530" s="145"/>
      <c r="F530" s="139"/>
      <c r="G530" s="140"/>
      <c r="H530" s="143"/>
      <c r="I530" s="37"/>
      <c r="J530" s="144"/>
      <c r="K530" s="133"/>
      <c r="L530" s="140"/>
    </row>
    <row r="531" ht="22.5" customHeight="1">
      <c r="A531" s="135"/>
      <c r="B531" s="136"/>
      <c r="C531" s="137"/>
      <c r="D531" s="137"/>
      <c r="E531" s="145"/>
      <c r="F531" s="139"/>
      <c r="G531" s="140"/>
      <c r="H531" s="141"/>
      <c r="I531" s="41"/>
      <c r="J531" s="142"/>
      <c r="K531" s="134"/>
      <c r="L531" s="140"/>
    </row>
    <row r="532" ht="22.5" customHeight="1">
      <c r="A532" s="135"/>
      <c r="B532" s="136"/>
      <c r="C532" s="137"/>
      <c r="D532" s="137"/>
      <c r="E532" s="145"/>
      <c r="F532" s="139"/>
      <c r="G532" s="140"/>
      <c r="H532" s="143"/>
      <c r="I532" s="37"/>
      <c r="J532" s="144"/>
      <c r="K532" s="133"/>
      <c r="L532" s="140"/>
    </row>
    <row r="533" ht="22.5" customHeight="1">
      <c r="A533" s="135"/>
      <c r="B533" s="136"/>
      <c r="C533" s="137"/>
      <c r="D533" s="137"/>
      <c r="E533" s="145"/>
      <c r="F533" s="139"/>
      <c r="G533" s="140"/>
      <c r="H533" s="141"/>
      <c r="I533" s="41"/>
      <c r="J533" s="142"/>
      <c r="K533" s="134"/>
      <c r="L533" s="140"/>
    </row>
    <row r="534" ht="22.5" customHeight="1">
      <c r="A534" s="135"/>
      <c r="B534" s="136"/>
      <c r="C534" s="137"/>
      <c r="D534" s="137"/>
      <c r="E534" s="145"/>
      <c r="F534" s="139"/>
      <c r="G534" s="140"/>
      <c r="H534" s="143"/>
      <c r="I534" s="37"/>
      <c r="J534" s="144"/>
      <c r="K534" s="133"/>
      <c r="L534" s="140"/>
    </row>
    <row r="535" ht="22.5" customHeight="1">
      <c r="A535" s="135"/>
      <c r="B535" s="136"/>
      <c r="C535" s="137"/>
      <c r="D535" s="137"/>
      <c r="E535" s="145"/>
      <c r="F535" s="139"/>
      <c r="G535" s="140"/>
      <c r="H535" s="141"/>
      <c r="I535" s="41"/>
      <c r="J535" s="142"/>
      <c r="K535" s="134"/>
      <c r="L535" s="140"/>
    </row>
    <row r="536" ht="22.5" customHeight="1">
      <c r="A536" s="135"/>
      <c r="B536" s="136"/>
      <c r="C536" s="137"/>
      <c r="D536" s="137"/>
      <c r="E536" s="145"/>
      <c r="F536" s="139"/>
      <c r="G536" s="140"/>
      <c r="H536" s="143"/>
      <c r="I536" s="37"/>
      <c r="J536" s="144"/>
      <c r="K536" s="133"/>
      <c r="L536" s="140"/>
    </row>
    <row r="537" ht="22.5" customHeight="1">
      <c r="A537" s="135"/>
      <c r="B537" s="136"/>
      <c r="C537" s="137"/>
      <c r="D537" s="137"/>
      <c r="E537" s="145"/>
      <c r="F537" s="139"/>
      <c r="G537" s="140"/>
      <c r="H537" s="141"/>
      <c r="I537" s="41"/>
      <c r="J537" s="142"/>
      <c r="K537" s="134"/>
      <c r="L537" s="140"/>
    </row>
    <row r="538" ht="22.5" customHeight="1">
      <c r="A538" s="135"/>
      <c r="B538" s="136"/>
      <c r="C538" s="137"/>
      <c r="D538" s="137"/>
      <c r="E538" s="145"/>
      <c r="F538" s="139"/>
      <c r="G538" s="140"/>
      <c r="H538" s="143"/>
      <c r="I538" s="37"/>
      <c r="J538" s="144"/>
      <c r="K538" s="133"/>
      <c r="L538" s="140"/>
    </row>
    <row r="539" ht="22.5" customHeight="1">
      <c r="A539" s="135"/>
      <c r="B539" s="136"/>
      <c r="C539" s="137"/>
      <c r="D539" s="137"/>
      <c r="E539" s="145"/>
      <c r="F539" s="139"/>
      <c r="G539" s="140"/>
      <c r="H539" s="141"/>
      <c r="I539" s="41"/>
      <c r="J539" s="142"/>
      <c r="K539" s="134"/>
      <c r="L539" s="140"/>
    </row>
    <row r="540" ht="22.5" customHeight="1">
      <c r="A540" s="135"/>
      <c r="B540" s="136"/>
      <c r="C540" s="137"/>
      <c r="D540" s="137"/>
      <c r="E540" s="145"/>
      <c r="F540" s="139"/>
      <c r="G540" s="140"/>
      <c r="H540" s="143"/>
      <c r="I540" s="37"/>
      <c r="J540" s="144"/>
      <c r="K540" s="133"/>
      <c r="L540" s="140"/>
    </row>
    <row r="541" ht="22.5" customHeight="1">
      <c r="A541" s="135"/>
      <c r="B541" s="136"/>
      <c r="C541" s="137"/>
      <c r="D541" s="137"/>
      <c r="E541" s="145"/>
      <c r="F541" s="139"/>
      <c r="G541" s="140"/>
      <c r="H541" s="141"/>
      <c r="I541" s="41"/>
      <c r="J541" s="142"/>
      <c r="K541" s="134"/>
      <c r="L541" s="140"/>
    </row>
    <row r="542" ht="22.5" customHeight="1">
      <c r="A542" s="135"/>
      <c r="B542" s="136"/>
      <c r="C542" s="137"/>
      <c r="D542" s="137"/>
      <c r="E542" s="145"/>
      <c r="F542" s="139"/>
      <c r="G542" s="140"/>
      <c r="H542" s="143"/>
      <c r="I542" s="37"/>
      <c r="J542" s="144"/>
      <c r="K542" s="133"/>
      <c r="L542" s="140"/>
    </row>
    <row r="543" ht="22.5" customHeight="1">
      <c r="A543" s="135"/>
      <c r="B543" s="136"/>
      <c r="C543" s="137"/>
      <c r="D543" s="137"/>
      <c r="E543" s="145"/>
      <c r="F543" s="139"/>
      <c r="G543" s="140"/>
      <c r="H543" s="141"/>
      <c r="I543" s="41"/>
      <c r="J543" s="142"/>
      <c r="K543" s="134"/>
      <c r="L543" s="140"/>
    </row>
    <row r="544" ht="22.5" customHeight="1">
      <c r="A544" s="135"/>
      <c r="B544" s="136"/>
      <c r="C544" s="137"/>
      <c r="D544" s="137"/>
      <c r="E544" s="145"/>
      <c r="F544" s="139"/>
      <c r="G544" s="140"/>
      <c r="H544" s="143"/>
      <c r="I544" s="37"/>
      <c r="J544" s="144"/>
      <c r="K544" s="133"/>
      <c r="L544" s="140"/>
    </row>
    <row r="545" ht="22.5" customHeight="1">
      <c r="A545" s="135"/>
      <c r="B545" s="136"/>
      <c r="C545" s="137"/>
      <c r="D545" s="137"/>
      <c r="E545" s="145"/>
      <c r="F545" s="139"/>
      <c r="G545" s="140"/>
      <c r="H545" s="141"/>
      <c r="I545" s="41"/>
      <c r="J545" s="142"/>
      <c r="K545" s="134"/>
      <c r="L545" s="140"/>
    </row>
    <row r="546" ht="22.5" customHeight="1">
      <c r="A546" s="135"/>
      <c r="B546" s="136"/>
      <c r="C546" s="137"/>
      <c r="D546" s="137"/>
      <c r="E546" s="145"/>
      <c r="F546" s="139"/>
      <c r="G546" s="140"/>
      <c r="H546" s="143"/>
      <c r="I546" s="37"/>
      <c r="J546" s="144"/>
      <c r="K546" s="133"/>
      <c r="L546" s="140"/>
    </row>
    <row r="547" ht="22.5" customHeight="1">
      <c r="A547" s="135"/>
      <c r="B547" s="136"/>
      <c r="C547" s="137"/>
      <c r="D547" s="137"/>
      <c r="E547" s="145"/>
      <c r="F547" s="139"/>
      <c r="G547" s="140"/>
      <c r="H547" s="141"/>
      <c r="I547" s="41"/>
      <c r="J547" s="142"/>
      <c r="K547" s="134"/>
      <c r="L547" s="140"/>
    </row>
    <row r="548" ht="22.5" customHeight="1">
      <c r="A548" s="135"/>
      <c r="B548" s="136"/>
      <c r="C548" s="137"/>
      <c r="D548" s="137"/>
      <c r="E548" s="145"/>
      <c r="F548" s="139"/>
      <c r="G548" s="140"/>
      <c r="H548" s="143"/>
      <c r="I548" s="37"/>
      <c r="J548" s="144"/>
      <c r="K548" s="133"/>
      <c r="L548" s="140"/>
    </row>
    <row r="549" ht="22.5" customHeight="1">
      <c r="A549" s="135"/>
      <c r="B549" s="136"/>
      <c r="C549" s="137"/>
      <c r="D549" s="137"/>
      <c r="E549" s="145"/>
      <c r="F549" s="139"/>
      <c r="G549" s="140"/>
      <c r="H549" s="141"/>
      <c r="I549" s="41"/>
      <c r="J549" s="142"/>
      <c r="K549" s="134"/>
      <c r="L549" s="140"/>
    </row>
    <row r="550" ht="22.5" customHeight="1">
      <c r="A550" s="135"/>
      <c r="B550" s="136"/>
      <c r="C550" s="137"/>
      <c r="D550" s="137"/>
      <c r="E550" s="145"/>
      <c r="F550" s="139"/>
      <c r="G550" s="140"/>
      <c r="H550" s="143"/>
      <c r="I550" s="37"/>
      <c r="J550" s="144"/>
      <c r="K550" s="133"/>
      <c r="L550" s="140"/>
    </row>
    <row r="551" ht="22.5" customHeight="1">
      <c r="A551" s="135"/>
      <c r="B551" s="136"/>
      <c r="C551" s="137"/>
      <c r="D551" s="137"/>
      <c r="E551" s="145"/>
      <c r="F551" s="139"/>
      <c r="G551" s="140"/>
      <c r="H551" s="141"/>
      <c r="I551" s="41"/>
      <c r="J551" s="142"/>
      <c r="K551" s="134"/>
      <c r="L551" s="140"/>
    </row>
    <row r="552" ht="22.5" customHeight="1">
      <c r="A552" s="135"/>
      <c r="B552" s="136"/>
      <c r="C552" s="137"/>
      <c r="D552" s="137"/>
      <c r="E552" s="145"/>
      <c r="F552" s="139"/>
      <c r="G552" s="140"/>
      <c r="H552" s="143"/>
      <c r="I552" s="37"/>
      <c r="J552" s="144"/>
      <c r="K552" s="133"/>
      <c r="L552" s="140"/>
    </row>
    <row r="553" ht="22.5" customHeight="1">
      <c r="A553" s="135"/>
      <c r="B553" s="136"/>
      <c r="C553" s="137"/>
      <c r="D553" s="137"/>
      <c r="E553" s="145"/>
      <c r="F553" s="139"/>
      <c r="G553" s="140"/>
      <c r="H553" s="141"/>
      <c r="I553" s="41"/>
      <c r="J553" s="142"/>
      <c r="K553" s="134"/>
      <c r="L553" s="140"/>
    </row>
    <row r="554" ht="22.5" customHeight="1">
      <c r="A554" s="135"/>
      <c r="B554" s="136"/>
      <c r="C554" s="137"/>
      <c r="D554" s="137"/>
      <c r="E554" s="145"/>
      <c r="F554" s="139"/>
      <c r="G554" s="140"/>
      <c r="H554" s="143"/>
      <c r="I554" s="37"/>
      <c r="J554" s="144"/>
      <c r="K554" s="133"/>
      <c r="L554" s="140"/>
    </row>
    <row r="555" ht="22.5" customHeight="1">
      <c r="A555" s="135"/>
      <c r="B555" s="136"/>
      <c r="C555" s="137"/>
      <c r="D555" s="137"/>
      <c r="E555" s="145"/>
      <c r="F555" s="139"/>
      <c r="G555" s="140"/>
      <c r="H555" s="141"/>
      <c r="I555" s="41"/>
      <c r="J555" s="142"/>
      <c r="K555" s="134"/>
      <c r="L555" s="140"/>
    </row>
    <row r="556" ht="22.5" customHeight="1">
      <c r="A556" s="135"/>
      <c r="B556" s="136"/>
      <c r="C556" s="137"/>
      <c r="D556" s="137"/>
      <c r="E556" s="145"/>
      <c r="F556" s="139"/>
      <c r="G556" s="140"/>
      <c r="H556" s="143"/>
      <c r="I556" s="37"/>
      <c r="J556" s="144"/>
      <c r="K556" s="133"/>
      <c r="L556" s="140"/>
    </row>
    <row r="557" ht="22.5" customHeight="1">
      <c r="A557" s="135"/>
      <c r="B557" s="136"/>
      <c r="C557" s="137"/>
      <c r="D557" s="137"/>
      <c r="E557" s="145"/>
      <c r="F557" s="139"/>
      <c r="G557" s="140"/>
      <c r="H557" s="141"/>
      <c r="I557" s="41"/>
      <c r="J557" s="142"/>
      <c r="K557" s="134"/>
      <c r="L557" s="140"/>
    </row>
    <row r="558" ht="22.5" customHeight="1">
      <c r="A558" s="135"/>
      <c r="B558" s="136"/>
      <c r="C558" s="137"/>
      <c r="D558" s="137"/>
      <c r="E558" s="145"/>
      <c r="F558" s="139"/>
      <c r="G558" s="140"/>
      <c r="H558" s="143"/>
      <c r="I558" s="37"/>
      <c r="J558" s="144"/>
      <c r="K558" s="133"/>
      <c r="L558" s="140"/>
    </row>
    <row r="559" ht="22.5" customHeight="1">
      <c r="A559" s="135"/>
      <c r="B559" s="136"/>
      <c r="C559" s="137"/>
      <c r="D559" s="137"/>
      <c r="E559" s="145"/>
      <c r="F559" s="139"/>
      <c r="G559" s="140"/>
      <c r="H559" s="141"/>
      <c r="I559" s="41"/>
      <c r="J559" s="142"/>
      <c r="K559" s="134"/>
      <c r="L559" s="140"/>
    </row>
    <row r="560" ht="22.5" customHeight="1">
      <c r="A560" s="135"/>
      <c r="B560" s="136"/>
      <c r="C560" s="137"/>
      <c r="D560" s="137"/>
      <c r="E560" s="145"/>
      <c r="F560" s="139"/>
      <c r="G560" s="140"/>
      <c r="H560" s="143"/>
      <c r="I560" s="37"/>
      <c r="J560" s="144"/>
      <c r="K560" s="133"/>
      <c r="L560" s="140"/>
    </row>
    <row r="561" ht="22.5" customHeight="1">
      <c r="A561" s="135"/>
      <c r="B561" s="136"/>
      <c r="C561" s="137"/>
      <c r="D561" s="137"/>
      <c r="E561" s="145"/>
      <c r="F561" s="139"/>
      <c r="G561" s="140"/>
      <c r="H561" s="141"/>
      <c r="I561" s="41"/>
      <c r="J561" s="142"/>
      <c r="K561" s="134"/>
      <c r="L561" s="140"/>
    </row>
    <row r="562" ht="22.5" customHeight="1">
      <c r="A562" s="135"/>
      <c r="B562" s="136"/>
      <c r="C562" s="137"/>
      <c r="D562" s="137"/>
      <c r="E562" s="145"/>
      <c r="F562" s="139"/>
      <c r="G562" s="140"/>
      <c r="H562" s="143"/>
      <c r="I562" s="37"/>
      <c r="J562" s="144"/>
      <c r="K562" s="133"/>
      <c r="L562" s="140"/>
    </row>
    <row r="563" ht="22.5" customHeight="1">
      <c r="A563" s="135"/>
      <c r="B563" s="136"/>
      <c r="C563" s="137"/>
      <c r="D563" s="137"/>
      <c r="E563" s="145"/>
      <c r="F563" s="139"/>
      <c r="G563" s="140"/>
      <c r="H563" s="141"/>
      <c r="I563" s="41"/>
      <c r="J563" s="142"/>
      <c r="K563" s="134"/>
      <c r="L563" s="140"/>
    </row>
    <row r="564" ht="22.5" customHeight="1">
      <c r="A564" s="135"/>
      <c r="B564" s="136"/>
      <c r="C564" s="137"/>
      <c r="D564" s="137"/>
      <c r="E564" s="145"/>
      <c r="F564" s="139"/>
      <c r="G564" s="140"/>
      <c r="H564" s="143"/>
      <c r="I564" s="37"/>
      <c r="J564" s="144"/>
      <c r="K564" s="133"/>
      <c r="L564" s="140"/>
    </row>
    <row r="565" ht="22.5" customHeight="1">
      <c r="A565" s="135"/>
      <c r="B565" s="136"/>
      <c r="C565" s="137"/>
      <c r="D565" s="137"/>
      <c r="E565" s="145"/>
      <c r="F565" s="139"/>
      <c r="G565" s="140"/>
      <c r="H565" s="141"/>
      <c r="I565" s="41"/>
      <c r="J565" s="142"/>
      <c r="K565" s="134"/>
      <c r="L565" s="140"/>
    </row>
    <row r="566" ht="22.5" customHeight="1">
      <c r="A566" s="135"/>
      <c r="B566" s="136"/>
      <c r="C566" s="137"/>
      <c r="D566" s="137"/>
      <c r="E566" s="145"/>
      <c r="F566" s="139"/>
      <c r="G566" s="140"/>
      <c r="H566" s="143"/>
      <c r="I566" s="37"/>
      <c r="J566" s="144"/>
      <c r="K566" s="133"/>
      <c r="L566" s="140"/>
    </row>
    <row r="567" ht="22.5" customHeight="1">
      <c r="A567" s="135"/>
      <c r="B567" s="136"/>
      <c r="C567" s="137"/>
      <c r="D567" s="137"/>
      <c r="E567" s="145"/>
      <c r="F567" s="139"/>
      <c r="G567" s="140"/>
      <c r="H567" s="141"/>
      <c r="I567" s="41"/>
      <c r="J567" s="142"/>
      <c r="K567" s="134"/>
      <c r="L567" s="140"/>
    </row>
    <row r="568" ht="22.5" customHeight="1">
      <c r="A568" s="135"/>
      <c r="B568" s="136"/>
      <c r="C568" s="137"/>
      <c r="D568" s="137"/>
      <c r="E568" s="145"/>
      <c r="F568" s="139"/>
      <c r="G568" s="140"/>
      <c r="H568" s="143"/>
      <c r="I568" s="37"/>
      <c r="J568" s="144"/>
      <c r="K568" s="133"/>
      <c r="L568" s="140"/>
    </row>
    <row r="569" ht="22.5" customHeight="1">
      <c r="A569" s="135"/>
      <c r="B569" s="136"/>
      <c r="C569" s="137"/>
      <c r="D569" s="137"/>
      <c r="E569" s="145"/>
      <c r="F569" s="139"/>
      <c r="G569" s="140"/>
      <c r="H569" s="141"/>
      <c r="I569" s="41"/>
      <c r="J569" s="142"/>
      <c r="K569" s="134"/>
      <c r="L569" s="140"/>
    </row>
    <row r="570" ht="22.5" customHeight="1">
      <c r="A570" s="135"/>
      <c r="B570" s="136"/>
      <c r="C570" s="137"/>
      <c r="D570" s="137"/>
      <c r="E570" s="145"/>
      <c r="F570" s="139"/>
      <c r="G570" s="140"/>
      <c r="H570" s="143"/>
      <c r="I570" s="37"/>
      <c r="J570" s="144"/>
      <c r="K570" s="133"/>
      <c r="L570" s="140"/>
    </row>
    <row r="571" ht="22.5" customHeight="1">
      <c r="A571" s="135"/>
      <c r="B571" s="136"/>
      <c r="C571" s="137"/>
      <c r="D571" s="137"/>
      <c r="E571" s="145"/>
      <c r="F571" s="139"/>
      <c r="G571" s="140"/>
      <c r="H571" s="141"/>
      <c r="I571" s="41"/>
      <c r="J571" s="142"/>
      <c r="K571" s="134"/>
      <c r="L571" s="140"/>
    </row>
    <row r="572" ht="22.5" customHeight="1">
      <c r="A572" s="135"/>
      <c r="B572" s="136"/>
      <c r="C572" s="137"/>
      <c r="D572" s="137"/>
      <c r="E572" s="145"/>
      <c r="F572" s="139"/>
      <c r="G572" s="140"/>
      <c r="H572" s="143"/>
      <c r="I572" s="37"/>
      <c r="J572" s="144"/>
      <c r="K572" s="133"/>
      <c r="L572" s="140"/>
    </row>
    <row r="573" ht="22.5" customHeight="1">
      <c r="A573" s="135"/>
      <c r="B573" s="136"/>
      <c r="C573" s="137"/>
      <c r="D573" s="137"/>
      <c r="E573" s="145"/>
      <c r="F573" s="139"/>
      <c r="G573" s="140"/>
      <c r="H573" s="141"/>
      <c r="I573" s="41"/>
      <c r="J573" s="142"/>
      <c r="K573" s="134"/>
      <c r="L573" s="140"/>
    </row>
    <row r="574" ht="22.5" customHeight="1">
      <c r="A574" s="135"/>
      <c r="B574" s="136"/>
      <c r="C574" s="137"/>
      <c r="D574" s="137"/>
      <c r="E574" s="145"/>
      <c r="F574" s="139"/>
      <c r="G574" s="140"/>
      <c r="H574" s="143"/>
      <c r="I574" s="37"/>
      <c r="J574" s="144"/>
      <c r="K574" s="133"/>
      <c r="L574" s="140"/>
    </row>
    <row r="575" ht="22.5" customHeight="1">
      <c r="A575" s="135"/>
      <c r="B575" s="136"/>
      <c r="C575" s="137"/>
      <c r="D575" s="137"/>
      <c r="E575" s="145"/>
      <c r="F575" s="139"/>
      <c r="G575" s="140"/>
      <c r="H575" s="141"/>
      <c r="I575" s="41"/>
      <c r="J575" s="142"/>
      <c r="K575" s="134"/>
      <c r="L575" s="140"/>
    </row>
    <row r="576" ht="22.5" customHeight="1">
      <c r="A576" s="135"/>
      <c r="B576" s="136"/>
      <c r="C576" s="137"/>
      <c r="D576" s="137"/>
      <c r="E576" s="145"/>
      <c r="F576" s="139"/>
      <c r="G576" s="140"/>
      <c r="H576" s="143"/>
      <c r="I576" s="37"/>
      <c r="J576" s="144"/>
      <c r="K576" s="133"/>
      <c r="L576" s="140"/>
    </row>
    <row r="577" ht="22.5" customHeight="1">
      <c r="A577" s="135"/>
      <c r="B577" s="136"/>
      <c r="C577" s="137"/>
      <c r="D577" s="137"/>
      <c r="E577" s="145"/>
      <c r="F577" s="139"/>
      <c r="G577" s="140"/>
      <c r="H577" s="141"/>
      <c r="I577" s="41"/>
      <c r="J577" s="142"/>
      <c r="K577" s="134"/>
      <c r="L577" s="140"/>
    </row>
    <row r="578" ht="22.5" customHeight="1">
      <c r="A578" s="135"/>
      <c r="B578" s="136"/>
      <c r="C578" s="137"/>
      <c r="D578" s="137"/>
      <c r="E578" s="145"/>
      <c r="F578" s="139"/>
      <c r="G578" s="140"/>
      <c r="H578" s="143"/>
      <c r="I578" s="37"/>
      <c r="J578" s="144"/>
      <c r="K578" s="133"/>
      <c r="L578" s="140"/>
    </row>
    <row r="579" ht="22.5" customHeight="1">
      <c r="A579" s="135"/>
      <c r="B579" s="136"/>
      <c r="C579" s="137"/>
      <c r="D579" s="137"/>
      <c r="E579" s="145"/>
      <c r="F579" s="139"/>
      <c r="G579" s="140"/>
      <c r="H579" s="141"/>
      <c r="I579" s="41"/>
      <c r="J579" s="142"/>
      <c r="K579" s="134"/>
      <c r="L579" s="140"/>
    </row>
    <row r="580" ht="22.5" customHeight="1">
      <c r="A580" s="135"/>
      <c r="B580" s="136"/>
      <c r="C580" s="137"/>
      <c r="D580" s="137"/>
      <c r="E580" s="145"/>
      <c r="F580" s="139"/>
      <c r="G580" s="140"/>
      <c r="H580" s="143"/>
      <c r="I580" s="37"/>
      <c r="J580" s="144"/>
      <c r="K580" s="133"/>
      <c r="L580" s="140"/>
    </row>
    <row r="581" ht="22.5" customHeight="1">
      <c r="A581" s="135"/>
      <c r="B581" s="136"/>
      <c r="C581" s="137"/>
      <c r="D581" s="137"/>
      <c r="E581" s="145"/>
      <c r="F581" s="139"/>
      <c r="G581" s="140"/>
      <c r="H581" s="141"/>
      <c r="I581" s="41"/>
      <c r="J581" s="142"/>
      <c r="K581" s="134"/>
      <c r="L581" s="140"/>
    </row>
    <row r="582" ht="22.5" customHeight="1">
      <c r="A582" s="135"/>
      <c r="B582" s="136"/>
      <c r="C582" s="137"/>
      <c r="D582" s="137"/>
      <c r="E582" s="145"/>
      <c r="F582" s="139"/>
      <c r="G582" s="140"/>
      <c r="H582" s="143"/>
      <c r="I582" s="37"/>
      <c r="J582" s="144"/>
      <c r="K582" s="133"/>
      <c r="L582" s="140"/>
    </row>
    <row r="583" ht="22.5" customHeight="1">
      <c r="A583" s="135"/>
      <c r="B583" s="136"/>
      <c r="C583" s="137"/>
      <c r="D583" s="137"/>
      <c r="E583" s="145"/>
      <c r="F583" s="139"/>
      <c r="G583" s="140"/>
      <c r="H583" s="141"/>
      <c r="I583" s="41"/>
      <c r="J583" s="142"/>
      <c r="K583" s="134"/>
      <c r="L583" s="140"/>
    </row>
    <row r="584" ht="22.5" customHeight="1">
      <c r="A584" s="135"/>
      <c r="B584" s="136"/>
      <c r="C584" s="137"/>
      <c r="D584" s="137"/>
      <c r="E584" s="145"/>
      <c r="F584" s="139"/>
      <c r="G584" s="140"/>
      <c r="H584" s="143"/>
      <c r="I584" s="37"/>
      <c r="J584" s="144"/>
      <c r="K584" s="133"/>
      <c r="L584" s="140"/>
    </row>
    <row r="585" ht="22.5" customHeight="1">
      <c r="A585" s="135"/>
      <c r="B585" s="136"/>
      <c r="C585" s="137"/>
      <c r="D585" s="137"/>
      <c r="E585" s="145"/>
      <c r="F585" s="139"/>
      <c r="G585" s="140"/>
      <c r="H585" s="141"/>
      <c r="I585" s="41"/>
      <c r="J585" s="142"/>
      <c r="K585" s="134"/>
      <c r="L585" s="140"/>
    </row>
    <row r="586" ht="22.5" customHeight="1">
      <c r="A586" s="135"/>
      <c r="B586" s="136"/>
      <c r="C586" s="137"/>
      <c r="D586" s="137"/>
      <c r="E586" s="145"/>
      <c r="F586" s="139"/>
      <c r="G586" s="140"/>
      <c r="H586" s="143"/>
      <c r="I586" s="37"/>
      <c r="J586" s="144"/>
      <c r="K586" s="133"/>
      <c r="L586" s="140"/>
    </row>
    <row r="587" ht="22.5" customHeight="1">
      <c r="A587" s="135"/>
      <c r="B587" s="136"/>
      <c r="C587" s="137"/>
      <c r="D587" s="137"/>
      <c r="E587" s="145"/>
      <c r="F587" s="139"/>
      <c r="G587" s="140"/>
      <c r="H587" s="141"/>
      <c r="I587" s="41"/>
      <c r="J587" s="142"/>
      <c r="K587" s="134"/>
      <c r="L587" s="140"/>
    </row>
    <row r="588" ht="22.5" customHeight="1">
      <c r="A588" s="135"/>
      <c r="B588" s="136"/>
      <c r="C588" s="137"/>
      <c r="D588" s="137"/>
      <c r="E588" s="145"/>
      <c r="F588" s="139"/>
      <c r="G588" s="140"/>
      <c r="H588" s="143"/>
      <c r="I588" s="37"/>
      <c r="J588" s="144"/>
      <c r="K588" s="133"/>
      <c r="L588" s="140"/>
    </row>
    <row r="589" ht="22.5" customHeight="1">
      <c r="A589" s="135"/>
      <c r="B589" s="136"/>
      <c r="C589" s="137"/>
      <c r="D589" s="137"/>
      <c r="E589" s="145"/>
      <c r="F589" s="139"/>
      <c r="G589" s="140"/>
      <c r="H589" s="141"/>
      <c r="I589" s="41"/>
      <c r="J589" s="142"/>
      <c r="K589" s="134"/>
      <c r="L589" s="140"/>
    </row>
    <row r="590" ht="22.5" customHeight="1">
      <c r="A590" s="135"/>
      <c r="B590" s="136"/>
      <c r="C590" s="137"/>
      <c r="D590" s="137"/>
      <c r="E590" s="145"/>
      <c r="F590" s="139"/>
      <c r="G590" s="140"/>
      <c r="H590" s="143"/>
      <c r="I590" s="37"/>
      <c r="J590" s="144"/>
      <c r="K590" s="133"/>
      <c r="L590" s="140"/>
    </row>
    <row r="591" ht="22.5" customHeight="1">
      <c r="A591" s="135"/>
      <c r="B591" s="136"/>
      <c r="C591" s="137"/>
      <c r="D591" s="137"/>
      <c r="E591" s="145"/>
      <c r="F591" s="139"/>
      <c r="G591" s="140"/>
      <c r="H591" s="141"/>
      <c r="I591" s="41"/>
      <c r="J591" s="142"/>
      <c r="K591" s="134"/>
      <c r="L591" s="140"/>
    </row>
    <row r="592" ht="22.5" customHeight="1">
      <c r="A592" s="135"/>
      <c r="B592" s="136"/>
      <c r="C592" s="137"/>
      <c r="D592" s="137"/>
      <c r="E592" s="145"/>
      <c r="F592" s="139"/>
      <c r="G592" s="140"/>
      <c r="H592" s="143"/>
      <c r="I592" s="37"/>
      <c r="J592" s="144"/>
      <c r="K592" s="133"/>
      <c r="L592" s="140"/>
    </row>
    <row r="593" ht="22.5" customHeight="1">
      <c r="A593" s="135"/>
      <c r="B593" s="136"/>
      <c r="C593" s="137"/>
      <c r="D593" s="137"/>
      <c r="E593" s="145"/>
      <c r="F593" s="139"/>
      <c r="G593" s="140"/>
      <c r="H593" s="141"/>
      <c r="I593" s="41"/>
      <c r="J593" s="142"/>
      <c r="K593" s="134"/>
      <c r="L593" s="140"/>
    </row>
    <row r="594" ht="22.5" customHeight="1">
      <c r="A594" s="135"/>
      <c r="B594" s="136"/>
      <c r="C594" s="137"/>
      <c r="D594" s="137"/>
      <c r="E594" s="145"/>
      <c r="F594" s="139"/>
      <c r="G594" s="140"/>
      <c r="H594" s="143"/>
      <c r="I594" s="37"/>
      <c r="J594" s="144"/>
      <c r="K594" s="133"/>
      <c r="L594" s="140"/>
    </row>
    <row r="595" ht="22.5" customHeight="1">
      <c r="A595" s="135"/>
      <c r="B595" s="136"/>
      <c r="C595" s="137"/>
      <c r="D595" s="137"/>
      <c r="E595" s="145"/>
      <c r="F595" s="139"/>
      <c r="G595" s="140"/>
      <c r="H595" s="141"/>
      <c r="I595" s="41"/>
      <c r="J595" s="142"/>
      <c r="K595" s="134"/>
      <c r="L595" s="140"/>
    </row>
    <row r="596" ht="22.5" customHeight="1">
      <c r="A596" s="135"/>
      <c r="B596" s="136"/>
      <c r="C596" s="137"/>
      <c r="D596" s="137"/>
      <c r="E596" s="145"/>
      <c r="F596" s="139"/>
      <c r="G596" s="140"/>
      <c r="H596" s="143"/>
      <c r="I596" s="37"/>
      <c r="J596" s="144"/>
      <c r="K596" s="133"/>
      <c r="L596" s="140"/>
    </row>
    <row r="597" ht="22.5" customHeight="1">
      <c r="A597" s="135"/>
      <c r="B597" s="136"/>
      <c r="C597" s="137"/>
      <c r="D597" s="137"/>
      <c r="E597" s="145"/>
      <c r="F597" s="139"/>
      <c r="G597" s="140"/>
      <c r="H597" s="141"/>
      <c r="I597" s="41"/>
      <c r="J597" s="142"/>
      <c r="K597" s="134"/>
      <c r="L597" s="140"/>
    </row>
    <row r="598" ht="22.5" customHeight="1">
      <c r="A598" s="135"/>
      <c r="B598" s="136"/>
      <c r="C598" s="137"/>
      <c r="D598" s="137"/>
      <c r="E598" s="145"/>
      <c r="F598" s="139"/>
      <c r="G598" s="140"/>
      <c r="H598" s="143"/>
      <c r="I598" s="37"/>
      <c r="J598" s="144"/>
      <c r="K598" s="133"/>
      <c r="L598" s="140"/>
    </row>
    <row r="599" ht="22.5" customHeight="1">
      <c r="A599" s="135"/>
      <c r="B599" s="136"/>
      <c r="C599" s="137"/>
      <c r="D599" s="137"/>
      <c r="E599" s="145"/>
      <c r="F599" s="139"/>
      <c r="G599" s="140"/>
      <c r="H599" s="141"/>
      <c r="I599" s="41"/>
      <c r="J599" s="142"/>
      <c r="K599" s="134"/>
      <c r="L599" s="140"/>
    </row>
    <row r="600" ht="22.5" customHeight="1">
      <c r="A600" s="135"/>
      <c r="B600" s="136"/>
      <c r="C600" s="137"/>
      <c r="D600" s="137"/>
      <c r="E600" s="145"/>
      <c r="F600" s="139"/>
      <c r="G600" s="140"/>
      <c r="H600" s="143"/>
      <c r="I600" s="37"/>
      <c r="J600" s="144"/>
      <c r="K600" s="133"/>
      <c r="L600" s="140"/>
    </row>
    <row r="601" ht="22.5" customHeight="1">
      <c r="A601" s="135"/>
      <c r="B601" s="136"/>
      <c r="C601" s="137"/>
      <c r="D601" s="137"/>
      <c r="E601" s="145"/>
      <c r="F601" s="139"/>
      <c r="G601" s="140"/>
      <c r="H601" s="141"/>
      <c r="I601" s="41"/>
      <c r="J601" s="142"/>
      <c r="K601" s="134"/>
      <c r="L601" s="140"/>
    </row>
    <row r="602" ht="22.5" customHeight="1">
      <c r="A602" s="135"/>
      <c r="B602" s="136"/>
      <c r="C602" s="137"/>
      <c r="D602" s="137"/>
      <c r="E602" s="145"/>
      <c r="F602" s="139"/>
      <c r="G602" s="140"/>
      <c r="H602" s="143"/>
      <c r="I602" s="37"/>
      <c r="J602" s="144"/>
      <c r="K602" s="133"/>
      <c r="L602" s="140"/>
    </row>
    <row r="603" ht="22.5" customHeight="1">
      <c r="A603" s="135"/>
      <c r="B603" s="136"/>
      <c r="C603" s="137"/>
      <c r="D603" s="137"/>
      <c r="E603" s="145"/>
      <c r="F603" s="139"/>
      <c r="G603" s="140"/>
      <c r="H603" s="141"/>
      <c r="I603" s="41"/>
      <c r="J603" s="142"/>
      <c r="K603" s="134"/>
      <c r="L603" s="140"/>
    </row>
    <row r="604" ht="22.5" customHeight="1">
      <c r="A604" s="135"/>
      <c r="B604" s="136"/>
      <c r="C604" s="137"/>
      <c r="D604" s="137"/>
      <c r="E604" s="145"/>
      <c r="F604" s="139"/>
      <c r="G604" s="140"/>
      <c r="H604" s="143"/>
      <c r="I604" s="37"/>
      <c r="J604" s="144"/>
      <c r="K604" s="133"/>
      <c r="L604" s="140"/>
    </row>
    <row r="605" ht="22.5" customHeight="1">
      <c r="A605" s="135"/>
      <c r="B605" s="136"/>
      <c r="C605" s="137"/>
      <c r="D605" s="137"/>
      <c r="E605" s="145"/>
      <c r="F605" s="139"/>
      <c r="G605" s="140"/>
      <c r="H605" s="141"/>
      <c r="I605" s="41"/>
      <c r="J605" s="142"/>
      <c r="K605" s="134"/>
      <c r="L605" s="140"/>
    </row>
    <row r="606" ht="22.5" customHeight="1">
      <c r="A606" s="135"/>
      <c r="B606" s="136"/>
      <c r="C606" s="137"/>
      <c r="D606" s="137"/>
      <c r="E606" s="145"/>
      <c r="F606" s="139"/>
      <c r="G606" s="140"/>
      <c r="H606" s="143"/>
      <c r="I606" s="37"/>
      <c r="J606" s="144"/>
      <c r="K606" s="133"/>
      <c r="L606" s="140"/>
    </row>
    <row r="607" ht="22.5" customHeight="1">
      <c r="A607" s="135"/>
      <c r="B607" s="136"/>
      <c r="C607" s="137"/>
      <c r="D607" s="137"/>
      <c r="E607" s="145"/>
      <c r="F607" s="139"/>
      <c r="G607" s="140"/>
      <c r="H607" s="141"/>
      <c r="I607" s="41"/>
      <c r="J607" s="142"/>
      <c r="K607" s="134"/>
      <c r="L607" s="140"/>
    </row>
    <row r="608" ht="22.5" customHeight="1">
      <c r="A608" s="135"/>
      <c r="B608" s="136"/>
      <c r="C608" s="137"/>
      <c r="D608" s="137"/>
      <c r="E608" s="145"/>
      <c r="F608" s="139"/>
      <c r="G608" s="140"/>
      <c r="H608" s="143"/>
      <c r="I608" s="37"/>
      <c r="J608" s="144"/>
      <c r="K608" s="133"/>
      <c r="L608" s="140"/>
    </row>
    <row r="609" ht="22.5" customHeight="1">
      <c r="A609" s="135"/>
      <c r="B609" s="136"/>
      <c r="C609" s="137"/>
      <c r="D609" s="137"/>
      <c r="E609" s="145"/>
      <c r="F609" s="139"/>
      <c r="G609" s="140"/>
      <c r="H609" s="141"/>
      <c r="I609" s="41"/>
      <c r="J609" s="142"/>
      <c r="K609" s="134"/>
      <c r="L609" s="140"/>
    </row>
    <row r="610" ht="22.5" customHeight="1">
      <c r="A610" s="135"/>
      <c r="B610" s="136"/>
      <c r="C610" s="137"/>
      <c r="D610" s="137"/>
      <c r="E610" s="145"/>
      <c r="F610" s="139"/>
      <c r="G610" s="140"/>
      <c r="H610" s="143"/>
      <c r="I610" s="37"/>
      <c r="J610" s="144"/>
      <c r="K610" s="133"/>
      <c r="L610" s="140"/>
    </row>
    <row r="611" ht="22.5" customHeight="1">
      <c r="A611" s="135"/>
      <c r="B611" s="136"/>
      <c r="C611" s="137"/>
      <c r="D611" s="137"/>
      <c r="E611" s="145"/>
      <c r="F611" s="139"/>
      <c r="G611" s="140"/>
      <c r="H611" s="141"/>
      <c r="I611" s="41"/>
      <c r="J611" s="142"/>
      <c r="K611" s="134"/>
      <c r="L611" s="140"/>
    </row>
    <row r="612" ht="22.5" customHeight="1">
      <c r="A612" s="135"/>
      <c r="B612" s="136"/>
      <c r="C612" s="137"/>
      <c r="D612" s="137"/>
      <c r="E612" s="145"/>
      <c r="F612" s="139"/>
      <c r="G612" s="140"/>
      <c r="H612" s="143"/>
      <c r="I612" s="37"/>
      <c r="J612" s="144"/>
      <c r="K612" s="133"/>
      <c r="L612" s="140"/>
    </row>
    <row r="613" ht="22.5" customHeight="1">
      <c r="A613" s="135"/>
      <c r="B613" s="136"/>
      <c r="C613" s="137"/>
      <c r="D613" s="137"/>
      <c r="E613" s="145"/>
      <c r="F613" s="139"/>
      <c r="G613" s="140"/>
      <c r="H613" s="141"/>
      <c r="I613" s="41"/>
      <c r="J613" s="142"/>
      <c r="K613" s="134"/>
      <c r="L613" s="140"/>
    </row>
    <row r="614" ht="22.5" customHeight="1">
      <c r="A614" s="135"/>
      <c r="B614" s="136"/>
      <c r="C614" s="137"/>
      <c r="D614" s="137"/>
      <c r="E614" s="145"/>
      <c r="F614" s="139"/>
      <c r="G614" s="140"/>
      <c r="H614" s="143"/>
      <c r="I614" s="37"/>
      <c r="J614" s="144"/>
      <c r="K614" s="133"/>
      <c r="L614" s="140"/>
    </row>
    <row r="615" ht="22.5" customHeight="1">
      <c r="A615" s="135"/>
      <c r="B615" s="136"/>
      <c r="C615" s="137"/>
      <c r="D615" s="137"/>
      <c r="E615" s="145"/>
      <c r="F615" s="139"/>
      <c r="G615" s="140"/>
      <c r="H615" s="141"/>
      <c r="I615" s="41"/>
      <c r="J615" s="142"/>
      <c r="K615" s="134"/>
      <c r="L615" s="140"/>
    </row>
    <row r="616" ht="22.5" customHeight="1">
      <c r="A616" s="135"/>
      <c r="B616" s="136"/>
      <c r="C616" s="137"/>
      <c r="D616" s="137"/>
      <c r="E616" s="145"/>
      <c r="F616" s="139"/>
      <c r="G616" s="140"/>
      <c r="H616" s="143"/>
      <c r="I616" s="37"/>
      <c r="J616" s="144"/>
      <c r="K616" s="133"/>
      <c r="L616" s="140"/>
    </row>
    <row r="617" ht="22.5" customHeight="1">
      <c r="A617" s="135"/>
      <c r="B617" s="136"/>
      <c r="C617" s="137"/>
      <c r="D617" s="137"/>
      <c r="E617" s="145"/>
      <c r="F617" s="139"/>
      <c r="G617" s="140"/>
      <c r="H617" s="141"/>
      <c r="I617" s="41"/>
      <c r="J617" s="142"/>
      <c r="K617" s="134"/>
      <c r="L617" s="140"/>
    </row>
    <row r="618" ht="22.5" customHeight="1">
      <c r="A618" s="135"/>
      <c r="B618" s="136"/>
      <c r="C618" s="137"/>
      <c r="D618" s="137"/>
      <c r="E618" s="145"/>
      <c r="F618" s="139"/>
      <c r="G618" s="140"/>
      <c r="H618" s="143"/>
      <c r="I618" s="37"/>
      <c r="J618" s="144"/>
      <c r="K618" s="133"/>
      <c r="L618" s="140"/>
    </row>
    <row r="619" ht="22.5" customHeight="1">
      <c r="A619" s="135"/>
      <c r="B619" s="136"/>
      <c r="C619" s="137"/>
      <c r="D619" s="137"/>
      <c r="E619" s="145"/>
      <c r="F619" s="139"/>
      <c r="G619" s="140"/>
      <c r="H619" s="141"/>
      <c r="I619" s="41"/>
      <c r="J619" s="142"/>
      <c r="K619" s="134"/>
      <c r="L619" s="140"/>
    </row>
    <row r="620" ht="22.5" customHeight="1">
      <c r="A620" s="135"/>
      <c r="B620" s="136"/>
      <c r="C620" s="137"/>
      <c r="D620" s="137"/>
      <c r="E620" s="145"/>
      <c r="F620" s="139"/>
      <c r="G620" s="140"/>
      <c r="H620" s="143"/>
      <c r="I620" s="37"/>
      <c r="J620" s="144"/>
      <c r="K620" s="133"/>
      <c r="L620" s="140"/>
    </row>
    <row r="621" ht="22.5" customHeight="1">
      <c r="A621" s="135"/>
      <c r="B621" s="136"/>
      <c r="C621" s="137"/>
      <c r="D621" s="137"/>
      <c r="E621" s="145"/>
      <c r="F621" s="139"/>
      <c r="G621" s="140"/>
      <c r="H621" s="141"/>
      <c r="I621" s="41"/>
      <c r="J621" s="142"/>
      <c r="K621" s="134"/>
      <c r="L621" s="140"/>
    </row>
    <row r="622" ht="22.5" customHeight="1">
      <c r="A622" s="135"/>
      <c r="B622" s="136"/>
      <c r="C622" s="137"/>
      <c r="D622" s="137"/>
      <c r="E622" s="145"/>
      <c r="F622" s="139"/>
      <c r="G622" s="140"/>
      <c r="H622" s="143"/>
      <c r="I622" s="37"/>
      <c r="J622" s="144"/>
      <c r="K622" s="133"/>
      <c r="L622" s="140"/>
    </row>
    <row r="623" ht="22.5" customHeight="1">
      <c r="A623" s="135"/>
      <c r="B623" s="136"/>
      <c r="C623" s="137"/>
      <c r="D623" s="137"/>
      <c r="E623" s="145"/>
      <c r="F623" s="139"/>
      <c r="G623" s="140"/>
      <c r="H623" s="141"/>
      <c r="I623" s="41"/>
      <c r="J623" s="142"/>
      <c r="K623" s="134"/>
      <c r="L623" s="140"/>
    </row>
    <row r="624" ht="22.5" customHeight="1">
      <c r="A624" s="135"/>
      <c r="B624" s="136"/>
      <c r="C624" s="137"/>
      <c r="D624" s="137"/>
      <c r="E624" s="145"/>
      <c r="F624" s="139"/>
      <c r="G624" s="140"/>
      <c r="H624" s="143"/>
      <c r="I624" s="37"/>
      <c r="J624" s="144"/>
      <c r="K624" s="133"/>
      <c r="L624" s="140"/>
    </row>
    <row r="625" ht="22.5" customHeight="1">
      <c r="A625" s="135"/>
      <c r="B625" s="136"/>
      <c r="C625" s="137"/>
      <c r="D625" s="137"/>
      <c r="E625" s="145"/>
      <c r="F625" s="139"/>
      <c r="G625" s="140"/>
      <c r="H625" s="141"/>
      <c r="I625" s="41"/>
      <c r="J625" s="142"/>
      <c r="K625" s="134"/>
      <c r="L625" s="140"/>
    </row>
    <row r="626" ht="22.5" customHeight="1">
      <c r="A626" s="135"/>
      <c r="B626" s="136"/>
      <c r="C626" s="137"/>
      <c r="D626" s="137"/>
      <c r="E626" s="145"/>
      <c r="F626" s="139"/>
      <c r="G626" s="140"/>
      <c r="H626" s="143"/>
      <c r="I626" s="37"/>
      <c r="J626" s="144"/>
      <c r="K626" s="133"/>
      <c r="L626" s="140"/>
    </row>
    <row r="627" ht="22.5" customHeight="1">
      <c r="A627" s="135"/>
      <c r="B627" s="136"/>
      <c r="C627" s="137"/>
      <c r="D627" s="137"/>
      <c r="E627" s="145"/>
      <c r="F627" s="139"/>
      <c r="G627" s="140"/>
      <c r="H627" s="141"/>
      <c r="I627" s="41"/>
      <c r="J627" s="142"/>
      <c r="K627" s="134"/>
      <c r="L627" s="140"/>
    </row>
    <row r="628" ht="22.5" customHeight="1">
      <c r="A628" s="135"/>
      <c r="B628" s="136"/>
      <c r="C628" s="137"/>
      <c r="D628" s="137"/>
      <c r="E628" s="145"/>
      <c r="F628" s="139"/>
      <c r="G628" s="140"/>
      <c r="H628" s="143"/>
      <c r="I628" s="37"/>
      <c r="J628" s="144"/>
      <c r="K628" s="133"/>
      <c r="L628" s="140"/>
    </row>
    <row r="629" ht="22.5" customHeight="1">
      <c r="A629" s="135"/>
      <c r="B629" s="136"/>
      <c r="C629" s="137"/>
      <c r="D629" s="137"/>
      <c r="E629" s="145"/>
      <c r="F629" s="139"/>
      <c r="G629" s="140"/>
      <c r="H629" s="141"/>
      <c r="I629" s="41"/>
      <c r="J629" s="142"/>
      <c r="K629" s="134"/>
      <c r="L629" s="140"/>
    </row>
    <row r="630" ht="22.5" customHeight="1">
      <c r="A630" s="135"/>
      <c r="B630" s="136"/>
      <c r="C630" s="137"/>
      <c r="D630" s="137"/>
      <c r="E630" s="145"/>
      <c r="F630" s="139"/>
      <c r="G630" s="140"/>
      <c r="H630" s="143"/>
      <c r="I630" s="37"/>
      <c r="J630" s="144"/>
      <c r="K630" s="133"/>
      <c r="L630" s="140"/>
    </row>
    <row r="631" ht="22.5" customHeight="1">
      <c r="A631" s="135"/>
      <c r="B631" s="136"/>
      <c r="C631" s="137"/>
      <c r="D631" s="137"/>
      <c r="E631" s="145"/>
      <c r="F631" s="139"/>
      <c r="G631" s="140"/>
      <c r="H631" s="141"/>
      <c r="I631" s="41"/>
      <c r="J631" s="142"/>
      <c r="K631" s="134"/>
      <c r="L631" s="140"/>
    </row>
    <row r="632" ht="22.5" customHeight="1">
      <c r="A632" s="135"/>
      <c r="B632" s="136"/>
      <c r="C632" s="137"/>
      <c r="D632" s="137"/>
      <c r="E632" s="145"/>
      <c r="F632" s="139"/>
      <c r="G632" s="140"/>
      <c r="H632" s="143"/>
      <c r="I632" s="37"/>
      <c r="J632" s="144"/>
      <c r="K632" s="133"/>
      <c r="L632" s="140"/>
    </row>
    <row r="633" ht="22.5" customHeight="1">
      <c r="A633" s="135"/>
      <c r="B633" s="136"/>
      <c r="C633" s="137"/>
      <c r="D633" s="137"/>
      <c r="E633" s="145"/>
      <c r="F633" s="139"/>
      <c r="G633" s="140"/>
      <c r="H633" s="141"/>
      <c r="I633" s="41"/>
      <c r="J633" s="142"/>
      <c r="K633" s="134"/>
      <c r="L633" s="140"/>
    </row>
    <row r="634" ht="22.5" customHeight="1">
      <c r="A634" s="135"/>
      <c r="B634" s="136"/>
      <c r="C634" s="137"/>
      <c r="D634" s="137"/>
      <c r="E634" s="145"/>
      <c r="F634" s="139"/>
      <c r="G634" s="140"/>
      <c r="H634" s="143"/>
      <c r="I634" s="37"/>
      <c r="J634" s="144"/>
      <c r="K634" s="133"/>
      <c r="L634" s="140"/>
    </row>
    <row r="635" ht="22.5" customHeight="1">
      <c r="A635" s="135"/>
      <c r="B635" s="136"/>
      <c r="C635" s="137"/>
      <c r="D635" s="137"/>
      <c r="E635" s="145"/>
      <c r="F635" s="139"/>
      <c r="G635" s="140"/>
      <c r="H635" s="141"/>
      <c r="I635" s="41"/>
      <c r="J635" s="142"/>
      <c r="K635" s="134"/>
      <c r="L635" s="140"/>
    </row>
    <row r="636" ht="22.5" customHeight="1">
      <c r="A636" s="135"/>
      <c r="B636" s="136"/>
      <c r="C636" s="137"/>
      <c r="D636" s="137"/>
      <c r="E636" s="145"/>
      <c r="F636" s="139"/>
      <c r="G636" s="140"/>
      <c r="H636" s="143"/>
      <c r="I636" s="37"/>
      <c r="J636" s="144"/>
      <c r="K636" s="133"/>
      <c r="L636" s="140"/>
    </row>
    <row r="637" ht="22.5" customHeight="1">
      <c r="A637" s="135"/>
      <c r="B637" s="136"/>
      <c r="C637" s="137"/>
      <c r="D637" s="137"/>
      <c r="E637" s="145"/>
      <c r="F637" s="139"/>
      <c r="G637" s="140"/>
      <c r="H637" s="141"/>
      <c r="I637" s="41"/>
      <c r="J637" s="142"/>
      <c r="K637" s="134"/>
      <c r="L637" s="140"/>
    </row>
    <row r="638" ht="22.5" customHeight="1">
      <c r="A638" s="135"/>
      <c r="B638" s="136"/>
      <c r="C638" s="137"/>
      <c r="D638" s="137"/>
      <c r="E638" s="145"/>
      <c r="F638" s="139"/>
      <c r="G638" s="140"/>
      <c r="H638" s="143"/>
      <c r="I638" s="37"/>
      <c r="J638" s="144"/>
      <c r="K638" s="133"/>
      <c r="L638" s="140"/>
    </row>
    <row r="639" ht="22.5" customHeight="1">
      <c r="A639" s="135"/>
      <c r="B639" s="136"/>
      <c r="C639" s="137"/>
      <c r="D639" s="137"/>
      <c r="E639" s="145"/>
      <c r="F639" s="139"/>
      <c r="G639" s="140"/>
      <c r="H639" s="141"/>
      <c r="I639" s="41"/>
      <c r="J639" s="142"/>
      <c r="K639" s="134"/>
      <c r="L639" s="140"/>
    </row>
    <row r="640" ht="22.5" customHeight="1">
      <c r="A640" s="135"/>
      <c r="B640" s="136"/>
      <c r="C640" s="137"/>
      <c r="D640" s="137"/>
      <c r="E640" s="145"/>
      <c r="F640" s="139"/>
      <c r="G640" s="140"/>
      <c r="H640" s="143"/>
      <c r="I640" s="37"/>
      <c r="J640" s="144"/>
      <c r="K640" s="133"/>
      <c r="L640" s="140"/>
    </row>
    <row r="641" ht="22.5" customHeight="1">
      <c r="A641" s="135"/>
      <c r="B641" s="136"/>
      <c r="C641" s="137"/>
      <c r="D641" s="137"/>
      <c r="E641" s="145"/>
      <c r="F641" s="139"/>
      <c r="G641" s="140"/>
      <c r="H641" s="141"/>
      <c r="I641" s="41"/>
      <c r="J641" s="142"/>
      <c r="K641" s="134"/>
      <c r="L641" s="140"/>
    </row>
    <row r="642" ht="22.5" customHeight="1">
      <c r="A642" s="135"/>
      <c r="B642" s="136"/>
      <c r="C642" s="137"/>
      <c r="D642" s="137"/>
      <c r="E642" s="145"/>
      <c r="F642" s="139"/>
      <c r="G642" s="140"/>
      <c r="H642" s="143"/>
      <c r="I642" s="37"/>
      <c r="J642" s="144"/>
      <c r="K642" s="133"/>
      <c r="L642" s="140"/>
    </row>
    <row r="643" ht="22.5" customHeight="1">
      <c r="A643" s="135"/>
      <c r="B643" s="136"/>
      <c r="C643" s="137"/>
      <c r="D643" s="137"/>
      <c r="E643" s="145"/>
      <c r="F643" s="139"/>
      <c r="G643" s="140"/>
      <c r="H643" s="141"/>
      <c r="I643" s="41"/>
      <c r="J643" s="142"/>
      <c r="K643" s="134"/>
      <c r="L643" s="140"/>
    </row>
    <row r="644" ht="22.5" customHeight="1">
      <c r="A644" s="135"/>
      <c r="B644" s="136"/>
      <c r="C644" s="137"/>
      <c r="D644" s="137"/>
      <c r="E644" s="145"/>
      <c r="F644" s="139"/>
      <c r="G644" s="140"/>
      <c r="H644" s="143"/>
      <c r="I644" s="37"/>
      <c r="J644" s="144"/>
      <c r="K644" s="133"/>
      <c r="L644" s="140"/>
    </row>
    <row r="645" ht="22.5" customHeight="1">
      <c r="A645" s="135"/>
      <c r="B645" s="136"/>
      <c r="C645" s="137"/>
      <c r="D645" s="137"/>
      <c r="E645" s="145"/>
      <c r="F645" s="139"/>
      <c r="G645" s="140"/>
      <c r="H645" s="141"/>
      <c r="I645" s="41"/>
      <c r="J645" s="142"/>
      <c r="K645" s="134"/>
      <c r="L645" s="140"/>
    </row>
    <row r="646" ht="22.5" customHeight="1">
      <c r="A646" s="135"/>
      <c r="B646" s="136"/>
      <c r="C646" s="137"/>
      <c r="D646" s="137"/>
      <c r="E646" s="145"/>
      <c r="F646" s="139"/>
      <c r="G646" s="140"/>
      <c r="H646" s="143"/>
      <c r="I646" s="37"/>
      <c r="J646" s="144"/>
      <c r="K646" s="133"/>
      <c r="L646" s="140"/>
    </row>
    <row r="647" ht="22.5" customHeight="1">
      <c r="A647" s="135"/>
      <c r="B647" s="136"/>
      <c r="C647" s="137"/>
      <c r="D647" s="137"/>
      <c r="E647" s="145"/>
      <c r="F647" s="139"/>
      <c r="G647" s="140"/>
      <c r="H647" s="141"/>
      <c r="I647" s="41"/>
      <c r="J647" s="142"/>
      <c r="K647" s="134"/>
      <c r="L647" s="140"/>
    </row>
    <row r="648" ht="22.5" customHeight="1">
      <c r="A648" s="135"/>
      <c r="B648" s="136"/>
      <c r="C648" s="137"/>
      <c r="D648" s="137"/>
      <c r="E648" s="145"/>
      <c r="F648" s="139"/>
      <c r="G648" s="140"/>
      <c r="H648" s="143"/>
      <c r="I648" s="37"/>
      <c r="J648" s="144"/>
      <c r="K648" s="133"/>
      <c r="L648" s="140"/>
    </row>
    <row r="649" ht="22.5" customHeight="1">
      <c r="A649" s="135"/>
      <c r="B649" s="136"/>
      <c r="C649" s="137"/>
      <c r="D649" s="137"/>
      <c r="E649" s="145"/>
      <c r="F649" s="139"/>
      <c r="G649" s="140"/>
      <c r="H649" s="141"/>
      <c r="I649" s="41"/>
      <c r="J649" s="142"/>
      <c r="K649" s="134"/>
      <c r="L649" s="140"/>
    </row>
    <row r="650" ht="22.5" customHeight="1">
      <c r="A650" s="135"/>
      <c r="B650" s="136"/>
      <c r="C650" s="137"/>
      <c r="D650" s="137"/>
      <c r="E650" s="145"/>
      <c r="F650" s="139"/>
      <c r="G650" s="140"/>
      <c r="H650" s="143"/>
      <c r="I650" s="37"/>
      <c r="J650" s="144"/>
      <c r="K650" s="133"/>
      <c r="L650" s="140"/>
    </row>
    <row r="651" ht="22.5" customHeight="1">
      <c r="A651" s="135"/>
      <c r="B651" s="136"/>
      <c r="C651" s="137"/>
      <c r="D651" s="137"/>
      <c r="E651" s="145"/>
      <c r="F651" s="139"/>
      <c r="G651" s="140"/>
      <c r="H651" s="141"/>
      <c r="I651" s="41"/>
      <c r="J651" s="142"/>
      <c r="K651" s="134"/>
      <c r="L651" s="140"/>
    </row>
    <row r="652" ht="22.5" customHeight="1">
      <c r="A652" s="135"/>
      <c r="B652" s="136"/>
      <c r="C652" s="137"/>
      <c r="D652" s="137"/>
      <c r="E652" s="145"/>
      <c r="F652" s="139"/>
      <c r="G652" s="140"/>
      <c r="H652" s="143"/>
      <c r="I652" s="37"/>
      <c r="J652" s="144"/>
      <c r="K652" s="133"/>
      <c r="L652" s="140"/>
    </row>
    <row r="653" ht="22.5" customHeight="1">
      <c r="A653" s="135"/>
      <c r="B653" s="136"/>
      <c r="C653" s="137"/>
      <c r="D653" s="137"/>
      <c r="E653" s="145"/>
      <c r="F653" s="139"/>
      <c r="G653" s="140"/>
      <c r="H653" s="141"/>
      <c r="I653" s="41"/>
      <c r="J653" s="142"/>
      <c r="K653" s="134"/>
      <c r="L653" s="140"/>
    </row>
    <row r="654" ht="22.5" customHeight="1">
      <c r="A654" s="135"/>
      <c r="B654" s="136"/>
      <c r="C654" s="137"/>
      <c r="D654" s="137"/>
      <c r="E654" s="145"/>
      <c r="F654" s="139"/>
      <c r="G654" s="140"/>
      <c r="H654" s="143"/>
      <c r="I654" s="37"/>
      <c r="J654" s="144"/>
      <c r="K654" s="133"/>
      <c r="L654" s="140"/>
    </row>
    <row r="655" ht="22.5" customHeight="1">
      <c r="A655" s="135"/>
      <c r="B655" s="136"/>
      <c r="C655" s="137"/>
      <c r="D655" s="137"/>
      <c r="E655" s="145"/>
      <c r="F655" s="139"/>
      <c r="G655" s="140"/>
      <c r="H655" s="141"/>
      <c r="I655" s="41"/>
      <c r="J655" s="142"/>
      <c r="K655" s="134"/>
      <c r="L655" s="140"/>
    </row>
    <row r="656" ht="22.5" customHeight="1">
      <c r="A656" s="135"/>
      <c r="B656" s="136"/>
      <c r="C656" s="137"/>
      <c r="D656" s="137"/>
      <c r="E656" s="145"/>
      <c r="F656" s="139"/>
      <c r="G656" s="140"/>
      <c r="H656" s="143"/>
      <c r="I656" s="37"/>
      <c r="J656" s="144"/>
      <c r="K656" s="133"/>
      <c r="L656" s="140"/>
    </row>
    <row r="657" ht="22.5" customHeight="1">
      <c r="A657" s="135"/>
      <c r="B657" s="136"/>
      <c r="C657" s="137"/>
      <c r="D657" s="137"/>
      <c r="E657" s="145"/>
      <c r="F657" s="139"/>
      <c r="G657" s="140"/>
      <c r="H657" s="141"/>
      <c r="I657" s="41"/>
      <c r="J657" s="142"/>
      <c r="K657" s="134"/>
      <c r="L657" s="140"/>
    </row>
    <row r="658" ht="22.5" customHeight="1">
      <c r="A658" s="135"/>
      <c r="B658" s="136"/>
      <c r="C658" s="137"/>
      <c r="D658" s="137"/>
      <c r="E658" s="145"/>
      <c r="F658" s="139"/>
      <c r="G658" s="140"/>
      <c r="H658" s="143"/>
      <c r="I658" s="37"/>
      <c r="J658" s="144"/>
      <c r="K658" s="133"/>
      <c r="L658" s="140"/>
    </row>
    <row r="659" ht="22.5" customHeight="1">
      <c r="A659" s="135"/>
      <c r="B659" s="136"/>
      <c r="C659" s="137"/>
      <c r="D659" s="137"/>
      <c r="E659" s="145"/>
      <c r="F659" s="139"/>
      <c r="G659" s="140"/>
      <c r="H659" s="141"/>
      <c r="I659" s="41"/>
      <c r="J659" s="142"/>
      <c r="K659" s="134"/>
      <c r="L659" s="140"/>
    </row>
    <row r="660" ht="22.5" customHeight="1">
      <c r="A660" s="135"/>
      <c r="B660" s="136"/>
      <c r="C660" s="137"/>
      <c r="D660" s="137"/>
      <c r="E660" s="145"/>
      <c r="F660" s="139"/>
      <c r="G660" s="140"/>
      <c r="H660" s="143"/>
      <c r="I660" s="37"/>
      <c r="J660" s="144"/>
      <c r="K660" s="133"/>
      <c r="L660" s="140"/>
    </row>
    <row r="661" ht="22.5" customHeight="1">
      <c r="A661" s="135"/>
      <c r="B661" s="136"/>
      <c r="C661" s="137"/>
      <c r="D661" s="137"/>
      <c r="E661" s="145"/>
      <c r="F661" s="139"/>
      <c r="G661" s="140"/>
      <c r="H661" s="141"/>
      <c r="I661" s="41"/>
      <c r="J661" s="142"/>
      <c r="K661" s="134"/>
      <c r="L661" s="140"/>
    </row>
    <row r="662" ht="22.5" customHeight="1">
      <c r="A662" s="135"/>
      <c r="B662" s="136"/>
      <c r="C662" s="137"/>
      <c r="D662" s="137"/>
      <c r="E662" s="145"/>
      <c r="F662" s="139"/>
      <c r="G662" s="140"/>
      <c r="H662" s="143"/>
      <c r="I662" s="37"/>
      <c r="J662" s="144"/>
      <c r="K662" s="133"/>
      <c r="L662" s="140"/>
    </row>
    <row r="663" ht="22.5" customHeight="1">
      <c r="A663" s="135"/>
      <c r="B663" s="136"/>
      <c r="C663" s="137"/>
      <c r="D663" s="137"/>
      <c r="E663" s="145"/>
      <c r="F663" s="139"/>
      <c r="G663" s="140"/>
      <c r="H663" s="141"/>
      <c r="I663" s="41"/>
      <c r="J663" s="142"/>
      <c r="K663" s="134"/>
      <c r="L663" s="140"/>
    </row>
    <row r="664" ht="22.5" customHeight="1">
      <c r="A664" s="135"/>
      <c r="B664" s="136"/>
      <c r="C664" s="137"/>
      <c r="D664" s="137"/>
      <c r="E664" s="145"/>
      <c r="F664" s="139"/>
      <c r="G664" s="140"/>
      <c r="H664" s="143"/>
      <c r="I664" s="37"/>
      <c r="J664" s="144"/>
      <c r="K664" s="133"/>
      <c r="L664" s="140"/>
    </row>
    <row r="665" ht="22.5" customHeight="1">
      <c r="A665" s="135"/>
      <c r="B665" s="136"/>
      <c r="C665" s="137"/>
      <c r="D665" s="137"/>
      <c r="E665" s="145"/>
      <c r="F665" s="139"/>
      <c r="G665" s="140"/>
      <c r="H665" s="141"/>
      <c r="I665" s="41"/>
      <c r="J665" s="142"/>
      <c r="K665" s="134"/>
      <c r="L665" s="140"/>
    </row>
    <row r="666" ht="22.5" customHeight="1">
      <c r="A666" s="135"/>
      <c r="B666" s="136"/>
      <c r="C666" s="137"/>
      <c r="D666" s="137"/>
      <c r="E666" s="145"/>
      <c r="F666" s="139"/>
      <c r="G666" s="140"/>
      <c r="H666" s="143"/>
      <c r="I666" s="37"/>
      <c r="J666" s="144"/>
      <c r="K666" s="133"/>
      <c r="L666" s="140"/>
    </row>
    <row r="667" ht="22.5" customHeight="1">
      <c r="A667" s="135"/>
      <c r="B667" s="136"/>
      <c r="C667" s="137"/>
      <c r="D667" s="137"/>
      <c r="E667" s="145"/>
      <c r="F667" s="139"/>
      <c r="G667" s="140"/>
      <c r="H667" s="141"/>
      <c r="I667" s="41"/>
      <c r="J667" s="142"/>
      <c r="K667" s="134"/>
      <c r="L667" s="140"/>
    </row>
    <row r="668" ht="22.5" customHeight="1">
      <c r="A668" s="135"/>
      <c r="B668" s="136"/>
      <c r="C668" s="137"/>
      <c r="D668" s="137"/>
      <c r="E668" s="145"/>
      <c r="F668" s="139"/>
      <c r="G668" s="140"/>
      <c r="H668" s="143"/>
      <c r="I668" s="37"/>
      <c r="J668" s="144"/>
      <c r="K668" s="133"/>
      <c r="L668" s="140"/>
    </row>
    <row r="669" ht="22.5" customHeight="1">
      <c r="A669" s="135"/>
      <c r="B669" s="136"/>
      <c r="C669" s="137"/>
      <c r="D669" s="137"/>
      <c r="E669" s="145"/>
      <c r="F669" s="139"/>
      <c r="G669" s="140"/>
      <c r="H669" s="141"/>
      <c r="I669" s="41"/>
      <c r="J669" s="142"/>
      <c r="K669" s="134"/>
      <c r="L669" s="140"/>
    </row>
    <row r="670" ht="22.5" customHeight="1">
      <c r="A670" s="135"/>
      <c r="B670" s="136"/>
      <c r="C670" s="137"/>
      <c r="D670" s="137"/>
      <c r="E670" s="145"/>
      <c r="F670" s="139"/>
      <c r="G670" s="140"/>
      <c r="H670" s="143"/>
      <c r="I670" s="37"/>
      <c r="J670" s="144"/>
      <c r="K670" s="133"/>
      <c r="L670" s="140"/>
    </row>
    <row r="671" ht="22.5" customHeight="1">
      <c r="A671" s="135"/>
      <c r="B671" s="136"/>
      <c r="C671" s="137"/>
      <c r="D671" s="137"/>
      <c r="E671" s="145"/>
      <c r="F671" s="139"/>
      <c r="G671" s="140"/>
      <c r="H671" s="141"/>
      <c r="I671" s="41"/>
      <c r="J671" s="142"/>
      <c r="K671" s="134"/>
      <c r="L671" s="140"/>
    </row>
    <row r="672" ht="22.5" customHeight="1">
      <c r="A672" s="135"/>
      <c r="B672" s="136"/>
      <c r="C672" s="137"/>
      <c r="D672" s="137"/>
      <c r="E672" s="145"/>
      <c r="F672" s="139"/>
      <c r="G672" s="140"/>
      <c r="H672" s="143"/>
      <c r="I672" s="37"/>
      <c r="J672" s="144"/>
      <c r="K672" s="133"/>
      <c r="L672" s="140"/>
    </row>
    <row r="673" ht="22.5" customHeight="1">
      <c r="A673" s="135"/>
      <c r="B673" s="136"/>
      <c r="C673" s="137"/>
      <c r="D673" s="137"/>
      <c r="E673" s="145"/>
      <c r="F673" s="139"/>
      <c r="G673" s="140"/>
      <c r="H673" s="141"/>
      <c r="I673" s="41"/>
      <c r="J673" s="142"/>
      <c r="K673" s="134"/>
      <c r="L673" s="140"/>
    </row>
    <row r="674" ht="22.5" customHeight="1">
      <c r="A674" s="135"/>
      <c r="B674" s="136"/>
      <c r="C674" s="137"/>
      <c r="D674" s="137"/>
      <c r="E674" s="145"/>
      <c r="F674" s="139"/>
      <c r="G674" s="140"/>
      <c r="H674" s="143"/>
      <c r="I674" s="37"/>
      <c r="J674" s="144"/>
      <c r="K674" s="133"/>
      <c r="L674" s="140"/>
    </row>
    <row r="675" ht="22.5" customHeight="1">
      <c r="A675" s="135"/>
      <c r="B675" s="136"/>
      <c r="C675" s="137"/>
      <c r="D675" s="137"/>
      <c r="E675" s="145"/>
      <c r="F675" s="139"/>
      <c r="G675" s="140"/>
      <c r="H675" s="141"/>
      <c r="I675" s="41"/>
      <c r="J675" s="142"/>
      <c r="K675" s="134"/>
      <c r="L675" s="140"/>
    </row>
    <row r="676" ht="22.5" customHeight="1">
      <c r="A676" s="135"/>
      <c r="B676" s="136"/>
      <c r="C676" s="137"/>
      <c r="D676" s="137"/>
      <c r="E676" s="145"/>
      <c r="F676" s="139"/>
      <c r="G676" s="140"/>
      <c r="H676" s="143"/>
      <c r="I676" s="37"/>
      <c r="J676" s="144"/>
      <c r="K676" s="133"/>
      <c r="L676" s="140"/>
    </row>
    <row r="677" ht="22.5" customHeight="1">
      <c r="A677" s="135"/>
      <c r="B677" s="136"/>
      <c r="C677" s="137"/>
      <c r="D677" s="137"/>
      <c r="E677" s="145"/>
      <c r="F677" s="139"/>
      <c r="G677" s="140"/>
      <c r="H677" s="141"/>
      <c r="I677" s="41"/>
      <c r="J677" s="142"/>
      <c r="K677" s="134"/>
      <c r="L677" s="140"/>
    </row>
    <row r="678" ht="22.5" customHeight="1">
      <c r="A678" s="135"/>
      <c r="B678" s="136"/>
      <c r="C678" s="137"/>
      <c r="D678" s="137"/>
      <c r="E678" s="145"/>
      <c r="F678" s="139"/>
      <c r="G678" s="140"/>
      <c r="H678" s="143"/>
      <c r="I678" s="37"/>
      <c r="J678" s="144"/>
      <c r="K678" s="133"/>
      <c r="L678" s="140"/>
    </row>
    <row r="679" ht="22.5" customHeight="1">
      <c r="A679" s="135"/>
      <c r="B679" s="136"/>
      <c r="C679" s="137"/>
      <c r="D679" s="137"/>
      <c r="E679" s="145"/>
      <c r="F679" s="139"/>
      <c r="G679" s="140"/>
      <c r="H679" s="141"/>
      <c r="I679" s="41"/>
      <c r="J679" s="142"/>
      <c r="K679" s="134"/>
      <c r="L679" s="140"/>
    </row>
    <row r="680" ht="22.5" customHeight="1">
      <c r="A680" s="135"/>
      <c r="B680" s="136"/>
      <c r="C680" s="137"/>
      <c r="D680" s="137"/>
      <c r="E680" s="145"/>
      <c r="F680" s="139"/>
      <c r="G680" s="140"/>
      <c r="H680" s="143"/>
      <c r="I680" s="37"/>
      <c r="J680" s="144"/>
      <c r="K680" s="133"/>
      <c r="L680" s="140"/>
    </row>
    <row r="681" ht="22.5" customHeight="1">
      <c r="A681" s="135"/>
      <c r="B681" s="136"/>
      <c r="C681" s="137"/>
      <c r="D681" s="137"/>
      <c r="E681" s="145"/>
      <c r="F681" s="139"/>
      <c r="G681" s="140"/>
      <c r="H681" s="141"/>
      <c r="I681" s="41"/>
      <c r="J681" s="142"/>
      <c r="K681" s="134"/>
      <c r="L681" s="140"/>
    </row>
    <row r="682" ht="22.5" customHeight="1">
      <c r="A682" s="135"/>
      <c r="B682" s="136"/>
      <c r="C682" s="137"/>
      <c r="D682" s="137"/>
      <c r="E682" s="145"/>
      <c r="F682" s="139"/>
      <c r="G682" s="140"/>
      <c r="H682" s="143"/>
      <c r="I682" s="37"/>
      <c r="J682" s="144"/>
      <c r="K682" s="133"/>
      <c r="L682" s="140"/>
    </row>
    <row r="683" ht="22.5" customHeight="1">
      <c r="A683" s="135"/>
      <c r="B683" s="136"/>
      <c r="C683" s="137"/>
      <c r="D683" s="137"/>
      <c r="E683" s="145"/>
      <c r="F683" s="139"/>
      <c r="G683" s="140"/>
      <c r="H683" s="141"/>
      <c r="I683" s="41"/>
      <c r="J683" s="142"/>
      <c r="K683" s="134"/>
      <c r="L683" s="140"/>
    </row>
    <row r="684" ht="22.5" customHeight="1">
      <c r="A684" s="135"/>
      <c r="B684" s="136"/>
      <c r="C684" s="137"/>
      <c r="D684" s="137"/>
      <c r="E684" s="145"/>
      <c r="F684" s="139"/>
      <c r="G684" s="140"/>
      <c r="H684" s="143"/>
      <c r="I684" s="37"/>
      <c r="J684" s="144"/>
      <c r="K684" s="133"/>
      <c r="L684" s="140"/>
    </row>
    <row r="685" ht="22.5" customHeight="1">
      <c r="A685" s="135"/>
      <c r="B685" s="136"/>
      <c r="C685" s="137"/>
      <c r="D685" s="137"/>
      <c r="E685" s="145"/>
      <c r="F685" s="139"/>
      <c r="G685" s="140"/>
      <c r="H685" s="141"/>
      <c r="I685" s="41"/>
      <c r="J685" s="142"/>
      <c r="K685" s="134"/>
      <c r="L685" s="140"/>
    </row>
    <row r="686" ht="22.5" customHeight="1">
      <c r="A686" s="135"/>
      <c r="B686" s="136"/>
      <c r="C686" s="137"/>
      <c r="D686" s="137"/>
      <c r="E686" s="145"/>
      <c r="F686" s="139"/>
      <c r="G686" s="140"/>
      <c r="H686" s="143"/>
      <c r="I686" s="37"/>
      <c r="J686" s="144"/>
      <c r="K686" s="133"/>
      <c r="L686" s="140"/>
    </row>
    <row r="687" ht="22.5" customHeight="1">
      <c r="A687" s="135"/>
      <c r="B687" s="136"/>
      <c r="C687" s="137"/>
      <c r="D687" s="137"/>
      <c r="E687" s="145"/>
      <c r="F687" s="139"/>
      <c r="G687" s="140"/>
      <c r="H687" s="141"/>
      <c r="I687" s="41"/>
      <c r="J687" s="142"/>
      <c r="K687" s="134"/>
      <c r="L687" s="140"/>
    </row>
    <row r="688" ht="22.5" customHeight="1">
      <c r="A688" s="135"/>
      <c r="B688" s="136"/>
      <c r="C688" s="137"/>
      <c r="D688" s="137"/>
      <c r="E688" s="145"/>
      <c r="F688" s="139"/>
      <c r="G688" s="140"/>
      <c r="H688" s="143"/>
      <c r="I688" s="37"/>
      <c r="J688" s="144"/>
      <c r="K688" s="133"/>
      <c r="L688" s="140"/>
    </row>
    <row r="689" ht="22.5" customHeight="1">
      <c r="A689" s="135"/>
      <c r="B689" s="136"/>
      <c r="C689" s="137"/>
      <c r="D689" s="137"/>
      <c r="E689" s="145"/>
      <c r="F689" s="139"/>
      <c r="G689" s="140"/>
      <c r="H689" s="141"/>
      <c r="I689" s="41"/>
      <c r="J689" s="142"/>
      <c r="K689" s="134"/>
      <c r="L689" s="140"/>
    </row>
    <row r="690" ht="22.5" customHeight="1">
      <c r="A690" s="135"/>
      <c r="B690" s="136"/>
      <c r="C690" s="137"/>
      <c r="D690" s="137"/>
      <c r="E690" s="145"/>
      <c r="F690" s="139"/>
      <c r="G690" s="140"/>
      <c r="H690" s="143"/>
      <c r="I690" s="37"/>
      <c r="J690" s="144"/>
      <c r="K690" s="133"/>
      <c r="L690" s="140"/>
    </row>
    <row r="691" ht="22.5" customHeight="1">
      <c r="A691" s="135"/>
      <c r="B691" s="136"/>
      <c r="C691" s="137"/>
      <c r="D691" s="137"/>
      <c r="E691" s="145"/>
      <c r="F691" s="139"/>
      <c r="G691" s="140"/>
      <c r="H691" s="141"/>
      <c r="I691" s="41"/>
      <c r="J691" s="142"/>
      <c r="K691" s="134"/>
      <c r="L691" s="140"/>
    </row>
    <row r="692" ht="22.5" customHeight="1">
      <c r="A692" s="135"/>
      <c r="B692" s="136"/>
      <c r="C692" s="137"/>
      <c r="D692" s="137"/>
      <c r="E692" s="145"/>
      <c r="F692" s="139"/>
      <c r="G692" s="140"/>
      <c r="H692" s="143"/>
      <c r="I692" s="37"/>
      <c r="J692" s="144"/>
      <c r="K692" s="133"/>
      <c r="L692" s="140"/>
    </row>
    <row r="693" ht="22.5" customHeight="1">
      <c r="A693" s="135"/>
      <c r="B693" s="136"/>
      <c r="C693" s="137"/>
      <c r="D693" s="137"/>
      <c r="E693" s="145"/>
      <c r="F693" s="139"/>
      <c r="G693" s="140"/>
      <c r="H693" s="141"/>
      <c r="I693" s="41"/>
      <c r="J693" s="142"/>
      <c r="K693" s="134"/>
      <c r="L693" s="140"/>
    </row>
    <row r="694" ht="22.5" customHeight="1">
      <c r="A694" s="135"/>
      <c r="B694" s="136"/>
      <c r="C694" s="137"/>
      <c r="D694" s="137"/>
      <c r="E694" s="145"/>
      <c r="F694" s="139"/>
      <c r="G694" s="140"/>
      <c r="H694" s="143"/>
      <c r="I694" s="37"/>
      <c r="J694" s="144"/>
      <c r="K694" s="133"/>
      <c r="L694" s="140"/>
    </row>
    <row r="695" ht="22.5" customHeight="1">
      <c r="A695" s="135"/>
      <c r="B695" s="136"/>
      <c r="C695" s="137"/>
      <c r="D695" s="137"/>
      <c r="E695" s="145"/>
      <c r="F695" s="139"/>
      <c r="G695" s="140"/>
      <c r="H695" s="141"/>
      <c r="I695" s="41"/>
      <c r="J695" s="142"/>
      <c r="K695" s="134"/>
      <c r="L695" s="140"/>
    </row>
    <row r="696" ht="22.5" customHeight="1">
      <c r="A696" s="135"/>
      <c r="B696" s="136"/>
      <c r="C696" s="137"/>
      <c r="D696" s="137"/>
      <c r="E696" s="145"/>
      <c r="F696" s="139"/>
      <c r="G696" s="140"/>
      <c r="H696" s="143"/>
      <c r="I696" s="37"/>
      <c r="J696" s="144"/>
      <c r="K696" s="133"/>
      <c r="L696" s="140"/>
    </row>
    <row r="697" ht="22.5" customHeight="1">
      <c r="A697" s="135"/>
      <c r="B697" s="136"/>
      <c r="C697" s="137"/>
      <c r="D697" s="137"/>
      <c r="E697" s="145"/>
      <c r="F697" s="139"/>
      <c r="G697" s="140"/>
      <c r="H697" s="141"/>
      <c r="I697" s="41"/>
      <c r="J697" s="142"/>
      <c r="K697" s="134"/>
      <c r="L697" s="140"/>
    </row>
    <row r="698" ht="22.5" customHeight="1">
      <c r="A698" s="135"/>
      <c r="B698" s="136"/>
      <c r="C698" s="137"/>
      <c r="D698" s="137"/>
      <c r="E698" s="145"/>
      <c r="F698" s="139"/>
      <c r="G698" s="140"/>
      <c r="H698" s="143"/>
      <c r="I698" s="37"/>
      <c r="J698" s="144"/>
      <c r="K698" s="133"/>
      <c r="L698" s="140"/>
    </row>
    <row r="699" ht="22.5" customHeight="1">
      <c r="A699" s="135"/>
      <c r="B699" s="136"/>
      <c r="C699" s="137"/>
      <c r="D699" s="137"/>
      <c r="E699" s="145"/>
      <c r="F699" s="139"/>
      <c r="G699" s="140"/>
      <c r="H699" s="141"/>
      <c r="I699" s="41"/>
      <c r="J699" s="142"/>
      <c r="K699" s="134"/>
      <c r="L699" s="140"/>
    </row>
    <row r="700" ht="22.5" customHeight="1">
      <c r="A700" s="135"/>
      <c r="B700" s="136"/>
      <c r="C700" s="137"/>
      <c r="D700" s="137"/>
      <c r="E700" s="145"/>
      <c r="F700" s="139"/>
      <c r="G700" s="140"/>
      <c r="H700" s="143"/>
      <c r="I700" s="37"/>
      <c r="J700" s="144"/>
      <c r="K700" s="133"/>
      <c r="L700" s="140"/>
    </row>
    <row r="701" ht="22.5" customHeight="1">
      <c r="A701" s="135"/>
      <c r="B701" s="136"/>
      <c r="C701" s="137"/>
      <c r="D701" s="137"/>
      <c r="E701" s="145"/>
      <c r="F701" s="139"/>
      <c r="G701" s="140"/>
      <c r="H701" s="141"/>
      <c r="I701" s="41"/>
      <c r="J701" s="142"/>
      <c r="K701" s="134"/>
      <c r="L701" s="140"/>
    </row>
    <row r="702" ht="22.5" customHeight="1">
      <c r="A702" s="135"/>
      <c r="B702" s="136"/>
      <c r="C702" s="137"/>
      <c r="D702" s="137"/>
      <c r="E702" s="145"/>
      <c r="F702" s="139"/>
      <c r="G702" s="140"/>
      <c r="H702" s="143"/>
      <c r="I702" s="37"/>
      <c r="J702" s="144"/>
      <c r="K702" s="133"/>
      <c r="L702" s="140"/>
    </row>
    <row r="703" ht="22.5" customHeight="1">
      <c r="A703" s="135"/>
      <c r="B703" s="136"/>
      <c r="C703" s="137"/>
      <c r="D703" s="137"/>
      <c r="E703" s="145"/>
      <c r="F703" s="139"/>
      <c r="G703" s="140"/>
      <c r="H703" s="141"/>
      <c r="I703" s="41"/>
      <c r="J703" s="142"/>
      <c r="K703" s="134"/>
      <c r="L703" s="140"/>
    </row>
    <row r="704" ht="22.5" customHeight="1">
      <c r="A704" s="135"/>
      <c r="B704" s="136"/>
      <c r="C704" s="137"/>
      <c r="D704" s="137"/>
      <c r="E704" s="145"/>
      <c r="F704" s="139"/>
      <c r="G704" s="140"/>
      <c r="H704" s="143"/>
      <c r="I704" s="37"/>
      <c r="J704" s="144"/>
      <c r="K704" s="133"/>
      <c r="L704" s="140"/>
    </row>
    <row r="705" ht="22.5" customHeight="1">
      <c r="A705" s="135"/>
      <c r="B705" s="136"/>
      <c r="C705" s="137"/>
      <c r="D705" s="137"/>
      <c r="E705" s="145"/>
      <c r="F705" s="139"/>
      <c r="G705" s="140"/>
      <c r="H705" s="141"/>
      <c r="I705" s="41"/>
      <c r="J705" s="142"/>
      <c r="K705" s="134"/>
      <c r="L705" s="140"/>
    </row>
    <row r="706" ht="22.5" customHeight="1">
      <c r="A706" s="135"/>
      <c r="B706" s="136"/>
      <c r="C706" s="137"/>
      <c r="D706" s="137"/>
      <c r="E706" s="145"/>
      <c r="F706" s="139"/>
      <c r="G706" s="140"/>
      <c r="H706" s="143"/>
      <c r="I706" s="37"/>
      <c r="J706" s="144"/>
      <c r="K706" s="133"/>
      <c r="L706" s="140"/>
    </row>
    <row r="707" ht="22.5" customHeight="1">
      <c r="A707" s="135"/>
      <c r="B707" s="136"/>
      <c r="C707" s="137"/>
      <c r="D707" s="137"/>
      <c r="E707" s="145"/>
      <c r="F707" s="139"/>
      <c r="G707" s="140"/>
      <c r="H707" s="141"/>
      <c r="I707" s="41"/>
      <c r="J707" s="142"/>
      <c r="K707" s="134"/>
      <c r="L707" s="140"/>
    </row>
    <row r="708" ht="22.5" customHeight="1">
      <c r="A708" s="135"/>
      <c r="B708" s="136"/>
      <c r="C708" s="137"/>
      <c r="D708" s="137"/>
      <c r="E708" s="145"/>
      <c r="F708" s="139"/>
      <c r="G708" s="140"/>
      <c r="H708" s="143"/>
      <c r="I708" s="37"/>
      <c r="J708" s="144"/>
      <c r="K708" s="133"/>
      <c r="L708" s="140"/>
    </row>
    <row r="709" ht="22.5" customHeight="1">
      <c r="A709" s="135"/>
      <c r="B709" s="136"/>
      <c r="C709" s="137"/>
      <c r="D709" s="137"/>
      <c r="E709" s="145"/>
      <c r="F709" s="139"/>
      <c r="G709" s="140"/>
      <c r="H709" s="141"/>
      <c r="I709" s="41"/>
      <c r="J709" s="142"/>
      <c r="K709" s="134"/>
      <c r="L709" s="140"/>
    </row>
    <row r="710" ht="22.5" customHeight="1">
      <c r="A710" s="135"/>
      <c r="B710" s="136"/>
      <c r="C710" s="137"/>
      <c r="D710" s="137"/>
      <c r="E710" s="145"/>
      <c r="F710" s="139"/>
      <c r="G710" s="140"/>
      <c r="H710" s="143"/>
      <c r="I710" s="37"/>
      <c r="J710" s="144"/>
      <c r="K710" s="133"/>
      <c r="L710" s="140"/>
    </row>
    <row r="711" ht="22.5" customHeight="1">
      <c r="A711" s="135"/>
      <c r="B711" s="136"/>
      <c r="C711" s="137"/>
      <c r="D711" s="137"/>
      <c r="E711" s="145"/>
      <c r="F711" s="139"/>
      <c r="G711" s="140"/>
      <c r="H711" s="141"/>
      <c r="I711" s="41"/>
      <c r="J711" s="142"/>
      <c r="K711" s="134"/>
      <c r="L711" s="140"/>
    </row>
    <row r="712" ht="22.5" customHeight="1">
      <c r="A712" s="135"/>
      <c r="B712" s="136"/>
      <c r="C712" s="137"/>
      <c r="D712" s="137"/>
      <c r="E712" s="145"/>
      <c r="F712" s="139"/>
      <c r="G712" s="140"/>
      <c r="H712" s="143"/>
      <c r="I712" s="37"/>
      <c r="J712" s="144"/>
      <c r="K712" s="133"/>
      <c r="L712" s="140"/>
    </row>
    <row r="713" ht="22.5" customHeight="1">
      <c r="A713" s="135"/>
      <c r="B713" s="136"/>
      <c r="C713" s="137"/>
      <c r="D713" s="137"/>
      <c r="E713" s="145"/>
      <c r="F713" s="139"/>
      <c r="G713" s="140"/>
      <c r="H713" s="141"/>
      <c r="I713" s="41"/>
      <c r="J713" s="142"/>
      <c r="K713" s="134"/>
      <c r="L713" s="140"/>
    </row>
    <row r="714" ht="22.5" customHeight="1">
      <c r="A714" s="135"/>
      <c r="B714" s="136"/>
      <c r="C714" s="137"/>
      <c r="D714" s="137"/>
      <c r="E714" s="145"/>
      <c r="F714" s="139"/>
      <c r="G714" s="140"/>
      <c r="H714" s="143"/>
      <c r="I714" s="37"/>
      <c r="J714" s="144"/>
      <c r="K714" s="133"/>
      <c r="L714" s="140"/>
    </row>
    <row r="715" ht="22.5" customHeight="1">
      <c r="A715" s="135"/>
      <c r="B715" s="136"/>
      <c r="C715" s="137"/>
      <c r="D715" s="137"/>
      <c r="E715" s="145"/>
      <c r="F715" s="139"/>
      <c r="G715" s="140"/>
      <c r="H715" s="141"/>
      <c r="I715" s="41"/>
      <c r="J715" s="142"/>
      <c r="K715" s="134"/>
      <c r="L715" s="140"/>
    </row>
    <row r="716" ht="22.5" customHeight="1">
      <c r="A716" s="135"/>
      <c r="B716" s="136"/>
      <c r="C716" s="137"/>
      <c r="D716" s="137"/>
      <c r="E716" s="145"/>
      <c r="F716" s="139"/>
      <c r="G716" s="140"/>
      <c r="H716" s="143"/>
      <c r="I716" s="37"/>
      <c r="J716" s="144"/>
      <c r="K716" s="133"/>
      <c r="L716" s="140"/>
    </row>
    <row r="717" ht="22.5" customHeight="1">
      <c r="A717" s="135"/>
      <c r="B717" s="136"/>
      <c r="C717" s="137"/>
      <c r="D717" s="137"/>
      <c r="E717" s="145"/>
      <c r="F717" s="139"/>
      <c r="G717" s="140"/>
      <c r="H717" s="141"/>
      <c r="I717" s="41"/>
      <c r="J717" s="142"/>
      <c r="K717" s="134"/>
      <c r="L717" s="140"/>
    </row>
    <row r="718" ht="22.5" customHeight="1">
      <c r="A718" s="135"/>
      <c r="B718" s="136"/>
      <c r="C718" s="137"/>
      <c r="D718" s="137"/>
      <c r="E718" s="145"/>
      <c r="F718" s="139"/>
      <c r="G718" s="140"/>
      <c r="H718" s="143"/>
      <c r="I718" s="37"/>
      <c r="J718" s="144"/>
      <c r="K718" s="133"/>
      <c r="L718" s="140"/>
    </row>
    <row r="719" ht="22.5" customHeight="1">
      <c r="A719" s="135"/>
      <c r="B719" s="136"/>
      <c r="C719" s="137"/>
      <c r="D719" s="137"/>
      <c r="E719" s="145"/>
      <c r="F719" s="139"/>
      <c r="G719" s="140"/>
      <c r="H719" s="141"/>
      <c r="I719" s="41"/>
      <c r="J719" s="142"/>
      <c r="K719" s="134"/>
      <c r="L719" s="140"/>
    </row>
    <row r="720" ht="22.5" customHeight="1">
      <c r="A720" s="135"/>
      <c r="B720" s="136"/>
      <c r="C720" s="137"/>
      <c r="D720" s="137"/>
      <c r="E720" s="145"/>
      <c r="F720" s="139"/>
      <c r="G720" s="140"/>
      <c r="H720" s="143"/>
      <c r="I720" s="37"/>
      <c r="J720" s="144"/>
      <c r="K720" s="133"/>
      <c r="L720" s="140"/>
    </row>
    <row r="721" ht="22.5" customHeight="1">
      <c r="A721" s="135"/>
      <c r="B721" s="136"/>
      <c r="C721" s="137"/>
      <c r="D721" s="137"/>
      <c r="E721" s="145"/>
      <c r="F721" s="139"/>
      <c r="G721" s="140"/>
      <c r="H721" s="141"/>
      <c r="I721" s="41"/>
      <c r="J721" s="142"/>
      <c r="K721" s="134"/>
      <c r="L721" s="140"/>
    </row>
    <row r="722" ht="22.5" customHeight="1">
      <c r="A722" s="135"/>
      <c r="B722" s="136"/>
      <c r="C722" s="137"/>
      <c r="D722" s="137"/>
      <c r="E722" s="145"/>
      <c r="F722" s="139"/>
      <c r="G722" s="140"/>
      <c r="H722" s="143"/>
      <c r="I722" s="37"/>
      <c r="J722" s="144"/>
      <c r="K722" s="133"/>
      <c r="L722" s="140"/>
    </row>
    <row r="723" ht="22.5" customHeight="1">
      <c r="A723" s="135"/>
      <c r="B723" s="136"/>
      <c r="C723" s="137"/>
      <c r="D723" s="137"/>
      <c r="E723" s="145"/>
      <c r="F723" s="139"/>
      <c r="G723" s="140"/>
      <c r="H723" s="141"/>
      <c r="I723" s="41"/>
      <c r="J723" s="142"/>
      <c r="K723" s="134"/>
      <c r="L723" s="140"/>
    </row>
    <row r="724" ht="22.5" customHeight="1">
      <c r="A724" s="135"/>
      <c r="B724" s="136"/>
      <c r="C724" s="137"/>
      <c r="D724" s="137"/>
      <c r="E724" s="145"/>
      <c r="F724" s="139"/>
      <c r="G724" s="140"/>
      <c r="H724" s="143"/>
      <c r="I724" s="37"/>
      <c r="J724" s="144"/>
      <c r="K724" s="133"/>
      <c r="L724" s="140"/>
    </row>
    <row r="725" ht="22.5" customHeight="1">
      <c r="A725" s="135"/>
      <c r="B725" s="136"/>
      <c r="C725" s="137"/>
      <c r="D725" s="137"/>
      <c r="E725" s="145"/>
      <c r="F725" s="139"/>
      <c r="G725" s="140"/>
      <c r="H725" s="141"/>
      <c r="I725" s="41"/>
      <c r="J725" s="142"/>
      <c r="K725" s="134"/>
      <c r="L725" s="140"/>
    </row>
    <row r="726" ht="22.5" customHeight="1">
      <c r="A726" s="135"/>
      <c r="B726" s="136"/>
      <c r="C726" s="137"/>
      <c r="D726" s="137"/>
      <c r="E726" s="145"/>
      <c r="F726" s="139"/>
      <c r="G726" s="140"/>
      <c r="H726" s="143"/>
      <c r="I726" s="37"/>
      <c r="J726" s="144"/>
      <c r="K726" s="133"/>
      <c r="L726" s="140"/>
    </row>
    <row r="727" ht="22.5" customHeight="1">
      <c r="A727" s="135"/>
      <c r="B727" s="136"/>
      <c r="C727" s="137"/>
      <c r="D727" s="137"/>
      <c r="E727" s="145"/>
      <c r="F727" s="139"/>
      <c r="G727" s="140"/>
      <c r="H727" s="141"/>
      <c r="I727" s="41"/>
      <c r="J727" s="142"/>
      <c r="K727" s="134"/>
      <c r="L727" s="140"/>
    </row>
    <row r="728" ht="22.5" customHeight="1">
      <c r="A728" s="135"/>
      <c r="B728" s="136"/>
      <c r="C728" s="137"/>
      <c r="D728" s="137"/>
      <c r="E728" s="145"/>
      <c r="F728" s="139"/>
      <c r="G728" s="140"/>
      <c r="H728" s="143"/>
      <c r="I728" s="37"/>
      <c r="J728" s="144"/>
      <c r="K728" s="133"/>
      <c r="L728" s="140"/>
    </row>
    <row r="729" ht="22.5" customHeight="1">
      <c r="A729" s="135"/>
      <c r="B729" s="136"/>
      <c r="C729" s="137"/>
      <c r="D729" s="137"/>
      <c r="E729" s="145"/>
      <c r="F729" s="139"/>
      <c r="G729" s="140"/>
      <c r="H729" s="141"/>
      <c r="I729" s="41"/>
      <c r="J729" s="142"/>
      <c r="K729" s="134"/>
      <c r="L729" s="140"/>
    </row>
    <row r="730" ht="22.5" customHeight="1">
      <c r="A730" s="135"/>
      <c r="B730" s="136"/>
      <c r="C730" s="137"/>
      <c r="D730" s="137"/>
      <c r="E730" s="145"/>
      <c r="F730" s="139"/>
      <c r="G730" s="140"/>
      <c r="H730" s="143"/>
      <c r="I730" s="37"/>
      <c r="J730" s="144"/>
      <c r="K730" s="133"/>
      <c r="L730" s="140"/>
    </row>
    <row r="731" ht="22.5" customHeight="1">
      <c r="A731" s="135"/>
      <c r="B731" s="136"/>
      <c r="C731" s="137"/>
      <c r="D731" s="137"/>
      <c r="E731" s="145"/>
      <c r="F731" s="139"/>
      <c r="G731" s="140"/>
      <c r="H731" s="141"/>
      <c r="I731" s="41"/>
      <c r="J731" s="142"/>
      <c r="K731" s="134"/>
      <c r="L731" s="140"/>
    </row>
    <row r="732" ht="22.5" customHeight="1">
      <c r="A732" s="135"/>
      <c r="B732" s="136"/>
      <c r="C732" s="137"/>
      <c r="D732" s="137"/>
      <c r="E732" s="145"/>
      <c r="F732" s="139"/>
      <c r="G732" s="140"/>
      <c r="H732" s="143"/>
      <c r="I732" s="37"/>
      <c r="J732" s="144"/>
      <c r="K732" s="133"/>
      <c r="L732" s="140"/>
    </row>
    <row r="733" ht="22.5" customHeight="1">
      <c r="A733" s="135"/>
      <c r="B733" s="136"/>
      <c r="C733" s="137"/>
      <c r="D733" s="137"/>
      <c r="E733" s="145"/>
      <c r="F733" s="139"/>
      <c r="G733" s="140"/>
      <c r="H733" s="141"/>
      <c r="I733" s="41"/>
      <c r="J733" s="142"/>
      <c r="K733" s="134"/>
      <c r="L733" s="140"/>
    </row>
    <row r="734" ht="22.5" customHeight="1">
      <c r="A734" s="135"/>
      <c r="B734" s="136"/>
      <c r="C734" s="137"/>
      <c r="D734" s="137"/>
      <c r="E734" s="145"/>
      <c r="F734" s="139"/>
      <c r="G734" s="140"/>
      <c r="H734" s="143"/>
      <c r="I734" s="37"/>
      <c r="J734" s="144"/>
      <c r="K734" s="133"/>
      <c r="L734" s="140"/>
    </row>
    <row r="735" ht="22.5" customHeight="1">
      <c r="A735" s="135"/>
      <c r="B735" s="136"/>
      <c r="C735" s="137"/>
      <c r="D735" s="137"/>
      <c r="E735" s="145"/>
      <c r="F735" s="139"/>
      <c r="G735" s="140"/>
      <c r="H735" s="141"/>
      <c r="I735" s="41"/>
      <c r="J735" s="142"/>
      <c r="K735" s="134"/>
      <c r="L735" s="140"/>
    </row>
    <row r="736" ht="22.5" customHeight="1">
      <c r="A736" s="135"/>
      <c r="B736" s="136"/>
      <c r="C736" s="137"/>
      <c r="D736" s="137"/>
      <c r="E736" s="145"/>
      <c r="F736" s="139"/>
      <c r="G736" s="140"/>
      <c r="H736" s="143"/>
      <c r="I736" s="37"/>
      <c r="J736" s="144"/>
      <c r="K736" s="133"/>
      <c r="L736" s="140"/>
    </row>
    <row r="737" ht="22.5" customHeight="1">
      <c r="A737" s="135"/>
      <c r="B737" s="136"/>
      <c r="C737" s="137"/>
      <c r="D737" s="137"/>
      <c r="E737" s="145"/>
      <c r="F737" s="139"/>
      <c r="G737" s="140"/>
      <c r="H737" s="141"/>
      <c r="I737" s="41"/>
      <c r="J737" s="142"/>
      <c r="K737" s="134"/>
      <c r="L737" s="140"/>
    </row>
    <row r="738" ht="22.5" customHeight="1">
      <c r="A738" s="135"/>
      <c r="B738" s="136"/>
      <c r="C738" s="137"/>
      <c r="D738" s="137"/>
      <c r="E738" s="145"/>
      <c r="F738" s="139"/>
      <c r="G738" s="140"/>
      <c r="H738" s="143"/>
      <c r="I738" s="37"/>
      <c r="J738" s="144"/>
      <c r="K738" s="133"/>
      <c r="L738" s="140"/>
    </row>
    <row r="739" ht="22.5" customHeight="1">
      <c r="A739" s="135"/>
      <c r="B739" s="136"/>
      <c r="C739" s="137"/>
      <c r="D739" s="137"/>
      <c r="E739" s="145"/>
      <c r="F739" s="139"/>
      <c r="G739" s="140"/>
      <c r="H739" s="141"/>
      <c r="I739" s="41"/>
      <c r="J739" s="142"/>
      <c r="K739" s="134"/>
      <c r="L739" s="140"/>
    </row>
    <row r="740" ht="22.5" customHeight="1">
      <c r="A740" s="135"/>
      <c r="B740" s="136"/>
      <c r="C740" s="137"/>
      <c r="D740" s="137"/>
      <c r="E740" s="145"/>
      <c r="F740" s="139"/>
      <c r="G740" s="140"/>
      <c r="H740" s="143"/>
      <c r="I740" s="37"/>
      <c r="J740" s="144"/>
      <c r="K740" s="133"/>
      <c r="L740" s="140"/>
    </row>
    <row r="741" ht="22.5" customHeight="1">
      <c r="A741" s="135"/>
      <c r="B741" s="136"/>
      <c r="C741" s="137"/>
      <c r="D741" s="137"/>
      <c r="E741" s="145"/>
      <c r="F741" s="139"/>
      <c r="G741" s="140"/>
      <c r="H741" s="141"/>
      <c r="I741" s="41"/>
      <c r="J741" s="142"/>
      <c r="K741" s="134"/>
      <c r="L741" s="140"/>
    </row>
    <row r="742" ht="22.5" customHeight="1">
      <c r="A742" s="135"/>
      <c r="B742" s="136"/>
      <c r="C742" s="137"/>
      <c r="D742" s="137"/>
      <c r="E742" s="145"/>
      <c r="F742" s="139"/>
      <c r="G742" s="140"/>
      <c r="H742" s="143"/>
      <c r="I742" s="37"/>
      <c r="J742" s="144"/>
      <c r="K742" s="133"/>
      <c r="L742" s="140"/>
    </row>
    <row r="743" ht="22.5" customHeight="1">
      <c r="A743" s="135"/>
      <c r="B743" s="136"/>
      <c r="C743" s="137"/>
      <c r="D743" s="137"/>
      <c r="E743" s="145"/>
      <c r="F743" s="139"/>
      <c r="G743" s="140"/>
      <c r="H743" s="141"/>
      <c r="I743" s="41"/>
      <c r="J743" s="142"/>
      <c r="K743" s="134"/>
      <c r="L743" s="140"/>
    </row>
    <row r="744" ht="22.5" customHeight="1">
      <c r="A744" s="135"/>
      <c r="B744" s="136"/>
      <c r="C744" s="137"/>
      <c r="D744" s="137"/>
      <c r="E744" s="145"/>
      <c r="F744" s="139"/>
      <c r="G744" s="140"/>
      <c r="H744" s="143"/>
      <c r="I744" s="37"/>
      <c r="J744" s="144"/>
      <c r="K744" s="133"/>
      <c r="L744" s="140"/>
    </row>
    <row r="745" ht="22.5" customHeight="1">
      <c r="A745" s="135"/>
      <c r="B745" s="136"/>
      <c r="C745" s="137"/>
      <c r="D745" s="137"/>
      <c r="E745" s="145"/>
      <c r="F745" s="139"/>
      <c r="G745" s="140"/>
      <c r="H745" s="141"/>
      <c r="I745" s="41"/>
      <c r="J745" s="142"/>
      <c r="K745" s="134"/>
      <c r="L745" s="140"/>
    </row>
    <row r="746" ht="22.5" customHeight="1">
      <c r="A746" s="135"/>
      <c r="B746" s="136"/>
      <c r="C746" s="137"/>
      <c r="D746" s="137"/>
      <c r="E746" s="145"/>
      <c r="F746" s="139"/>
      <c r="G746" s="140"/>
      <c r="H746" s="143"/>
      <c r="I746" s="37"/>
      <c r="J746" s="144"/>
      <c r="K746" s="133"/>
      <c r="L746" s="140"/>
    </row>
    <row r="747" ht="22.5" customHeight="1">
      <c r="A747" s="135"/>
      <c r="B747" s="136"/>
      <c r="C747" s="137"/>
      <c r="D747" s="137"/>
      <c r="E747" s="145"/>
      <c r="F747" s="139"/>
      <c r="G747" s="140"/>
      <c r="H747" s="141"/>
      <c r="I747" s="41"/>
      <c r="J747" s="142"/>
      <c r="K747" s="134"/>
      <c r="L747" s="140"/>
    </row>
    <row r="748" ht="22.5" customHeight="1">
      <c r="A748" s="135"/>
      <c r="B748" s="136"/>
      <c r="C748" s="137"/>
      <c r="D748" s="137"/>
      <c r="E748" s="145"/>
      <c r="F748" s="139"/>
      <c r="G748" s="140"/>
      <c r="H748" s="143"/>
      <c r="I748" s="37"/>
      <c r="J748" s="144"/>
      <c r="K748" s="133"/>
      <c r="L748" s="140"/>
    </row>
    <row r="749" ht="22.5" customHeight="1">
      <c r="A749" s="135"/>
      <c r="B749" s="136"/>
      <c r="C749" s="137"/>
      <c r="D749" s="137"/>
      <c r="E749" s="145"/>
      <c r="F749" s="139"/>
      <c r="G749" s="140"/>
      <c r="H749" s="141"/>
      <c r="I749" s="41"/>
      <c r="J749" s="142"/>
      <c r="K749" s="134"/>
      <c r="L749" s="140"/>
    </row>
    <row r="750" ht="22.5" customHeight="1">
      <c r="A750" s="135"/>
      <c r="B750" s="136"/>
      <c r="C750" s="137"/>
      <c r="D750" s="137"/>
      <c r="E750" s="145"/>
      <c r="F750" s="139"/>
      <c r="G750" s="140"/>
      <c r="H750" s="143"/>
      <c r="I750" s="37"/>
      <c r="J750" s="144"/>
      <c r="K750" s="133"/>
      <c r="L750" s="140"/>
    </row>
    <row r="751" ht="22.5" customHeight="1">
      <c r="A751" s="135"/>
      <c r="B751" s="136"/>
      <c r="C751" s="137"/>
      <c r="D751" s="137"/>
      <c r="E751" s="145"/>
      <c r="F751" s="139"/>
      <c r="G751" s="140"/>
      <c r="H751" s="141"/>
      <c r="I751" s="41"/>
      <c r="J751" s="142"/>
      <c r="K751" s="134"/>
      <c r="L751" s="140"/>
    </row>
    <row r="752" ht="22.5" customHeight="1">
      <c r="A752" s="135"/>
      <c r="B752" s="136"/>
      <c r="C752" s="137"/>
      <c r="D752" s="137"/>
      <c r="E752" s="145"/>
      <c r="F752" s="139"/>
      <c r="G752" s="140"/>
      <c r="H752" s="143"/>
      <c r="I752" s="37"/>
      <c r="J752" s="144"/>
      <c r="K752" s="133"/>
      <c r="L752" s="140"/>
    </row>
    <row r="753" ht="22.5" customHeight="1">
      <c r="A753" s="135"/>
      <c r="B753" s="136"/>
      <c r="C753" s="137"/>
      <c r="D753" s="137"/>
      <c r="E753" s="145"/>
      <c r="F753" s="139"/>
      <c r="G753" s="140"/>
      <c r="H753" s="141"/>
      <c r="I753" s="41"/>
      <c r="J753" s="142"/>
      <c r="K753" s="134"/>
      <c r="L753" s="140"/>
    </row>
    <row r="754" ht="22.5" customHeight="1">
      <c r="A754" s="135"/>
      <c r="B754" s="136"/>
      <c r="C754" s="137"/>
      <c r="D754" s="137"/>
      <c r="E754" s="145"/>
      <c r="F754" s="139"/>
      <c r="G754" s="140"/>
      <c r="H754" s="143"/>
      <c r="I754" s="37"/>
      <c r="J754" s="144"/>
      <c r="K754" s="133"/>
      <c r="L754" s="140"/>
    </row>
    <row r="755" ht="22.5" customHeight="1">
      <c r="A755" s="135"/>
      <c r="B755" s="136"/>
      <c r="C755" s="137"/>
      <c r="D755" s="137"/>
      <c r="E755" s="145"/>
      <c r="F755" s="139"/>
      <c r="G755" s="140"/>
      <c r="H755" s="141"/>
      <c r="I755" s="41"/>
      <c r="J755" s="142"/>
      <c r="K755" s="134"/>
      <c r="L755" s="140"/>
    </row>
    <row r="756" ht="22.5" customHeight="1">
      <c r="A756" s="135"/>
      <c r="B756" s="136"/>
      <c r="C756" s="137"/>
      <c r="D756" s="137"/>
      <c r="E756" s="145"/>
      <c r="F756" s="139"/>
      <c r="G756" s="140"/>
      <c r="H756" s="143"/>
      <c r="I756" s="37"/>
      <c r="J756" s="144"/>
      <c r="K756" s="133"/>
      <c r="L756" s="140"/>
    </row>
    <row r="757" ht="22.5" customHeight="1">
      <c r="A757" s="135"/>
      <c r="B757" s="136"/>
      <c r="C757" s="137"/>
      <c r="D757" s="137"/>
      <c r="E757" s="145"/>
      <c r="F757" s="139"/>
      <c r="G757" s="140"/>
      <c r="H757" s="141"/>
      <c r="I757" s="41"/>
      <c r="J757" s="142"/>
      <c r="K757" s="134"/>
      <c r="L757" s="140"/>
    </row>
    <row r="758" ht="22.5" customHeight="1">
      <c r="A758" s="135"/>
      <c r="B758" s="136"/>
      <c r="C758" s="137"/>
      <c r="D758" s="137"/>
      <c r="E758" s="145"/>
      <c r="F758" s="139"/>
      <c r="G758" s="140"/>
      <c r="H758" s="143"/>
      <c r="I758" s="37"/>
      <c r="J758" s="144"/>
      <c r="K758" s="133"/>
      <c r="L758" s="140"/>
    </row>
    <row r="759" ht="22.5" customHeight="1">
      <c r="A759" s="135"/>
      <c r="B759" s="136"/>
      <c r="C759" s="137"/>
      <c r="D759" s="137"/>
      <c r="E759" s="145"/>
      <c r="F759" s="139"/>
      <c r="G759" s="140"/>
      <c r="H759" s="141"/>
      <c r="I759" s="41"/>
      <c r="J759" s="142"/>
      <c r="K759" s="134"/>
      <c r="L759" s="140"/>
    </row>
    <row r="760" ht="22.5" customHeight="1">
      <c r="A760" s="135"/>
      <c r="B760" s="136"/>
      <c r="C760" s="137"/>
      <c r="D760" s="137"/>
      <c r="E760" s="145"/>
      <c r="F760" s="139"/>
      <c r="G760" s="140"/>
      <c r="H760" s="143"/>
      <c r="I760" s="37"/>
      <c r="J760" s="144"/>
      <c r="K760" s="133"/>
      <c r="L760" s="140"/>
    </row>
    <row r="761" ht="22.5" customHeight="1">
      <c r="A761" s="135"/>
      <c r="B761" s="136"/>
      <c r="C761" s="137"/>
      <c r="D761" s="137"/>
      <c r="E761" s="145"/>
      <c r="F761" s="139"/>
      <c r="G761" s="140"/>
      <c r="H761" s="141"/>
      <c r="I761" s="41"/>
      <c r="J761" s="142"/>
      <c r="K761" s="134"/>
      <c r="L761" s="140"/>
    </row>
    <row r="762" ht="22.5" customHeight="1">
      <c r="A762" s="135"/>
      <c r="B762" s="136"/>
      <c r="C762" s="137"/>
      <c r="D762" s="137"/>
      <c r="E762" s="145"/>
      <c r="F762" s="139"/>
      <c r="G762" s="140"/>
      <c r="H762" s="143"/>
      <c r="I762" s="37"/>
      <c r="J762" s="144"/>
      <c r="K762" s="133"/>
      <c r="L762" s="140"/>
    </row>
    <row r="763" ht="22.5" customHeight="1">
      <c r="A763" s="135"/>
      <c r="B763" s="136"/>
      <c r="C763" s="137"/>
      <c r="D763" s="137"/>
      <c r="E763" s="145"/>
      <c r="F763" s="139"/>
      <c r="G763" s="140"/>
      <c r="H763" s="141"/>
      <c r="I763" s="41"/>
      <c r="J763" s="142"/>
      <c r="K763" s="134"/>
      <c r="L763" s="140"/>
    </row>
    <row r="764" ht="22.5" customHeight="1">
      <c r="A764" s="135"/>
      <c r="B764" s="136"/>
      <c r="C764" s="137"/>
      <c r="D764" s="137"/>
      <c r="E764" s="145"/>
      <c r="F764" s="139"/>
      <c r="G764" s="140"/>
      <c r="H764" s="143"/>
      <c r="I764" s="37"/>
      <c r="J764" s="144"/>
      <c r="K764" s="133"/>
      <c r="L764" s="140"/>
    </row>
    <row r="765" ht="22.5" customHeight="1">
      <c r="A765" s="135"/>
      <c r="B765" s="136"/>
      <c r="C765" s="137"/>
      <c r="D765" s="137"/>
      <c r="E765" s="145"/>
      <c r="F765" s="139"/>
      <c r="G765" s="140"/>
      <c r="H765" s="141"/>
      <c r="I765" s="41"/>
      <c r="J765" s="142"/>
      <c r="K765" s="134"/>
      <c r="L765" s="140"/>
    </row>
    <row r="766" ht="22.5" customHeight="1">
      <c r="A766" s="135"/>
      <c r="B766" s="136"/>
      <c r="C766" s="137"/>
      <c r="D766" s="137"/>
      <c r="E766" s="145"/>
      <c r="F766" s="139"/>
      <c r="G766" s="140"/>
      <c r="H766" s="143"/>
      <c r="I766" s="37"/>
      <c r="J766" s="144"/>
      <c r="K766" s="133"/>
      <c r="L766" s="140"/>
    </row>
    <row r="767" ht="22.5" customHeight="1">
      <c r="A767" s="135"/>
      <c r="B767" s="136"/>
      <c r="C767" s="137"/>
      <c r="D767" s="137"/>
      <c r="E767" s="145"/>
      <c r="F767" s="139"/>
      <c r="G767" s="140"/>
      <c r="H767" s="141"/>
      <c r="I767" s="41"/>
      <c r="J767" s="142"/>
      <c r="K767" s="134"/>
      <c r="L767" s="140"/>
    </row>
    <row r="768" ht="22.5" customHeight="1">
      <c r="A768" s="135"/>
      <c r="B768" s="136"/>
      <c r="C768" s="137"/>
      <c r="D768" s="137"/>
      <c r="E768" s="145"/>
      <c r="F768" s="139"/>
      <c r="G768" s="140"/>
      <c r="H768" s="143"/>
      <c r="I768" s="37"/>
      <c r="J768" s="144"/>
      <c r="K768" s="133"/>
      <c r="L768" s="140"/>
    </row>
    <row r="769" ht="22.5" customHeight="1">
      <c r="A769" s="135"/>
      <c r="B769" s="136"/>
      <c r="C769" s="137"/>
      <c r="D769" s="137"/>
      <c r="E769" s="145"/>
      <c r="F769" s="139"/>
      <c r="G769" s="140"/>
      <c r="H769" s="141"/>
      <c r="I769" s="41"/>
      <c r="J769" s="142"/>
      <c r="K769" s="134"/>
      <c r="L769" s="140"/>
    </row>
    <row r="770" ht="22.5" customHeight="1">
      <c r="A770" s="135"/>
      <c r="B770" s="136"/>
      <c r="C770" s="137"/>
      <c r="D770" s="137"/>
      <c r="E770" s="145"/>
      <c r="F770" s="139"/>
      <c r="G770" s="140"/>
      <c r="H770" s="143"/>
      <c r="I770" s="37"/>
      <c r="J770" s="144"/>
      <c r="K770" s="133"/>
      <c r="L770" s="140"/>
    </row>
    <row r="771" ht="22.5" customHeight="1">
      <c r="A771" s="135"/>
      <c r="B771" s="136"/>
      <c r="C771" s="137"/>
      <c r="D771" s="137"/>
      <c r="E771" s="145"/>
      <c r="F771" s="139"/>
      <c r="G771" s="140"/>
      <c r="H771" s="141"/>
      <c r="I771" s="41"/>
      <c r="J771" s="142"/>
      <c r="K771" s="134"/>
      <c r="L771" s="140"/>
    </row>
    <row r="772" ht="22.5" customHeight="1">
      <c r="A772" s="135"/>
      <c r="B772" s="136"/>
      <c r="C772" s="137"/>
      <c r="D772" s="137"/>
      <c r="E772" s="145"/>
      <c r="F772" s="139"/>
      <c r="G772" s="140"/>
      <c r="H772" s="143"/>
      <c r="I772" s="37"/>
      <c r="J772" s="144"/>
      <c r="K772" s="133"/>
      <c r="L772" s="140"/>
    </row>
    <row r="773" ht="22.5" customHeight="1">
      <c r="A773" s="135"/>
      <c r="B773" s="136"/>
      <c r="C773" s="137"/>
      <c r="D773" s="137"/>
      <c r="E773" s="145"/>
      <c r="F773" s="139"/>
      <c r="G773" s="140"/>
      <c r="H773" s="141"/>
      <c r="I773" s="41"/>
      <c r="J773" s="142"/>
      <c r="K773" s="134"/>
      <c r="L773" s="140"/>
    </row>
    <row r="774" ht="22.5" customHeight="1">
      <c r="A774" s="135"/>
      <c r="B774" s="136"/>
      <c r="C774" s="137"/>
      <c r="D774" s="137"/>
      <c r="E774" s="145"/>
      <c r="F774" s="139"/>
      <c r="G774" s="140"/>
      <c r="H774" s="143"/>
      <c r="I774" s="37"/>
      <c r="J774" s="144"/>
      <c r="K774" s="133"/>
      <c r="L774" s="140"/>
    </row>
    <row r="775" ht="22.5" customHeight="1">
      <c r="A775" s="135"/>
      <c r="B775" s="136"/>
      <c r="C775" s="137"/>
      <c r="D775" s="137"/>
      <c r="E775" s="145"/>
      <c r="F775" s="139"/>
      <c r="G775" s="140"/>
      <c r="H775" s="141"/>
      <c r="I775" s="41"/>
      <c r="J775" s="142"/>
      <c r="K775" s="134"/>
      <c r="L775" s="140"/>
    </row>
    <row r="776" ht="22.5" customHeight="1">
      <c r="A776" s="135"/>
      <c r="B776" s="136"/>
      <c r="C776" s="137"/>
      <c r="D776" s="137"/>
      <c r="E776" s="145"/>
      <c r="F776" s="139"/>
      <c r="G776" s="140"/>
      <c r="H776" s="143"/>
      <c r="I776" s="37"/>
      <c r="J776" s="144"/>
      <c r="K776" s="133"/>
      <c r="L776" s="140"/>
    </row>
    <row r="777" ht="22.5" customHeight="1">
      <c r="A777" s="135"/>
      <c r="B777" s="136"/>
      <c r="C777" s="137"/>
      <c r="D777" s="137"/>
      <c r="E777" s="145"/>
      <c r="F777" s="139"/>
      <c r="G777" s="140"/>
      <c r="H777" s="141"/>
      <c r="I777" s="41"/>
      <c r="J777" s="142"/>
      <c r="K777" s="134"/>
      <c r="L777" s="140"/>
    </row>
    <row r="778" ht="22.5" customHeight="1">
      <c r="A778" s="135"/>
      <c r="B778" s="136"/>
      <c r="C778" s="137"/>
      <c r="D778" s="137"/>
      <c r="E778" s="145"/>
      <c r="F778" s="139"/>
      <c r="G778" s="140"/>
      <c r="H778" s="143"/>
      <c r="I778" s="37"/>
      <c r="J778" s="144"/>
      <c r="K778" s="133"/>
      <c r="L778" s="140"/>
    </row>
    <row r="779" ht="22.5" customHeight="1">
      <c r="A779" s="135"/>
      <c r="B779" s="136"/>
      <c r="C779" s="137"/>
      <c r="D779" s="137"/>
      <c r="E779" s="145"/>
      <c r="F779" s="139"/>
      <c r="G779" s="140"/>
      <c r="H779" s="141"/>
      <c r="I779" s="41"/>
      <c r="J779" s="142"/>
      <c r="K779" s="134"/>
      <c r="L779" s="140"/>
    </row>
    <row r="780" ht="22.5" customHeight="1">
      <c r="A780" s="135"/>
      <c r="B780" s="136"/>
      <c r="C780" s="137"/>
      <c r="D780" s="137"/>
      <c r="E780" s="145"/>
      <c r="F780" s="139"/>
      <c r="G780" s="140"/>
      <c r="H780" s="143"/>
      <c r="I780" s="37"/>
      <c r="J780" s="144"/>
      <c r="K780" s="133"/>
      <c r="L780" s="140"/>
    </row>
    <row r="781" ht="22.5" customHeight="1">
      <c r="A781" s="135"/>
      <c r="B781" s="136"/>
      <c r="C781" s="137"/>
      <c r="D781" s="137"/>
      <c r="E781" s="145"/>
      <c r="F781" s="139"/>
      <c r="G781" s="140"/>
      <c r="H781" s="141"/>
      <c r="I781" s="41"/>
      <c r="J781" s="142"/>
      <c r="K781" s="134"/>
      <c r="L781" s="140"/>
    </row>
    <row r="782" ht="22.5" customHeight="1">
      <c r="A782" s="135"/>
      <c r="B782" s="136"/>
      <c r="C782" s="137"/>
      <c r="D782" s="137"/>
      <c r="E782" s="145"/>
      <c r="F782" s="139"/>
      <c r="G782" s="140"/>
      <c r="H782" s="143"/>
      <c r="I782" s="37"/>
      <c r="J782" s="144"/>
      <c r="K782" s="133"/>
      <c r="L782" s="140"/>
    </row>
    <row r="783" ht="22.5" customHeight="1">
      <c r="A783" s="135"/>
      <c r="B783" s="136"/>
      <c r="C783" s="137"/>
      <c r="D783" s="137"/>
      <c r="E783" s="145"/>
      <c r="F783" s="139"/>
      <c r="G783" s="140"/>
      <c r="H783" s="141"/>
      <c r="I783" s="41"/>
      <c r="J783" s="142"/>
      <c r="K783" s="134"/>
      <c r="L783" s="140"/>
    </row>
    <row r="784" ht="22.5" customHeight="1">
      <c r="A784" s="135"/>
      <c r="B784" s="136"/>
      <c r="C784" s="137"/>
      <c r="D784" s="137"/>
      <c r="E784" s="145"/>
      <c r="F784" s="139"/>
      <c r="G784" s="140"/>
      <c r="H784" s="143"/>
      <c r="I784" s="37"/>
      <c r="J784" s="144"/>
      <c r="K784" s="133"/>
      <c r="L784" s="140"/>
    </row>
    <row r="785" ht="22.5" customHeight="1">
      <c r="A785" s="135"/>
      <c r="B785" s="136"/>
      <c r="C785" s="137"/>
      <c r="D785" s="137"/>
      <c r="E785" s="145"/>
      <c r="F785" s="139"/>
      <c r="G785" s="140"/>
      <c r="H785" s="141"/>
      <c r="I785" s="41"/>
      <c r="J785" s="142"/>
      <c r="K785" s="134"/>
      <c r="L785" s="140"/>
    </row>
    <row r="786" ht="22.5" customHeight="1">
      <c r="A786" s="135"/>
      <c r="B786" s="136"/>
      <c r="C786" s="137"/>
      <c r="D786" s="137"/>
      <c r="E786" s="145"/>
      <c r="F786" s="139"/>
      <c r="G786" s="140"/>
      <c r="H786" s="143"/>
      <c r="I786" s="37"/>
      <c r="J786" s="144"/>
      <c r="K786" s="133"/>
      <c r="L786" s="140"/>
    </row>
    <row r="787" ht="22.5" customHeight="1">
      <c r="A787" s="135"/>
      <c r="B787" s="136"/>
      <c r="C787" s="137"/>
      <c r="D787" s="137"/>
      <c r="E787" s="145"/>
      <c r="F787" s="139"/>
      <c r="G787" s="140"/>
      <c r="H787" s="141"/>
      <c r="I787" s="41"/>
      <c r="J787" s="142"/>
      <c r="K787" s="134"/>
      <c r="L787" s="140"/>
    </row>
    <row r="788" ht="22.5" customHeight="1">
      <c r="A788" s="135"/>
      <c r="B788" s="136"/>
      <c r="C788" s="137"/>
      <c r="D788" s="137"/>
      <c r="E788" s="145"/>
      <c r="F788" s="139"/>
      <c r="G788" s="140"/>
      <c r="H788" s="143"/>
      <c r="I788" s="37"/>
      <c r="J788" s="144"/>
      <c r="K788" s="133"/>
      <c r="L788" s="140"/>
    </row>
    <row r="789" ht="22.5" customHeight="1">
      <c r="A789" s="135"/>
      <c r="B789" s="136"/>
      <c r="C789" s="137"/>
      <c r="D789" s="137"/>
      <c r="E789" s="145"/>
      <c r="F789" s="139"/>
      <c r="G789" s="140"/>
      <c r="H789" s="141"/>
      <c r="I789" s="41"/>
      <c r="J789" s="142"/>
      <c r="K789" s="134"/>
      <c r="L789" s="140"/>
    </row>
    <row r="790" ht="22.5" customHeight="1">
      <c r="A790" s="135"/>
      <c r="B790" s="136"/>
      <c r="C790" s="137"/>
      <c r="D790" s="137"/>
      <c r="E790" s="145"/>
      <c r="F790" s="139"/>
      <c r="G790" s="140"/>
      <c r="H790" s="143"/>
      <c r="I790" s="37"/>
      <c r="J790" s="144"/>
      <c r="K790" s="133"/>
      <c r="L790" s="140"/>
    </row>
    <row r="791" ht="22.5" customHeight="1">
      <c r="A791" s="135"/>
      <c r="B791" s="136"/>
      <c r="C791" s="137"/>
      <c r="D791" s="137"/>
      <c r="E791" s="145"/>
      <c r="F791" s="139"/>
      <c r="G791" s="140"/>
      <c r="H791" s="141"/>
      <c r="I791" s="41"/>
      <c r="J791" s="142"/>
      <c r="K791" s="134"/>
      <c r="L791" s="140"/>
    </row>
    <row r="792" ht="22.5" customHeight="1">
      <c r="A792" s="135"/>
      <c r="B792" s="136"/>
      <c r="C792" s="137"/>
      <c r="D792" s="137"/>
      <c r="E792" s="145"/>
      <c r="F792" s="139"/>
      <c r="G792" s="140"/>
      <c r="H792" s="143"/>
      <c r="I792" s="37"/>
      <c r="J792" s="144"/>
      <c r="K792" s="133"/>
      <c r="L792" s="140"/>
    </row>
    <row r="793" ht="22.5" customHeight="1">
      <c r="A793" s="135"/>
      <c r="B793" s="136"/>
      <c r="C793" s="137"/>
      <c r="D793" s="137"/>
      <c r="E793" s="145"/>
      <c r="F793" s="139"/>
      <c r="G793" s="140"/>
      <c r="H793" s="141"/>
      <c r="I793" s="41"/>
      <c r="J793" s="142"/>
      <c r="K793" s="134"/>
      <c r="L793" s="140"/>
    </row>
    <row r="794" ht="22.5" customHeight="1">
      <c r="A794" s="135"/>
      <c r="B794" s="136"/>
      <c r="C794" s="137"/>
      <c r="D794" s="137"/>
      <c r="E794" s="145"/>
      <c r="F794" s="139"/>
      <c r="G794" s="140"/>
      <c r="H794" s="143"/>
      <c r="I794" s="37"/>
      <c r="J794" s="144"/>
      <c r="K794" s="133"/>
      <c r="L794" s="140"/>
    </row>
    <row r="795" ht="22.5" customHeight="1">
      <c r="A795" s="135"/>
      <c r="B795" s="136"/>
      <c r="C795" s="137"/>
      <c r="D795" s="137"/>
      <c r="E795" s="145"/>
      <c r="F795" s="139"/>
      <c r="G795" s="140"/>
      <c r="H795" s="141"/>
      <c r="I795" s="41"/>
      <c r="J795" s="142"/>
      <c r="K795" s="134"/>
      <c r="L795" s="140"/>
    </row>
    <row r="796" ht="22.5" customHeight="1">
      <c r="A796" s="135"/>
      <c r="B796" s="136"/>
      <c r="C796" s="137"/>
      <c r="D796" s="137"/>
      <c r="E796" s="145"/>
      <c r="F796" s="139"/>
      <c r="G796" s="140"/>
      <c r="H796" s="143"/>
      <c r="I796" s="37"/>
      <c r="J796" s="144"/>
      <c r="K796" s="133"/>
      <c r="L796" s="140"/>
    </row>
    <row r="797" ht="22.5" customHeight="1">
      <c r="A797" s="135"/>
      <c r="B797" s="136"/>
      <c r="C797" s="137"/>
      <c r="D797" s="137"/>
      <c r="E797" s="145"/>
      <c r="F797" s="139"/>
      <c r="G797" s="140"/>
      <c r="H797" s="141"/>
      <c r="I797" s="41"/>
      <c r="J797" s="142"/>
      <c r="K797" s="134"/>
      <c r="L797" s="140"/>
    </row>
    <row r="798" ht="22.5" customHeight="1">
      <c r="A798" s="135"/>
      <c r="B798" s="136"/>
      <c r="C798" s="137"/>
      <c r="D798" s="137"/>
      <c r="E798" s="145"/>
      <c r="F798" s="139"/>
      <c r="G798" s="140"/>
      <c r="H798" s="143"/>
      <c r="I798" s="37"/>
      <c r="J798" s="144"/>
      <c r="K798" s="133"/>
      <c r="L798" s="140"/>
    </row>
    <row r="799" ht="22.5" customHeight="1">
      <c r="A799" s="135"/>
      <c r="B799" s="136"/>
      <c r="C799" s="137"/>
      <c r="D799" s="137"/>
      <c r="E799" s="145"/>
      <c r="F799" s="139"/>
      <c r="G799" s="140"/>
      <c r="H799" s="141"/>
      <c r="I799" s="41"/>
      <c r="J799" s="142"/>
      <c r="K799" s="134"/>
      <c r="L799" s="140"/>
    </row>
    <row r="800" ht="22.5" customHeight="1">
      <c r="A800" s="135"/>
      <c r="B800" s="136"/>
      <c r="C800" s="137"/>
      <c r="D800" s="137"/>
      <c r="E800" s="145"/>
      <c r="F800" s="139"/>
      <c r="G800" s="140"/>
      <c r="H800" s="143"/>
      <c r="I800" s="37"/>
      <c r="J800" s="144"/>
      <c r="K800" s="133"/>
      <c r="L800" s="140"/>
    </row>
    <row r="801" ht="22.5" customHeight="1">
      <c r="A801" s="135"/>
      <c r="B801" s="136"/>
      <c r="C801" s="137"/>
      <c r="D801" s="137"/>
      <c r="E801" s="145"/>
      <c r="F801" s="139"/>
      <c r="G801" s="140"/>
      <c r="H801" s="141"/>
      <c r="I801" s="41"/>
      <c r="J801" s="142"/>
      <c r="K801" s="134"/>
      <c r="L801" s="140"/>
    </row>
    <row r="802" ht="22.5" customHeight="1">
      <c r="A802" s="135"/>
      <c r="B802" s="136"/>
      <c r="C802" s="137"/>
      <c r="D802" s="137"/>
      <c r="E802" s="145"/>
      <c r="F802" s="139"/>
      <c r="G802" s="140"/>
      <c r="H802" s="143"/>
      <c r="I802" s="37"/>
      <c r="J802" s="144"/>
      <c r="K802" s="133"/>
      <c r="L802" s="140"/>
    </row>
    <row r="803" ht="22.5" customHeight="1">
      <c r="A803" s="135"/>
      <c r="B803" s="136"/>
      <c r="C803" s="137"/>
      <c r="D803" s="137"/>
      <c r="E803" s="145"/>
      <c r="F803" s="139"/>
      <c r="G803" s="140"/>
      <c r="H803" s="141"/>
      <c r="I803" s="41"/>
      <c r="J803" s="142"/>
      <c r="K803" s="134"/>
      <c r="L803" s="140"/>
    </row>
    <row r="804" ht="22.5" customHeight="1">
      <c r="A804" s="135"/>
      <c r="B804" s="136"/>
      <c r="C804" s="137"/>
      <c r="D804" s="137"/>
      <c r="E804" s="145"/>
      <c r="F804" s="139"/>
      <c r="G804" s="140"/>
      <c r="H804" s="143"/>
      <c r="I804" s="37"/>
      <c r="J804" s="144"/>
      <c r="K804" s="133"/>
      <c r="L804" s="140"/>
    </row>
    <row r="805" ht="22.5" customHeight="1">
      <c r="A805" s="135"/>
      <c r="B805" s="136"/>
      <c r="C805" s="137"/>
      <c r="D805" s="137"/>
      <c r="E805" s="145"/>
      <c r="F805" s="139"/>
      <c r="G805" s="140"/>
      <c r="H805" s="141"/>
      <c r="I805" s="41"/>
      <c r="J805" s="142"/>
      <c r="K805" s="134"/>
      <c r="L805" s="140"/>
    </row>
    <row r="806" ht="22.5" customHeight="1">
      <c r="A806" s="135"/>
      <c r="B806" s="136"/>
      <c r="C806" s="137"/>
      <c r="D806" s="137"/>
      <c r="E806" s="145"/>
      <c r="F806" s="139"/>
      <c r="G806" s="140"/>
      <c r="H806" s="143"/>
      <c r="I806" s="37"/>
      <c r="J806" s="144"/>
      <c r="K806" s="133"/>
      <c r="L806" s="140"/>
    </row>
    <row r="807" ht="22.5" customHeight="1">
      <c r="A807" s="135"/>
      <c r="B807" s="136"/>
      <c r="C807" s="137"/>
      <c r="D807" s="137"/>
      <c r="E807" s="145"/>
      <c r="F807" s="139"/>
      <c r="G807" s="140"/>
      <c r="H807" s="141"/>
      <c r="I807" s="41"/>
      <c r="J807" s="142"/>
      <c r="K807" s="134"/>
      <c r="L807" s="140"/>
    </row>
    <row r="808" ht="22.5" customHeight="1">
      <c r="A808" s="135"/>
      <c r="B808" s="136"/>
      <c r="C808" s="137"/>
      <c r="D808" s="137"/>
      <c r="E808" s="145"/>
      <c r="F808" s="139"/>
      <c r="G808" s="140"/>
      <c r="H808" s="143"/>
      <c r="I808" s="37"/>
      <c r="J808" s="144"/>
      <c r="K808" s="133"/>
      <c r="L808" s="140"/>
    </row>
    <row r="809" ht="22.5" customHeight="1">
      <c r="A809" s="135"/>
      <c r="B809" s="136"/>
      <c r="C809" s="137"/>
      <c r="D809" s="137"/>
      <c r="E809" s="145"/>
      <c r="F809" s="139"/>
      <c r="G809" s="140"/>
      <c r="H809" s="141"/>
      <c r="I809" s="41"/>
      <c r="J809" s="142"/>
      <c r="K809" s="134"/>
      <c r="L809" s="140"/>
    </row>
    <row r="810" ht="22.5" customHeight="1">
      <c r="A810" s="135"/>
      <c r="B810" s="136"/>
      <c r="C810" s="137"/>
      <c r="D810" s="137"/>
      <c r="E810" s="145"/>
      <c r="F810" s="139"/>
      <c r="G810" s="140"/>
      <c r="H810" s="143"/>
      <c r="I810" s="37"/>
      <c r="J810" s="144"/>
      <c r="K810" s="133"/>
      <c r="L810" s="140"/>
    </row>
    <row r="811" ht="22.5" customHeight="1">
      <c r="A811" s="135"/>
      <c r="B811" s="136"/>
      <c r="C811" s="137"/>
      <c r="D811" s="137"/>
      <c r="E811" s="145"/>
      <c r="F811" s="139"/>
      <c r="G811" s="140"/>
      <c r="H811" s="141"/>
      <c r="I811" s="41"/>
      <c r="J811" s="142"/>
      <c r="K811" s="134"/>
      <c r="L811" s="140"/>
    </row>
    <row r="812" ht="22.5" customHeight="1">
      <c r="A812" s="135"/>
      <c r="B812" s="136"/>
      <c r="C812" s="137"/>
      <c r="D812" s="137"/>
      <c r="E812" s="145"/>
      <c r="F812" s="139"/>
      <c r="G812" s="140"/>
      <c r="H812" s="143"/>
      <c r="I812" s="37"/>
      <c r="J812" s="144"/>
      <c r="K812" s="133"/>
      <c r="L812" s="140"/>
    </row>
    <row r="813" ht="22.5" customHeight="1">
      <c r="A813" s="135"/>
      <c r="B813" s="136"/>
      <c r="C813" s="137"/>
      <c r="D813" s="137"/>
      <c r="E813" s="145"/>
      <c r="F813" s="139"/>
      <c r="G813" s="140"/>
      <c r="H813" s="141"/>
      <c r="I813" s="41"/>
      <c r="J813" s="142"/>
      <c r="K813" s="134"/>
      <c r="L813" s="140"/>
    </row>
    <row r="814" ht="22.5" customHeight="1">
      <c r="A814" s="135"/>
      <c r="B814" s="136"/>
      <c r="C814" s="137"/>
      <c r="D814" s="137"/>
      <c r="E814" s="145"/>
      <c r="F814" s="139"/>
      <c r="G814" s="140"/>
      <c r="H814" s="143"/>
      <c r="I814" s="37"/>
      <c r="J814" s="144"/>
      <c r="K814" s="133"/>
      <c r="L814" s="140"/>
    </row>
    <row r="815" ht="22.5" customHeight="1">
      <c r="A815" s="135"/>
      <c r="B815" s="136"/>
      <c r="C815" s="137"/>
      <c r="D815" s="137"/>
      <c r="E815" s="145"/>
      <c r="F815" s="139"/>
      <c r="G815" s="140"/>
      <c r="H815" s="141"/>
      <c r="I815" s="41"/>
      <c r="J815" s="142"/>
      <c r="K815" s="134"/>
      <c r="L815" s="140"/>
    </row>
    <row r="816" ht="22.5" customHeight="1">
      <c r="A816" s="135"/>
      <c r="B816" s="136"/>
      <c r="C816" s="137"/>
      <c r="D816" s="137"/>
      <c r="E816" s="145"/>
      <c r="F816" s="139"/>
      <c r="G816" s="140"/>
      <c r="H816" s="143"/>
      <c r="I816" s="37"/>
      <c r="J816" s="144"/>
      <c r="K816" s="133"/>
      <c r="L816" s="140"/>
    </row>
    <row r="817" ht="22.5" customHeight="1">
      <c r="A817" s="135"/>
      <c r="B817" s="136"/>
      <c r="C817" s="137"/>
      <c r="D817" s="137"/>
      <c r="E817" s="145"/>
      <c r="F817" s="139"/>
      <c r="G817" s="140"/>
      <c r="H817" s="141"/>
      <c r="I817" s="41"/>
      <c r="J817" s="142"/>
      <c r="K817" s="134"/>
      <c r="L817" s="140"/>
    </row>
    <row r="818" ht="22.5" customHeight="1">
      <c r="A818" s="135"/>
      <c r="B818" s="136"/>
      <c r="C818" s="137"/>
      <c r="D818" s="137"/>
      <c r="E818" s="145"/>
      <c r="F818" s="139"/>
      <c r="G818" s="140"/>
      <c r="H818" s="143"/>
      <c r="I818" s="37"/>
      <c r="J818" s="144"/>
      <c r="K818" s="133"/>
      <c r="L818" s="140"/>
    </row>
    <row r="819" ht="22.5" customHeight="1">
      <c r="A819" s="135"/>
      <c r="B819" s="136"/>
      <c r="C819" s="137"/>
      <c r="D819" s="137"/>
      <c r="E819" s="145"/>
      <c r="F819" s="139"/>
      <c r="G819" s="140"/>
      <c r="H819" s="141"/>
      <c r="I819" s="41"/>
      <c r="J819" s="142"/>
      <c r="K819" s="134"/>
      <c r="L819" s="140"/>
    </row>
    <row r="820" ht="22.5" customHeight="1">
      <c r="A820" s="135"/>
      <c r="B820" s="136"/>
      <c r="C820" s="137"/>
      <c r="D820" s="137"/>
      <c r="E820" s="145"/>
      <c r="F820" s="139"/>
      <c r="G820" s="140"/>
      <c r="H820" s="143"/>
      <c r="I820" s="37"/>
      <c r="J820" s="144"/>
      <c r="K820" s="133"/>
      <c r="L820" s="140"/>
    </row>
    <row r="821" ht="22.5" customHeight="1">
      <c r="A821" s="135"/>
      <c r="B821" s="136"/>
      <c r="C821" s="137"/>
      <c r="D821" s="137"/>
      <c r="E821" s="145"/>
      <c r="F821" s="139"/>
      <c r="G821" s="140"/>
      <c r="H821" s="141"/>
      <c r="I821" s="41"/>
      <c r="J821" s="142"/>
      <c r="K821" s="134"/>
      <c r="L821" s="140"/>
    </row>
    <row r="822" ht="22.5" customHeight="1">
      <c r="A822" s="135"/>
      <c r="B822" s="136"/>
      <c r="C822" s="137"/>
      <c r="D822" s="137"/>
      <c r="E822" s="145"/>
      <c r="F822" s="139"/>
      <c r="G822" s="140"/>
      <c r="H822" s="143"/>
      <c r="I822" s="37"/>
      <c r="J822" s="144"/>
      <c r="K822" s="133"/>
      <c r="L822" s="140"/>
    </row>
    <row r="823" ht="22.5" customHeight="1">
      <c r="A823" s="135"/>
      <c r="B823" s="136"/>
      <c r="C823" s="137"/>
      <c r="D823" s="137"/>
      <c r="E823" s="145"/>
      <c r="F823" s="139"/>
      <c r="G823" s="140"/>
      <c r="H823" s="141"/>
      <c r="I823" s="41"/>
      <c r="J823" s="142"/>
      <c r="K823" s="134"/>
      <c r="L823" s="140"/>
    </row>
    <row r="824" ht="22.5" customHeight="1">
      <c r="A824" s="135"/>
      <c r="B824" s="136"/>
      <c r="C824" s="137"/>
      <c r="D824" s="137"/>
      <c r="E824" s="145"/>
      <c r="F824" s="139"/>
      <c r="G824" s="140"/>
      <c r="H824" s="143"/>
      <c r="I824" s="37"/>
      <c r="J824" s="144"/>
      <c r="K824" s="133"/>
      <c r="L824" s="140"/>
    </row>
    <row r="825" ht="22.5" customHeight="1">
      <c r="A825" s="135"/>
      <c r="B825" s="136"/>
      <c r="C825" s="137"/>
      <c r="D825" s="137"/>
      <c r="E825" s="145"/>
      <c r="F825" s="139"/>
      <c r="G825" s="140"/>
      <c r="H825" s="141"/>
      <c r="I825" s="41"/>
      <c r="J825" s="142"/>
      <c r="K825" s="134"/>
      <c r="L825" s="140"/>
    </row>
    <row r="826" ht="22.5" customHeight="1">
      <c r="A826" s="135"/>
      <c r="B826" s="136"/>
      <c r="C826" s="137"/>
      <c r="D826" s="137"/>
      <c r="E826" s="145"/>
      <c r="F826" s="139"/>
      <c r="G826" s="140"/>
      <c r="H826" s="143"/>
      <c r="I826" s="37"/>
      <c r="J826" s="144"/>
      <c r="K826" s="133"/>
      <c r="L826" s="140"/>
    </row>
    <row r="827" ht="22.5" customHeight="1">
      <c r="A827" s="135"/>
      <c r="B827" s="136"/>
      <c r="C827" s="137"/>
      <c r="D827" s="137"/>
      <c r="E827" s="145"/>
      <c r="F827" s="139"/>
      <c r="G827" s="140"/>
      <c r="H827" s="141"/>
      <c r="I827" s="41"/>
      <c r="J827" s="142"/>
      <c r="K827" s="134"/>
      <c r="L827" s="140"/>
    </row>
    <row r="828" ht="22.5" customHeight="1">
      <c r="A828" s="135"/>
      <c r="B828" s="136"/>
      <c r="C828" s="137"/>
      <c r="D828" s="137"/>
      <c r="E828" s="145"/>
      <c r="F828" s="139"/>
      <c r="G828" s="140"/>
      <c r="H828" s="143"/>
      <c r="I828" s="37"/>
      <c r="J828" s="144"/>
      <c r="K828" s="133"/>
      <c r="L828" s="140"/>
    </row>
    <row r="829" ht="22.5" customHeight="1">
      <c r="A829" s="135"/>
      <c r="B829" s="136"/>
      <c r="C829" s="137"/>
      <c r="D829" s="137"/>
      <c r="E829" s="145"/>
      <c r="F829" s="139"/>
      <c r="G829" s="140"/>
      <c r="H829" s="141"/>
      <c r="I829" s="41"/>
      <c r="J829" s="142"/>
      <c r="K829" s="134"/>
      <c r="L829" s="140"/>
    </row>
    <row r="830" ht="22.5" customHeight="1">
      <c r="A830" s="135"/>
      <c r="B830" s="136"/>
      <c r="C830" s="137"/>
      <c r="D830" s="137"/>
      <c r="E830" s="145"/>
      <c r="F830" s="139"/>
      <c r="G830" s="140"/>
      <c r="H830" s="143"/>
      <c r="I830" s="37"/>
      <c r="J830" s="144"/>
      <c r="K830" s="133"/>
      <c r="L830" s="140"/>
    </row>
    <row r="831" ht="22.5" customHeight="1">
      <c r="A831" s="135"/>
      <c r="B831" s="136"/>
      <c r="C831" s="137"/>
      <c r="D831" s="137"/>
      <c r="E831" s="145"/>
      <c r="F831" s="139"/>
      <c r="G831" s="140"/>
      <c r="H831" s="141"/>
      <c r="I831" s="41"/>
      <c r="J831" s="142"/>
      <c r="K831" s="134"/>
      <c r="L831" s="140"/>
    </row>
    <row r="832" ht="22.5" customHeight="1">
      <c r="A832" s="135"/>
      <c r="B832" s="136"/>
      <c r="C832" s="137"/>
      <c r="D832" s="137"/>
      <c r="E832" s="145"/>
      <c r="F832" s="139"/>
      <c r="G832" s="140"/>
      <c r="H832" s="143"/>
      <c r="I832" s="37"/>
      <c r="J832" s="144"/>
      <c r="K832" s="133"/>
      <c r="L832" s="140"/>
    </row>
    <row r="833" ht="22.5" customHeight="1">
      <c r="A833" s="135"/>
      <c r="B833" s="136"/>
      <c r="C833" s="137"/>
      <c r="D833" s="137"/>
      <c r="E833" s="145"/>
      <c r="F833" s="139"/>
      <c r="G833" s="140"/>
      <c r="H833" s="141"/>
      <c r="I833" s="41"/>
      <c r="J833" s="142"/>
      <c r="K833" s="134"/>
      <c r="L833" s="140"/>
    </row>
    <row r="834" ht="22.5" customHeight="1">
      <c r="A834" s="135"/>
      <c r="B834" s="136"/>
      <c r="C834" s="137"/>
      <c r="D834" s="137"/>
      <c r="E834" s="145"/>
      <c r="F834" s="139"/>
      <c r="G834" s="140"/>
      <c r="H834" s="143"/>
      <c r="I834" s="37"/>
      <c r="J834" s="144"/>
      <c r="K834" s="133"/>
      <c r="L834" s="140"/>
    </row>
    <row r="835" ht="22.5" customHeight="1">
      <c r="A835" s="135"/>
      <c r="B835" s="136"/>
      <c r="C835" s="137"/>
      <c r="D835" s="137"/>
      <c r="E835" s="145"/>
      <c r="F835" s="139"/>
      <c r="G835" s="140"/>
      <c r="H835" s="141"/>
      <c r="I835" s="41"/>
      <c r="J835" s="142"/>
      <c r="K835" s="134"/>
      <c r="L835" s="140"/>
    </row>
    <row r="836" ht="22.5" customHeight="1">
      <c r="A836" s="135"/>
      <c r="B836" s="136"/>
      <c r="C836" s="137"/>
      <c r="D836" s="137"/>
      <c r="E836" s="145"/>
      <c r="F836" s="139"/>
      <c r="G836" s="140"/>
      <c r="H836" s="143"/>
      <c r="I836" s="37"/>
      <c r="J836" s="144"/>
      <c r="K836" s="133"/>
      <c r="L836" s="140"/>
    </row>
    <row r="837" ht="22.5" customHeight="1">
      <c r="A837" s="135"/>
      <c r="B837" s="136"/>
      <c r="C837" s="137"/>
      <c r="D837" s="137"/>
      <c r="E837" s="145"/>
      <c r="F837" s="139"/>
      <c r="G837" s="140"/>
      <c r="H837" s="141"/>
      <c r="I837" s="41"/>
      <c r="J837" s="142"/>
      <c r="K837" s="134"/>
      <c r="L837" s="140"/>
    </row>
    <row r="838" ht="22.5" customHeight="1">
      <c r="A838" s="135"/>
      <c r="B838" s="136"/>
      <c r="C838" s="137"/>
      <c r="D838" s="137"/>
      <c r="E838" s="145"/>
      <c r="F838" s="139"/>
      <c r="G838" s="140"/>
      <c r="H838" s="143"/>
      <c r="I838" s="37"/>
      <c r="J838" s="144"/>
      <c r="K838" s="133"/>
      <c r="L838" s="140"/>
    </row>
    <row r="839" ht="22.5" customHeight="1">
      <c r="A839" s="135"/>
      <c r="B839" s="136"/>
      <c r="C839" s="137"/>
      <c r="D839" s="137"/>
      <c r="E839" s="145"/>
      <c r="F839" s="139"/>
      <c r="G839" s="140"/>
      <c r="H839" s="141"/>
      <c r="I839" s="41"/>
      <c r="J839" s="142"/>
      <c r="K839" s="134"/>
      <c r="L839" s="140"/>
    </row>
    <row r="840" ht="22.5" customHeight="1">
      <c r="A840" s="135"/>
      <c r="B840" s="136"/>
      <c r="C840" s="137"/>
      <c r="D840" s="137"/>
      <c r="E840" s="145"/>
      <c r="F840" s="139"/>
      <c r="G840" s="140"/>
      <c r="H840" s="143"/>
      <c r="I840" s="37"/>
      <c r="J840" s="144"/>
      <c r="K840" s="133"/>
      <c r="L840" s="140"/>
    </row>
    <row r="841" ht="22.5" customHeight="1">
      <c r="A841" s="135"/>
      <c r="B841" s="136"/>
      <c r="C841" s="137"/>
      <c r="D841" s="137"/>
      <c r="E841" s="145"/>
      <c r="F841" s="139"/>
      <c r="G841" s="140"/>
      <c r="H841" s="141"/>
      <c r="I841" s="41"/>
      <c r="J841" s="142"/>
      <c r="K841" s="134"/>
      <c r="L841" s="140"/>
    </row>
    <row r="842" ht="22.5" customHeight="1">
      <c r="A842" s="135"/>
      <c r="B842" s="136"/>
      <c r="C842" s="137"/>
      <c r="D842" s="137"/>
      <c r="E842" s="145"/>
      <c r="F842" s="139"/>
      <c r="G842" s="140"/>
      <c r="H842" s="143"/>
      <c r="I842" s="37"/>
      <c r="J842" s="144"/>
      <c r="K842" s="133"/>
      <c r="L842" s="140"/>
    </row>
    <row r="843" ht="22.5" customHeight="1">
      <c r="A843" s="135"/>
      <c r="B843" s="136"/>
      <c r="C843" s="137"/>
      <c r="D843" s="137"/>
      <c r="E843" s="145"/>
      <c r="F843" s="139"/>
      <c r="G843" s="140"/>
      <c r="H843" s="141"/>
      <c r="I843" s="41"/>
      <c r="J843" s="142"/>
      <c r="K843" s="134"/>
      <c r="L843" s="140"/>
    </row>
    <row r="844" ht="22.5" customHeight="1">
      <c r="A844" s="135"/>
      <c r="B844" s="136"/>
      <c r="C844" s="137"/>
      <c r="D844" s="137"/>
      <c r="E844" s="145"/>
      <c r="F844" s="139"/>
      <c r="G844" s="140"/>
      <c r="H844" s="143"/>
      <c r="I844" s="37"/>
      <c r="J844" s="144"/>
      <c r="K844" s="133"/>
      <c r="L844" s="140"/>
    </row>
    <row r="845" ht="22.5" customHeight="1">
      <c r="A845" s="135"/>
      <c r="B845" s="136"/>
      <c r="C845" s="137"/>
      <c r="D845" s="137"/>
      <c r="E845" s="145"/>
      <c r="F845" s="139"/>
      <c r="G845" s="140"/>
      <c r="H845" s="141"/>
      <c r="I845" s="41"/>
      <c r="J845" s="142"/>
      <c r="K845" s="134"/>
      <c r="L845" s="140"/>
    </row>
    <row r="846" ht="22.5" customHeight="1">
      <c r="A846" s="135"/>
      <c r="B846" s="136"/>
      <c r="C846" s="137"/>
      <c r="D846" s="137"/>
      <c r="E846" s="145"/>
      <c r="F846" s="139"/>
      <c r="G846" s="140"/>
      <c r="H846" s="143"/>
      <c r="I846" s="37"/>
      <c r="J846" s="144"/>
      <c r="K846" s="133"/>
      <c r="L846" s="140"/>
    </row>
    <row r="847" ht="22.5" customHeight="1">
      <c r="A847" s="135"/>
      <c r="B847" s="136"/>
      <c r="C847" s="137"/>
      <c r="D847" s="137"/>
      <c r="E847" s="145"/>
      <c r="F847" s="139"/>
      <c r="G847" s="140"/>
      <c r="H847" s="141"/>
      <c r="I847" s="41"/>
      <c r="J847" s="142"/>
      <c r="K847" s="134"/>
      <c r="L847" s="140"/>
    </row>
    <row r="848" ht="22.5" customHeight="1">
      <c r="A848" s="135"/>
      <c r="B848" s="136"/>
      <c r="C848" s="137"/>
      <c r="D848" s="137"/>
      <c r="E848" s="145"/>
      <c r="F848" s="139"/>
      <c r="G848" s="140"/>
      <c r="H848" s="143"/>
      <c r="I848" s="37"/>
      <c r="J848" s="144"/>
      <c r="K848" s="133"/>
      <c r="L848" s="140"/>
    </row>
    <row r="849" ht="22.5" customHeight="1">
      <c r="A849" s="135"/>
      <c r="B849" s="136"/>
      <c r="C849" s="137"/>
      <c r="D849" s="137"/>
      <c r="E849" s="145"/>
      <c r="F849" s="139"/>
      <c r="G849" s="140"/>
      <c r="H849" s="141"/>
      <c r="I849" s="41"/>
      <c r="J849" s="142"/>
      <c r="K849" s="134"/>
      <c r="L849" s="140"/>
    </row>
    <row r="850" ht="22.5" customHeight="1">
      <c r="A850" s="135"/>
      <c r="B850" s="136"/>
      <c r="C850" s="137"/>
      <c r="D850" s="137"/>
      <c r="E850" s="145"/>
      <c r="F850" s="139"/>
      <c r="G850" s="140"/>
      <c r="H850" s="143"/>
      <c r="I850" s="37"/>
      <c r="J850" s="144"/>
      <c r="K850" s="133"/>
      <c r="L850" s="140"/>
    </row>
    <row r="851" ht="22.5" customHeight="1">
      <c r="A851" s="135"/>
      <c r="B851" s="136"/>
      <c r="C851" s="137"/>
      <c r="D851" s="137"/>
      <c r="E851" s="145"/>
      <c r="F851" s="139"/>
      <c r="G851" s="140"/>
      <c r="H851" s="141"/>
      <c r="I851" s="41"/>
      <c r="J851" s="142"/>
      <c r="K851" s="134"/>
      <c r="L851" s="140"/>
    </row>
    <row r="852" ht="22.5" customHeight="1">
      <c r="A852" s="135"/>
      <c r="B852" s="136"/>
      <c r="C852" s="137"/>
      <c r="D852" s="137"/>
      <c r="E852" s="145"/>
      <c r="F852" s="139"/>
      <c r="G852" s="140"/>
      <c r="H852" s="143"/>
      <c r="I852" s="37"/>
      <c r="J852" s="144"/>
      <c r="K852" s="133"/>
      <c r="L852" s="140"/>
    </row>
    <row r="853" ht="22.5" customHeight="1">
      <c r="A853" s="135"/>
      <c r="B853" s="136"/>
      <c r="C853" s="137"/>
      <c r="D853" s="137"/>
      <c r="E853" s="145"/>
      <c r="F853" s="139"/>
      <c r="G853" s="140"/>
      <c r="H853" s="141"/>
      <c r="I853" s="41"/>
      <c r="J853" s="142"/>
      <c r="K853" s="134"/>
      <c r="L853" s="140"/>
    </row>
    <row r="854" ht="22.5" customHeight="1">
      <c r="A854" s="135"/>
      <c r="B854" s="136"/>
      <c r="C854" s="137"/>
      <c r="D854" s="137"/>
      <c r="E854" s="145"/>
      <c r="F854" s="139"/>
      <c r="G854" s="140"/>
      <c r="H854" s="143"/>
      <c r="I854" s="37"/>
      <c r="J854" s="144"/>
      <c r="K854" s="133"/>
      <c r="L854" s="140"/>
    </row>
    <row r="855" ht="22.5" customHeight="1">
      <c r="A855" s="135"/>
      <c r="B855" s="136"/>
      <c r="C855" s="137"/>
      <c r="D855" s="137"/>
      <c r="E855" s="145"/>
      <c r="F855" s="139"/>
      <c r="G855" s="140"/>
      <c r="H855" s="141"/>
      <c r="I855" s="41"/>
      <c r="J855" s="142"/>
      <c r="K855" s="134"/>
      <c r="L855" s="140"/>
    </row>
    <row r="856" ht="22.5" customHeight="1">
      <c r="A856" s="135"/>
      <c r="B856" s="136"/>
      <c r="C856" s="137"/>
      <c r="D856" s="137"/>
      <c r="E856" s="145"/>
      <c r="F856" s="139"/>
      <c r="G856" s="140"/>
      <c r="H856" s="143"/>
      <c r="I856" s="37"/>
      <c r="J856" s="144"/>
      <c r="K856" s="133"/>
      <c r="L856" s="140"/>
    </row>
    <row r="857" ht="22.5" customHeight="1">
      <c r="A857" s="135"/>
      <c r="B857" s="136"/>
      <c r="C857" s="137"/>
      <c r="D857" s="137"/>
      <c r="E857" s="145"/>
      <c r="F857" s="139"/>
      <c r="G857" s="140"/>
      <c r="H857" s="141"/>
      <c r="I857" s="41"/>
      <c r="J857" s="142"/>
      <c r="K857" s="134"/>
      <c r="L857" s="140"/>
    </row>
    <row r="858" ht="22.5" customHeight="1">
      <c r="A858" s="135"/>
      <c r="B858" s="136"/>
      <c r="C858" s="137"/>
      <c r="D858" s="137"/>
      <c r="E858" s="145"/>
      <c r="F858" s="139"/>
      <c r="G858" s="140"/>
      <c r="H858" s="143"/>
      <c r="I858" s="37"/>
      <c r="J858" s="144"/>
      <c r="K858" s="133"/>
      <c r="L858" s="140"/>
    </row>
    <row r="859" ht="22.5" customHeight="1">
      <c r="A859" s="135"/>
      <c r="B859" s="136"/>
      <c r="C859" s="137"/>
      <c r="D859" s="137"/>
      <c r="E859" s="145"/>
      <c r="F859" s="139"/>
      <c r="G859" s="140"/>
      <c r="H859" s="141"/>
      <c r="I859" s="41"/>
      <c r="J859" s="142"/>
      <c r="K859" s="134"/>
      <c r="L859" s="140"/>
    </row>
    <row r="860" ht="22.5" customHeight="1">
      <c r="A860" s="135"/>
      <c r="B860" s="136"/>
      <c r="C860" s="137"/>
      <c r="D860" s="137"/>
      <c r="E860" s="145"/>
      <c r="F860" s="139"/>
      <c r="G860" s="140"/>
      <c r="H860" s="143"/>
      <c r="I860" s="37"/>
      <c r="J860" s="144"/>
      <c r="K860" s="133"/>
      <c r="L860" s="140"/>
    </row>
    <row r="861" ht="22.5" customHeight="1">
      <c r="A861" s="135"/>
      <c r="B861" s="136"/>
      <c r="C861" s="137"/>
      <c r="D861" s="137"/>
      <c r="E861" s="145"/>
      <c r="F861" s="139"/>
      <c r="G861" s="140"/>
      <c r="H861" s="141"/>
      <c r="I861" s="41"/>
      <c r="J861" s="142"/>
      <c r="K861" s="134"/>
      <c r="L861" s="140"/>
    </row>
    <row r="862" ht="22.5" customHeight="1">
      <c r="A862" s="135"/>
      <c r="B862" s="136"/>
      <c r="C862" s="137"/>
      <c r="D862" s="137"/>
      <c r="E862" s="145"/>
      <c r="F862" s="139"/>
      <c r="G862" s="140"/>
      <c r="H862" s="143"/>
      <c r="I862" s="37"/>
      <c r="J862" s="144"/>
      <c r="K862" s="133"/>
      <c r="L862" s="140"/>
    </row>
    <row r="863" ht="22.5" customHeight="1">
      <c r="A863" s="135"/>
      <c r="B863" s="136"/>
      <c r="C863" s="137"/>
      <c r="D863" s="137"/>
      <c r="E863" s="145"/>
      <c r="F863" s="139"/>
      <c r="G863" s="140"/>
      <c r="H863" s="141"/>
      <c r="I863" s="41"/>
      <c r="J863" s="142"/>
      <c r="K863" s="134"/>
      <c r="L863" s="140"/>
    </row>
    <row r="864" ht="22.5" customHeight="1">
      <c r="A864" s="135"/>
      <c r="B864" s="136"/>
      <c r="C864" s="137"/>
      <c r="D864" s="137"/>
      <c r="E864" s="145"/>
      <c r="F864" s="139"/>
      <c r="G864" s="140"/>
      <c r="H864" s="143"/>
      <c r="I864" s="37"/>
      <c r="J864" s="144"/>
      <c r="K864" s="133"/>
      <c r="L864" s="140"/>
    </row>
    <row r="865" ht="22.5" customHeight="1">
      <c r="A865" s="135"/>
      <c r="B865" s="136"/>
      <c r="C865" s="137"/>
      <c r="D865" s="137"/>
      <c r="E865" s="145"/>
      <c r="F865" s="139"/>
      <c r="G865" s="140"/>
      <c r="H865" s="141"/>
      <c r="I865" s="41"/>
      <c r="J865" s="142"/>
      <c r="K865" s="134"/>
      <c r="L865" s="140"/>
    </row>
    <row r="866" ht="22.5" customHeight="1">
      <c r="A866" s="135"/>
      <c r="B866" s="136"/>
      <c r="C866" s="137"/>
      <c r="D866" s="137"/>
      <c r="E866" s="145"/>
      <c r="F866" s="139"/>
      <c r="G866" s="140"/>
      <c r="H866" s="143"/>
      <c r="I866" s="37"/>
      <c r="J866" s="144"/>
      <c r="K866" s="133"/>
      <c r="L866" s="140"/>
    </row>
    <row r="867" ht="22.5" customHeight="1">
      <c r="A867" s="135"/>
      <c r="B867" s="136"/>
      <c r="C867" s="137"/>
      <c r="D867" s="137"/>
      <c r="E867" s="145"/>
      <c r="F867" s="139"/>
      <c r="G867" s="140"/>
      <c r="H867" s="141"/>
      <c r="I867" s="41"/>
      <c r="J867" s="142"/>
      <c r="K867" s="134"/>
      <c r="L867" s="140"/>
    </row>
    <row r="868" ht="22.5" customHeight="1">
      <c r="A868" s="135"/>
      <c r="B868" s="136"/>
      <c r="C868" s="137"/>
      <c r="D868" s="137"/>
      <c r="E868" s="145"/>
      <c r="F868" s="139"/>
      <c r="G868" s="140"/>
      <c r="H868" s="143"/>
      <c r="I868" s="37"/>
      <c r="J868" s="144"/>
      <c r="K868" s="133"/>
      <c r="L868" s="140"/>
    </row>
    <row r="869" ht="22.5" customHeight="1">
      <c r="A869" s="135"/>
      <c r="B869" s="136"/>
      <c r="C869" s="137"/>
      <c r="D869" s="137"/>
      <c r="E869" s="145"/>
      <c r="F869" s="139"/>
      <c r="G869" s="140"/>
      <c r="H869" s="141"/>
      <c r="I869" s="41"/>
      <c r="J869" s="142"/>
      <c r="K869" s="134"/>
      <c r="L869" s="140"/>
    </row>
    <row r="870" ht="22.5" customHeight="1">
      <c r="A870" s="135"/>
      <c r="B870" s="136"/>
      <c r="C870" s="137"/>
      <c r="D870" s="137"/>
      <c r="E870" s="145"/>
      <c r="F870" s="139"/>
      <c r="G870" s="140"/>
      <c r="H870" s="143"/>
      <c r="I870" s="37"/>
      <c r="J870" s="144"/>
      <c r="K870" s="133"/>
      <c r="L870" s="140"/>
    </row>
    <row r="871" ht="22.5" customHeight="1">
      <c r="A871" s="135"/>
      <c r="B871" s="136"/>
      <c r="C871" s="137"/>
      <c r="D871" s="137"/>
      <c r="E871" s="145"/>
      <c r="F871" s="139"/>
      <c r="G871" s="140"/>
      <c r="H871" s="141"/>
      <c r="I871" s="41"/>
      <c r="J871" s="142"/>
      <c r="K871" s="134"/>
      <c r="L871" s="140"/>
    </row>
    <row r="872" ht="22.5" customHeight="1">
      <c r="A872" s="135"/>
      <c r="B872" s="136"/>
      <c r="C872" s="137"/>
      <c r="D872" s="137"/>
      <c r="E872" s="145"/>
      <c r="F872" s="139"/>
      <c r="G872" s="140"/>
      <c r="H872" s="143"/>
      <c r="I872" s="37"/>
      <c r="J872" s="144"/>
      <c r="K872" s="133"/>
      <c r="L872" s="140"/>
    </row>
    <row r="873" ht="22.5" customHeight="1">
      <c r="A873" s="135"/>
      <c r="B873" s="136"/>
      <c r="C873" s="137"/>
      <c r="D873" s="137"/>
      <c r="E873" s="145"/>
      <c r="F873" s="139"/>
      <c r="G873" s="140"/>
      <c r="H873" s="141"/>
      <c r="I873" s="41"/>
      <c r="J873" s="142"/>
      <c r="K873" s="134"/>
      <c r="L873" s="140"/>
    </row>
    <row r="874" ht="22.5" customHeight="1">
      <c r="A874" s="135"/>
      <c r="B874" s="136"/>
      <c r="C874" s="137"/>
      <c r="D874" s="137"/>
      <c r="E874" s="145"/>
      <c r="F874" s="139"/>
      <c r="G874" s="140"/>
      <c r="H874" s="143"/>
      <c r="I874" s="37"/>
      <c r="J874" s="144"/>
      <c r="K874" s="133"/>
      <c r="L874" s="140"/>
    </row>
    <row r="875" ht="22.5" customHeight="1">
      <c r="A875" s="135"/>
      <c r="B875" s="136"/>
      <c r="C875" s="137"/>
      <c r="D875" s="137"/>
      <c r="E875" s="145"/>
      <c r="F875" s="139"/>
      <c r="G875" s="140"/>
      <c r="H875" s="141"/>
      <c r="I875" s="41"/>
      <c r="J875" s="142"/>
      <c r="K875" s="134"/>
      <c r="L875" s="140"/>
    </row>
    <row r="876" ht="22.5" customHeight="1">
      <c r="A876" s="135"/>
      <c r="B876" s="136"/>
      <c r="C876" s="137"/>
      <c r="D876" s="137"/>
      <c r="E876" s="145"/>
      <c r="F876" s="139"/>
      <c r="G876" s="140"/>
      <c r="H876" s="143"/>
      <c r="I876" s="37"/>
      <c r="J876" s="144"/>
      <c r="K876" s="133"/>
      <c r="L876" s="140"/>
    </row>
    <row r="877" ht="22.5" customHeight="1">
      <c r="A877" s="135"/>
      <c r="B877" s="136"/>
      <c r="C877" s="137"/>
      <c r="D877" s="137"/>
      <c r="E877" s="145"/>
      <c r="F877" s="139"/>
      <c r="G877" s="140"/>
      <c r="H877" s="141"/>
      <c r="I877" s="41"/>
      <c r="J877" s="142"/>
      <c r="K877" s="134"/>
      <c r="L877" s="140"/>
    </row>
    <row r="878" ht="22.5" customHeight="1">
      <c r="A878" s="135"/>
      <c r="B878" s="136"/>
      <c r="C878" s="137"/>
      <c r="D878" s="137"/>
      <c r="E878" s="145"/>
      <c r="F878" s="139"/>
      <c r="G878" s="140"/>
      <c r="H878" s="143"/>
      <c r="I878" s="37"/>
      <c r="J878" s="144"/>
      <c r="K878" s="133"/>
      <c r="L878" s="140"/>
    </row>
    <row r="879" ht="22.5" customHeight="1">
      <c r="A879" s="135"/>
      <c r="B879" s="136"/>
      <c r="C879" s="137"/>
      <c r="D879" s="137"/>
      <c r="E879" s="145"/>
      <c r="F879" s="139"/>
      <c r="G879" s="140"/>
      <c r="H879" s="141"/>
      <c r="I879" s="41"/>
      <c r="J879" s="142"/>
      <c r="K879" s="134"/>
      <c r="L879" s="140"/>
    </row>
    <row r="880" ht="22.5" customHeight="1">
      <c r="A880" s="135"/>
      <c r="B880" s="136"/>
      <c r="C880" s="137"/>
      <c r="D880" s="137"/>
      <c r="E880" s="145"/>
      <c r="F880" s="139"/>
      <c r="G880" s="140"/>
      <c r="H880" s="143"/>
      <c r="I880" s="37"/>
      <c r="J880" s="144"/>
      <c r="K880" s="133"/>
      <c r="L880" s="140"/>
    </row>
    <row r="881" ht="22.5" customHeight="1">
      <c r="A881" s="135"/>
      <c r="B881" s="136"/>
      <c r="C881" s="137"/>
      <c r="D881" s="137"/>
      <c r="E881" s="145"/>
      <c r="F881" s="139"/>
      <c r="G881" s="140"/>
      <c r="H881" s="141"/>
      <c r="I881" s="41"/>
      <c r="J881" s="142"/>
      <c r="K881" s="134"/>
      <c r="L881" s="140"/>
    </row>
    <row r="882" ht="22.5" customHeight="1">
      <c r="A882" s="135"/>
      <c r="B882" s="136"/>
      <c r="C882" s="137"/>
      <c r="D882" s="137"/>
      <c r="E882" s="145"/>
      <c r="F882" s="139"/>
      <c r="G882" s="140"/>
      <c r="H882" s="143"/>
      <c r="I882" s="37"/>
      <c r="J882" s="144"/>
      <c r="K882" s="133"/>
      <c r="L882" s="140"/>
    </row>
    <row r="883" ht="22.5" customHeight="1">
      <c r="A883" s="135"/>
      <c r="B883" s="136"/>
      <c r="C883" s="137"/>
      <c r="D883" s="137"/>
      <c r="E883" s="145"/>
      <c r="F883" s="139"/>
      <c r="G883" s="140"/>
      <c r="H883" s="141"/>
      <c r="I883" s="41"/>
      <c r="J883" s="142"/>
      <c r="K883" s="134"/>
      <c r="L883" s="140"/>
    </row>
    <row r="884" ht="22.5" customHeight="1">
      <c r="A884" s="135"/>
      <c r="B884" s="136"/>
      <c r="C884" s="137"/>
      <c r="D884" s="137"/>
      <c r="E884" s="145"/>
      <c r="F884" s="139"/>
      <c r="G884" s="140"/>
      <c r="H884" s="143"/>
      <c r="I884" s="37"/>
      <c r="J884" s="144"/>
      <c r="K884" s="133"/>
      <c r="L884" s="140"/>
    </row>
    <row r="885" ht="22.5" customHeight="1">
      <c r="A885" s="135"/>
      <c r="B885" s="136"/>
      <c r="C885" s="137"/>
      <c r="D885" s="137"/>
      <c r="E885" s="145"/>
      <c r="F885" s="139"/>
      <c r="G885" s="140"/>
      <c r="H885" s="141"/>
      <c r="I885" s="41"/>
      <c r="J885" s="142"/>
      <c r="K885" s="134"/>
      <c r="L885" s="140"/>
    </row>
    <row r="886" ht="22.5" customHeight="1">
      <c r="A886" s="135"/>
      <c r="B886" s="136"/>
      <c r="C886" s="137"/>
      <c r="D886" s="137"/>
      <c r="E886" s="145"/>
      <c r="F886" s="139"/>
      <c r="G886" s="140"/>
      <c r="H886" s="143"/>
      <c r="I886" s="37"/>
      <c r="J886" s="144"/>
      <c r="K886" s="133"/>
      <c r="L886" s="140"/>
    </row>
    <row r="887" ht="22.5" customHeight="1">
      <c r="A887" s="135"/>
      <c r="B887" s="136"/>
      <c r="C887" s="137"/>
      <c r="D887" s="137"/>
      <c r="E887" s="145"/>
      <c r="F887" s="139"/>
      <c r="G887" s="140"/>
      <c r="H887" s="141"/>
      <c r="I887" s="41"/>
      <c r="J887" s="142"/>
      <c r="K887" s="134"/>
      <c r="L887" s="140"/>
    </row>
    <row r="888" ht="22.5" customHeight="1">
      <c r="A888" s="135"/>
      <c r="B888" s="136"/>
      <c r="C888" s="137"/>
      <c r="D888" s="137"/>
      <c r="E888" s="145"/>
      <c r="F888" s="139"/>
      <c r="G888" s="140"/>
      <c r="H888" s="143"/>
      <c r="I888" s="37"/>
      <c r="J888" s="144"/>
      <c r="K888" s="133"/>
      <c r="L888" s="140"/>
    </row>
    <row r="889" ht="22.5" customHeight="1">
      <c r="A889" s="135"/>
      <c r="B889" s="136"/>
      <c r="C889" s="137"/>
      <c r="D889" s="137"/>
      <c r="E889" s="145"/>
      <c r="F889" s="139"/>
      <c r="G889" s="140"/>
      <c r="H889" s="141"/>
      <c r="I889" s="41"/>
      <c r="J889" s="142"/>
      <c r="K889" s="134"/>
      <c r="L889" s="140"/>
    </row>
    <row r="890" ht="22.5" customHeight="1">
      <c r="A890" s="135"/>
      <c r="B890" s="136"/>
      <c r="C890" s="137"/>
      <c r="D890" s="137"/>
      <c r="E890" s="145"/>
      <c r="F890" s="139"/>
      <c r="G890" s="140"/>
      <c r="H890" s="143"/>
      <c r="I890" s="37"/>
      <c r="J890" s="144"/>
      <c r="K890" s="133"/>
      <c r="L890" s="140"/>
    </row>
    <row r="891" ht="22.5" customHeight="1">
      <c r="A891" s="135"/>
      <c r="B891" s="136"/>
      <c r="C891" s="137"/>
      <c r="D891" s="137"/>
      <c r="E891" s="145"/>
      <c r="F891" s="139"/>
      <c r="G891" s="140"/>
      <c r="H891" s="141"/>
      <c r="I891" s="41"/>
      <c r="J891" s="142"/>
      <c r="K891" s="134"/>
      <c r="L891" s="140"/>
    </row>
    <row r="892" ht="22.5" customHeight="1">
      <c r="A892" s="135"/>
      <c r="B892" s="136"/>
      <c r="C892" s="137"/>
      <c r="D892" s="137"/>
      <c r="E892" s="145"/>
      <c r="F892" s="139"/>
      <c r="G892" s="140"/>
      <c r="H892" s="143"/>
      <c r="I892" s="37"/>
      <c r="J892" s="144"/>
      <c r="K892" s="133"/>
      <c r="L892" s="140"/>
    </row>
    <row r="893" ht="22.5" customHeight="1">
      <c r="A893" s="135"/>
      <c r="B893" s="136"/>
      <c r="C893" s="137"/>
      <c r="D893" s="137"/>
      <c r="E893" s="145"/>
      <c r="F893" s="139"/>
      <c r="G893" s="140"/>
      <c r="H893" s="141"/>
      <c r="I893" s="41"/>
      <c r="J893" s="142"/>
      <c r="K893" s="134"/>
      <c r="L893" s="140"/>
    </row>
    <row r="894" ht="22.5" customHeight="1">
      <c r="A894" s="135"/>
      <c r="B894" s="136"/>
      <c r="C894" s="137"/>
      <c r="D894" s="137"/>
      <c r="E894" s="145"/>
      <c r="F894" s="139"/>
      <c r="G894" s="140"/>
      <c r="H894" s="143"/>
      <c r="I894" s="37"/>
      <c r="J894" s="144"/>
      <c r="K894" s="133"/>
      <c r="L894" s="140"/>
    </row>
    <row r="895" ht="22.5" customHeight="1">
      <c r="A895" s="135"/>
      <c r="B895" s="136"/>
      <c r="C895" s="137"/>
      <c r="D895" s="137"/>
      <c r="E895" s="145"/>
      <c r="F895" s="139"/>
      <c r="G895" s="140"/>
      <c r="H895" s="141"/>
      <c r="I895" s="41"/>
      <c r="J895" s="142"/>
      <c r="K895" s="134"/>
      <c r="L895" s="140"/>
    </row>
    <row r="896" ht="22.5" customHeight="1">
      <c r="A896" s="135"/>
      <c r="B896" s="136"/>
      <c r="C896" s="137"/>
      <c r="D896" s="137"/>
      <c r="E896" s="145"/>
      <c r="F896" s="139"/>
      <c r="G896" s="140"/>
      <c r="H896" s="143"/>
      <c r="I896" s="37"/>
      <c r="J896" s="144"/>
      <c r="K896" s="133"/>
      <c r="L896" s="140"/>
    </row>
    <row r="897" ht="22.5" customHeight="1">
      <c r="A897" s="135"/>
      <c r="B897" s="136"/>
      <c r="C897" s="137"/>
      <c r="D897" s="137"/>
      <c r="E897" s="145"/>
      <c r="F897" s="139"/>
      <c r="G897" s="140"/>
      <c r="H897" s="141"/>
      <c r="I897" s="41"/>
      <c r="J897" s="142"/>
      <c r="K897" s="134"/>
      <c r="L897" s="140"/>
    </row>
    <row r="898" ht="22.5" customHeight="1">
      <c r="A898" s="135"/>
      <c r="B898" s="136"/>
      <c r="C898" s="137"/>
      <c r="D898" s="137"/>
      <c r="E898" s="145"/>
      <c r="F898" s="139"/>
      <c r="G898" s="140"/>
      <c r="H898" s="143"/>
      <c r="I898" s="37"/>
      <c r="J898" s="144"/>
      <c r="K898" s="133"/>
      <c r="L898" s="140"/>
    </row>
    <row r="899" ht="22.5" customHeight="1">
      <c r="A899" s="135"/>
      <c r="B899" s="136"/>
      <c r="C899" s="137"/>
      <c r="D899" s="137"/>
      <c r="E899" s="145"/>
      <c r="F899" s="139"/>
      <c r="G899" s="140"/>
      <c r="H899" s="141"/>
      <c r="I899" s="41"/>
      <c r="J899" s="142"/>
      <c r="K899" s="134"/>
      <c r="L899" s="140"/>
    </row>
    <row r="900" ht="22.5" customHeight="1">
      <c r="A900" s="135"/>
      <c r="B900" s="136"/>
      <c r="C900" s="137"/>
      <c r="D900" s="137"/>
      <c r="E900" s="145"/>
      <c r="F900" s="139"/>
      <c r="G900" s="140"/>
      <c r="H900" s="143"/>
      <c r="I900" s="37"/>
      <c r="J900" s="144"/>
      <c r="K900" s="133"/>
      <c r="L900" s="140"/>
    </row>
    <row r="901" ht="22.5" customHeight="1">
      <c r="A901" s="135"/>
      <c r="B901" s="136"/>
      <c r="C901" s="137"/>
      <c r="D901" s="137"/>
      <c r="E901" s="145"/>
      <c r="F901" s="139"/>
      <c r="G901" s="140"/>
      <c r="H901" s="141"/>
      <c r="I901" s="41"/>
      <c r="J901" s="142"/>
      <c r="K901" s="134"/>
      <c r="L901" s="140"/>
    </row>
    <row r="902" ht="22.5" customHeight="1">
      <c r="A902" s="135"/>
      <c r="B902" s="136"/>
      <c r="C902" s="137"/>
      <c r="D902" s="137"/>
      <c r="E902" s="145"/>
      <c r="F902" s="139"/>
      <c r="G902" s="140"/>
      <c r="H902" s="143"/>
      <c r="I902" s="37"/>
      <c r="J902" s="144"/>
      <c r="K902" s="133"/>
      <c r="L902" s="140"/>
    </row>
    <row r="903" ht="22.5" customHeight="1">
      <c r="A903" s="135"/>
      <c r="B903" s="136"/>
      <c r="C903" s="137"/>
      <c r="D903" s="137"/>
      <c r="E903" s="145"/>
      <c r="F903" s="139"/>
      <c r="G903" s="140"/>
      <c r="H903" s="141"/>
      <c r="I903" s="41"/>
      <c r="J903" s="142"/>
      <c r="K903" s="134"/>
      <c r="L903" s="140"/>
    </row>
    <row r="904" ht="22.5" customHeight="1">
      <c r="A904" s="135"/>
      <c r="B904" s="136"/>
      <c r="C904" s="137"/>
      <c r="D904" s="137"/>
      <c r="E904" s="145"/>
      <c r="F904" s="139"/>
      <c r="G904" s="140"/>
      <c r="H904" s="143"/>
      <c r="I904" s="37"/>
      <c r="J904" s="144"/>
      <c r="K904" s="133"/>
      <c r="L904" s="140"/>
    </row>
    <row r="905" ht="22.5" customHeight="1">
      <c r="A905" s="135"/>
      <c r="B905" s="136"/>
      <c r="C905" s="137"/>
      <c r="D905" s="137"/>
      <c r="E905" s="145"/>
      <c r="F905" s="139"/>
      <c r="G905" s="140"/>
      <c r="H905" s="141"/>
      <c r="I905" s="41"/>
      <c r="J905" s="142"/>
      <c r="K905" s="134"/>
      <c r="L905" s="140"/>
    </row>
    <row r="906" ht="22.5" customHeight="1">
      <c r="A906" s="135"/>
      <c r="B906" s="136"/>
      <c r="C906" s="137"/>
      <c r="D906" s="137"/>
      <c r="E906" s="145"/>
      <c r="F906" s="139"/>
      <c r="G906" s="140"/>
      <c r="H906" s="143"/>
      <c r="I906" s="37"/>
      <c r="J906" s="144"/>
      <c r="K906" s="133"/>
      <c r="L906" s="140"/>
    </row>
    <row r="907" ht="22.5" customHeight="1">
      <c r="A907" s="135"/>
      <c r="B907" s="136"/>
      <c r="C907" s="137"/>
      <c r="D907" s="137"/>
      <c r="E907" s="145"/>
      <c r="F907" s="139"/>
      <c r="G907" s="140"/>
      <c r="H907" s="141"/>
      <c r="I907" s="41"/>
      <c r="J907" s="142"/>
      <c r="K907" s="134"/>
      <c r="L907" s="140"/>
    </row>
    <row r="908" ht="22.5" customHeight="1">
      <c r="A908" s="135"/>
      <c r="B908" s="136"/>
      <c r="C908" s="137"/>
      <c r="D908" s="137"/>
      <c r="E908" s="145"/>
      <c r="F908" s="139"/>
      <c r="G908" s="140"/>
      <c r="H908" s="143"/>
      <c r="I908" s="37"/>
      <c r="J908" s="144"/>
      <c r="K908" s="133"/>
      <c r="L908" s="140"/>
    </row>
    <row r="909" ht="22.5" customHeight="1">
      <c r="A909" s="135"/>
      <c r="B909" s="136"/>
      <c r="C909" s="137"/>
      <c r="D909" s="137"/>
      <c r="E909" s="145"/>
      <c r="F909" s="139"/>
      <c r="G909" s="140"/>
      <c r="H909" s="141"/>
      <c r="I909" s="41"/>
      <c r="J909" s="142"/>
      <c r="K909" s="134"/>
      <c r="L909" s="140"/>
    </row>
    <row r="910" ht="22.5" customHeight="1">
      <c r="A910" s="135"/>
      <c r="B910" s="136"/>
      <c r="C910" s="137"/>
      <c r="D910" s="137"/>
      <c r="E910" s="145"/>
      <c r="F910" s="139"/>
      <c r="G910" s="140"/>
      <c r="H910" s="143"/>
      <c r="I910" s="37"/>
      <c r="J910" s="144"/>
      <c r="K910" s="133"/>
      <c r="L910" s="140"/>
    </row>
    <row r="911" ht="22.5" customHeight="1">
      <c r="A911" s="135"/>
      <c r="B911" s="136"/>
      <c r="C911" s="137"/>
      <c r="D911" s="137"/>
      <c r="E911" s="145"/>
      <c r="F911" s="139"/>
      <c r="G911" s="140"/>
      <c r="H911" s="141"/>
      <c r="I911" s="41"/>
      <c r="J911" s="142"/>
      <c r="K911" s="134"/>
      <c r="L911" s="140"/>
    </row>
    <row r="912" ht="22.5" customHeight="1">
      <c r="A912" s="135"/>
      <c r="B912" s="136"/>
      <c r="C912" s="137"/>
      <c r="D912" s="137"/>
      <c r="E912" s="145"/>
      <c r="F912" s="139"/>
      <c r="G912" s="140"/>
      <c r="H912" s="143"/>
      <c r="I912" s="37"/>
      <c r="J912" s="144"/>
      <c r="K912" s="133"/>
      <c r="L912" s="140"/>
    </row>
    <row r="913" ht="22.5" customHeight="1">
      <c r="A913" s="135"/>
      <c r="B913" s="136"/>
      <c r="C913" s="137"/>
      <c r="D913" s="137"/>
      <c r="E913" s="145"/>
      <c r="F913" s="139"/>
      <c r="G913" s="140"/>
      <c r="H913" s="141"/>
      <c r="I913" s="41"/>
      <c r="J913" s="142"/>
      <c r="K913" s="134"/>
      <c r="L913" s="140"/>
    </row>
    <row r="914" ht="22.5" customHeight="1">
      <c r="A914" s="135"/>
      <c r="B914" s="136"/>
      <c r="C914" s="137"/>
      <c r="D914" s="137"/>
      <c r="E914" s="145"/>
      <c r="F914" s="139"/>
      <c r="G914" s="140"/>
      <c r="H914" s="143"/>
      <c r="I914" s="37"/>
      <c r="J914" s="144"/>
      <c r="K914" s="133"/>
      <c r="L914" s="140"/>
    </row>
    <row r="915" ht="22.5" customHeight="1">
      <c r="A915" s="135"/>
      <c r="B915" s="136"/>
      <c r="C915" s="137"/>
      <c r="D915" s="137"/>
      <c r="E915" s="145"/>
      <c r="F915" s="139"/>
      <c r="G915" s="140"/>
      <c r="H915" s="141"/>
      <c r="I915" s="41"/>
      <c r="J915" s="142"/>
      <c r="K915" s="134"/>
      <c r="L915" s="140"/>
    </row>
    <row r="916" ht="22.5" customHeight="1">
      <c r="A916" s="135"/>
      <c r="B916" s="136"/>
      <c r="C916" s="137"/>
      <c r="D916" s="137"/>
      <c r="E916" s="145"/>
      <c r="F916" s="139"/>
      <c r="G916" s="140"/>
      <c r="H916" s="143"/>
      <c r="I916" s="37"/>
      <c r="J916" s="144"/>
      <c r="K916" s="133"/>
      <c r="L916" s="140"/>
    </row>
    <row r="917" ht="22.5" customHeight="1">
      <c r="A917" s="135"/>
      <c r="B917" s="136"/>
      <c r="C917" s="137"/>
      <c r="D917" s="137"/>
      <c r="E917" s="145"/>
      <c r="F917" s="139"/>
      <c r="G917" s="140"/>
      <c r="H917" s="141"/>
      <c r="I917" s="41"/>
      <c r="J917" s="142"/>
      <c r="K917" s="134"/>
      <c r="L917" s="140"/>
    </row>
    <row r="918" ht="22.5" customHeight="1">
      <c r="A918" s="135"/>
      <c r="B918" s="136"/>
      <c r="C918" s="137"/>
      <c r="D918" s="137"/>
      <c r="E918" s="145"/>
      <c r="F918" s="139"/>
      <c r="G918" s="140"/>
      <c r="H918" s="143"/>
      <c r="I918" s="37"/>
      <c r="J918" s="144"/>
      <c r="K918" s="133"/>
      <c r="L918" s="140"/>
    </row>
    <row r="919" ht="22.5" customHeight="1">
      <c r="A919" s="135"/>
      <c r="B919" s="136"/>
      <c r="C919" s="137"/>
      <c r="D919" s="137"/>
      <c r="E919" s="145"/>
      <c r="F919" s="139"/>
      <c r="G919" s="140"/>
      <c r="H919" s="141"/>
      <c r="I919" s="41"/>
      <c r="J919" s="142"/>
      <c r="K919" s="134"/>
      <c r="L919" s="140"/>
    </row>
    <row r="920" ht="22.5" customHeight="1">
      <c r="A920" s="135"/>
      <c r="B920" s="136"/>
      <c r="C920" s="137"/>
      <c r="D920" s="137"/>
      <c r="E920" s="145"/>
      <c r="F920" s="139"/>
      <c r="G920" s="140"/>
      <c r="H920" s="143"/>
      <c r="I920" s="37"/>
      <c r="J920" s="144"/>
      <c r="K920" s="133"/>
      <c r="L920" s="140"/>
    </row>
    <row r="921" ht="22.5" customHeight="1">
      <c r="A921" s="135"/>
      <c r="B921" s="136"/>
      <c r="C921" s="137"/>
      <c r="D921" s="137"/>
      <c r="E921" s="145"/>
      <c r="F921" s="139"/>
      <c r="G921" s="140"/>
      <c r="H921" s="141"/>
      <c r="I921" s="41"/>
      <c r="J921" s="142"/>
      <c r="K921" s="134"/>
      <c r="L921" s="140"/>
    </row>
    <row r="922" ht="22.5" customHeight="1">
      <c r="A922" s="135"/>
      <c r="B922" s="136"/>
      <c r="C922" s="137"/>
      <c r="D922" s="137"/>
      <c r="E922" s="145"/>
      <c r="F922" s="139"/>
      <c r="G922" s="140"/>
      <c r="H922" s="143"/>
      <c r="I922" s="37"/>
      <c r="J922" s="144"/>
      <c r="K922" s="133"/>
      <c r="L922" s="140"/>
    </row>
    <row r="923" ht="22.5" customHeight="1">
      <c r="A923" s="135"/>
      <c r="B923" s="136"/>
      <c r="C923" s="137"/>
      <c r="D923" s="137"/>
      <c r="E923" s="145"/>
      <c r="F923" s="139"/>
      <c r="G923" s="140"/>
      <c r="H923" s="141"/>
      <c r="I923" s="41"/>
      <c r="J923" s="142"/>
      <c r="K923" s="134"/>
      <c r="L923" s="140"/>
    </row>
    <row r="924" ht="22.5" customHeight="1">
      <c r="A924" s="135"/>
      <c r="B924" s="136"/>
      <c r="C924" s="137"/>
      <c r="D924" s="137"/>
      <c r="E924" s="145"/>
      <c r="F924" s="139"/>
      <c r="G924" s="140"/>
      <c r="H924" s="143"/>
      <c r="I924" s="37"/>
      <c r="J924" s="144"/>
      <c r="K924" s="133"/>
      <c r="L924" s="140"/>
    </row>
    <row r="925" ht="22.5" customHeight="1">
      <c r="A925" s="135"/>
      <c r="B925" s="136"/>
      <c r="C925" s="137"/>
      <c r="D925" s="137"/>
      <c r="E925" s="145"/>
      <c r="F925" s="139"/>
      <c r="G925" s="140"/>
      <c r="H925" s="141"/>
      <c r="I925" s="41"/>
      <c r="J925" s="142"/>
      <c r="K925" s="134"/>
      <c r="L925" s="140"/>
    </row>
    <row r="926" ht="22.5" customHeight="1">
      <c r="A926" s="135"/>
      <c r="B926" s="136"/>
      <c r="C926" s="137"/>
      <c r="D926" s="137"/>
      <c r="E926" s="145"/>
      <c r="F926" s="139"/>
      <c r="G926" s="140"/>
      <c r="H926" s="143"/>
      <c r="I926" s="37"/>
      <c r="J926" s="144"/>
      <c r="K926" s="133"/>
      <c r="L926" s="140"/>
    </row>
    <row r="927" ht="22.5" customHeight="1">
      <c r="A927" s="135"/>
      <c r="B927" s="136"/>
      <c r="C927" s="137"/>
      <c r="D927" s="137"/>
      <c r="E927" s="145"/>
      <c r="F927" s="139"/>
      <c r="G927" s="140"/>
      <c r="H927" s="141"/>
      <c r="I927" s="41"/>
      <c r="J927" s="142"/>
      <c r="K927" s="134"/>
      <c r="L927" s="140"/>
    </row>
    <row r="928" ht="22.5" customHeight="1">
      <c r="A928" s="135"/>
      <c r="B928" s="136"/>
      <c r="C928" s="137"/>
      <c r="D928" s="137"/>
      <c r="E928" s="145"/>
      <c r="F928" s="139"/>
      <c r="G928" s="140"/>
      <c r="H928" s="143"/>
      <c r="I928" s="37"/>
      <c r="J928" s="144"/>
      <c r="K928" s="133"/>
      <c r="L928" s="140"/>
    </row>
    <row r="929" ht="22.5" customHeight="1">
      <c r="A929" s="135"/>
      <c r="B929" s="136"/>
      <c r="C929" s="137"/>
      <c r="D929" s="137"/>
      <c r="E929" s="145"/>
      <c r="F929" s="139"/>
      <c r="G929" s="140"/>
      <c r="H929" s="141"/>
      <c r="I929" s="41"/>
      <c r="J929" s="142"/>
      <c r="K929" s="134"/>
      <c r="L929" s="140"/>
    </row>
    <row r="930" ht="22.5" customHeight="1">
      <c r="A930" s="135"/>
      <c r="B930" s="136"/>
      <c r="C930" s="137"/>
      <c r="D930" s="137"/>
      <c r="E930" s="145"/>
      <c r="F930" s="139"/>
      <c r="G930" s="140"/>
      <c r="H930" s="143"/>
      <c r="I930" s="37"/>
      <c r="J930" s="144"/>
      <c r="K930" s="133"/>
      <c r="L930" s="140"/>
    </row>
    <row r="931" ht="22.5" customHeight="1">
      <c r="A931" s="135"/>
      <c r="B931" s="136"/>
      <c r="C931" s="137"/>
      <c r="D931" s="137"/>
      <c r="E931" s="145"/>
      <c r="F931" s="139"/>
      <c r="G931" s="140"/>
      <c r="H931" s="141"/>
      <c r="I931" s="41"/>
      <c r="J931" s="142"/>
      <c r="K931" s="134"/>
      <c r="L931" s="140"/>
    </row>
    <row r="932" ht="22.5" customHeight="1">
      <c r="A932" s="135"/>
      <c r="B932" s="136"/>
      <c r="C932" s="137"/>
      <c r="D932" s="137"/>
      <c r="E932" s="145"/>
      <c r="F932" s="139"/>
      <c r="G932" s="140"/>
      <c r="H932" s="143"/>
      <c r="I932" s="37"/>
      <c r="J932" s="144"/>
      <c r="K932" s="133"/>
      <c r="L932" s="140"/>
    </row>
    <row r="933" ht="22.5" customHeight="1">
      <c r="A933" s="135"/>
      <c r="B933" s="136"/>
      <c r="C933" s="137"/>
      <c r="D933" s="137"/>
      <c r="E933" s="145"/>
      <c r="F933" s="139"/>
      <c r="G933" s="140"/>
      <c r="H933" s="141"/>
      <c r="I933" s="41"/>
      <c r="J933" s="142"/>
      <c r="K933" s="134"/>
      <c r="L933" s="140"/>
    </row>
    <row r="934" ht="22.5" customHeight="1">
      <c r="A934" s="135"/>
      <c r="B934" s="136"/>
      <c r="C934" s="137"/>
      <c r="D934" s="137"/>
      <c r="E934" s="145"/>
      <c r="F934" s="139"/>
      <c r="G934" s="140"/>
      <c r="H934" s="143"/>
      <c r="I934" s="37"/>
      <c r="J934" s="144"/>
      <c r="K934" s="133"/>
      <c r="L934" s="140"/>
    </row>
    <row r="935" ht="22.5" customHeight="1">
      <c r="A935" s="135"/>
      <c r="B935" s="136"/>
      <c r="C935" s="137"/>
      <c r="D935" s="137"/>
      <c r="E935" s="145"/>
      <c r="F935" s="139"/>
      <c r="G935" s="140"/>
      <c r="H935" s="141"/>
      <c r="I935" s="41"/>
      <c r="J935" s="142"/>
      <c r="K935" s="134"/>
      <c r="L935" s="140"/>
    </row>
    <row r="936" ht="22.5" customHeight="1">
      <c r="A936" s="135"/>
      <c r="B936" s="136"/>
      <c r="C936" s="137"/>
      <c r="D936" s="137"/>
      <c r="E936" s="145"/>
      <c r="F936" s="139"/>
      <c r="G936" s="140"/>
      <c r="H936" s="143"/>
      <c r="I936" s="37"/>
      <c r="J936" s="144"/>
      <c r="K936" s="133"/>
      <c r="L936" s="140"/>
    </row>
    <row r="937" ht="22.5" customHeight="1">
      <c r="A937" s="135"/>
      <c r="B937" s="136"/>
      <c r="C937" s="137"/>
      <c r="D937" s="137"/>
      <c r="E937" s="145"/>
      <c r="F937" s="139"/>
      <c r="G937" s="140"/>
      <c r="H937" s="141"/>
      <c r="I937" s="41"/>
      <c r="J937" s="142"/>
      <c r="K937" s="134"/>
      <c r="L937" s="140"/>
    </row>
    <row r="938" ht="22.5" customHeight="1">
      <c r="A938" s="135"/>
      <c r="B938" s="136"/>
      <c r="C938" s="137"/>
      <c r="D938" s="137"/>
      <c r="E938" s="145"/>
      <c r="F938" s="139"/>
      <c r="G938" s="140"/>
      <c r="H938" s="143"/>
      <c r="I938" s="37"/>
      <c r="J938" s="144"/>
      <c r="K938" s="133"/>
      <c r="L938" s="140"/>
    </row>
    <row r="939" ht="22.5" customHeight="1">
      <c r="A939" s="135"/>
      <c r="B939" s="136"/>
      <c r="C939" s="137"/>
      <c r="D939" s="137"/>
      <c r="E939" s="145"/>
      <c r="F939" s="139"/>
      <c r="G939" s="140"/>
      <c r="H939" s="141"/>
      <c r="I939" s="41"/>
      <c r="J939" s="142"/>
      <c r="K939" s="134"/>
      <c r="L939" s="140"/>
    </row>
    <row r="940" ht="22.5" customHeight="1">
      <c r="A940" s="135"/>
      <c r="B940" s="136"/>
      <c r="C940" s="137"/>
      <c r="D940" s="137"/>
      <c r="E940" s="145"/>
      <c r="F940" s="139"/>
      <c r="G940" s="140"/>
      <c r="H940" s="143"/>
      <c r="I940" s="37"/>
      <c r="J940" s="144"/>
      <c r="K940" s="133"/>
      <c r="L940" s="140"/>
    </row>
    <row r="941" ht="22.5" customHeight="1">
      <c r="A941" s="135"/>
      <c r="B941" s="136"/>
      <c r="C941" s="137"/>
      <c r="D941" s="137"/>
      <c r="E941" s="145"/>
      <c r="F941" s="139"/>
      <c r="G941" s="140"/>
      <c r="H941" s="141"/>
      <c r="I941" s="41"/>
      <c r="J941" s="142"/>
      <c r="K941" s="134"/>
      <c r="L941" s="140"/>
    </row>
    <row r="942" ht="22.5" customHeight="1">
      <c r="A942" s="135"/>
      <c r="B942" s="136"/>
      <c r="C942" s="137"/>
      <c r="D942" s="137"/>
      <c r="E942" s="145"/>
      <c r="F942" s="139"/>
      <c r="G942" s="140"/>
      <c r="H942" s="143"/>
      <c r="I942" s="37"/>
      <c r="J942" s="144"/>
      <c r="K942" s="133"/>
      <c r="L942" s="140"/>
    </row>
    <row r="943" ht="22.5" customHeight="1">
      <c r="A943" s="135"/>
      <c r="B943" s="136"/>
      <c r="C943" s="137"/>
      <c r="D943" s="137"/>
      <c r="E943" s="145"/>
      <c r="F943" s="139"/>
      <c r="G943" s="140"/>
      <c r="H943" s="141"/>
      <c r="I943" s="41"/>
      <c r="J943" s="142"/>
      <c r="K943" s="134"/>
      <c r="L943" s="140"/>
    </row>
    <row r="944" ht="22.5" customHeight="1">
      <c r="A944" s="135"/>
      <c r="B944" s="136"/>
      <c r="C944" s="137"/>
      <c r="D944" s="137"/>
      <c r="E944" s="145"/>
      <c r="F944" s="139"/>
      <c r="G944" s="140"/>
      <c r="H944" s="143"/>
      <c r="I944" s="37"/>
      <c r="J944" s="144"/>
      <c r="K944" s="133"/>
      <c r="L944" s="140"/>
    </row>
    <row r="945" ht="22.5" customHeight="1">
      <c r="A945" s="135"/>
      <c r="B945" s="136"/>
      <c r="C945" s="137"/>
      <c r="D945" s="137"/>
      <c r="E945" s="145"/>
      <c r="F945" s="139"/>
      <c r="G945" s="140"/>
      <c r="H945" s="141"/>
      <c r="I945" s="41"/>
      <c r="J945" s="142"/>
      <c r="K945" s="134"/>
      <c r="L945" s="140"/>
    </row>
    <row r="946" ht="22.5" customHeight="1">
      <c r="A946" s="135"/>
      <c r="B946" s="136"/>
      <c r="C946" s="137"/>
      <c r="D946" s="137"/>
      <c r="E946" s="145"/>
      <c r="F946" s="139"/>
      <c r="G946" s="140"/>
      <c r="H946" s="143"/>
      <c r="I946" s="37"/>
      <c r="J946" s="144"/>
      <c r="K946" s="133"/>
      <c r="L946" s="140"/>
    </row>
    <row r="947" ht="22.5" customHeight="1">
      <c r="A947" s="135"/>
      <c r="B947" s="136"/>
      <c r="C947" s="137"/>
      <c r="D947" s="137"/>
      <c r="E947" s="145"/>
      <c r="F947" s="139"/>
      <c r="G947" s="140"/>
      <c r="H947" s="141"/>
      <c r="I947" s="41"/>
      <c r="J947" s="142"/>
      <c r="K947" s="134"/>
      <c r="L947" s="140"/>
    </row>
    <row r="948" ht="22.5" customHeight="1">
      <c r="A948" s="135"/>
      <c r="B948" s="136"/>
      <c r="C948" s="137"/>
      <c r="D948" s="137"/>
      <c r="E948" s="145"/>
      <c r="F948" s="139"/>
      <c r="G948" s="140"/>
      <c r="H948" s="143"/>
      <c r="I948" s="37"/>
      <c r="J948" s="144"/>
      <c r="K948" s="133"/>
      <c r="L948" s="140"/>
    </row>
    <row r="949" ht="22.5" customHeight="1">
      <c r="A949" s="135"/>
      <c r="B949" s="136"/>
      <c r="C949" s="137"/>
      <c r="D949" s="137"/>
      <c r="E949" s="145"/>
      <c r="F949" s="139"/>
      <c r="G949" s="140"/>
      <c r="H949" s="141"/>
      <c r="I949" s="41"/>
      <c r="J949" s="142"/>
      <c r="K949" s="134"/>
      <c r="L949" s="140"/>
    </row>
    <row r="950" ht="22.5" customHeight="1">
      <c r="A950" s="135"/>
      <c r="B950" s="136"/>
      <c r="C950" s="137"/>
      <c r="D950" s="137"/>
      <c r="E950" s="145"/>
      <c r="F950" s="139"/>
      <c r="G950" s="140"/>
      <c r="H950" s="143"/>
      <c r="I950" s="37"/>
      <c r="J950" s="144"/>
      <c r="K950" s="133"/>
      <c r="L950" s="140"/>
    </row>
    <row r="951" ht="22.5" customHeight="1">
      <c r="A951" s="135"/>
      <c r="B951" s="136"/>
      <c r="C951" s="137"/>
      <c r="D951" s="137"/>
      <c r="E951" s="145"/>
      <c r="F951" s="139"/>
      <c r="G951" s="140"/>
      <c r="H951" s="141"/>
      <c r="I951" s="41"/>
      <c r="J951" s="142"/>
      <c r="K951" s="134"/>
      <c r="L951" s="140"/>
    </row>
    <row r="952" ht="22.5" customHeight="1">
      <c r="A952" s="135"/>
      <c r="B952" s="136"/>
      <c r="C952" s="137"/>
      <c r="D952" s="137"/>
      <c r="E952" s="145"/>
      <c r="F952" s="139"/>
      <c r="G952" s="140"/>
      <c r="H952" s="143"/>
      <c r="I952" s="37"/>
      <c r="J952" s="144"/>
      <c r="K952" s="133"/>
      <c r="L952" s="140"/>
    </row>
    <row r="953" ht="22.5" customHeight="1">
      <c r="A953" s="135"/>
      <c r="B953" s="136"/>
      <c r="C953" s="137"/>
      <c r="D953" s="137"/>
      <c r="E953" s="145"/>
      <c r="F953" s="139"/>
      <c r="G953" s="140"/>
      <c r="H953" s="141"/>
      <c r="I953" s="41"/>
      <c r="J953" s="142"/>
      <c r="K953" s="134"/>
      <c r="L953" s="140"/>
    </row>
    <row r="954" ht="22.5" customHeight="1">
      <c r="A954" s="135"/>
      <c r="B954" s="136"/>
      <c r="C954" s="137"/>
      <c r="D954" s="137"/>
      <c r="E954" s="145"/>
      <c r="F954" s="139"/>
      <c r="G954" s="140"/>
      <c r="H954" s="143"/>
      <c r="I954" s="37"/>
      <c r="J954" s="144"/>
      <c r="K954" s="133"/>
      <c r="L954" s="140"/>
    </row>
    <row r="955" ht="22.5" customHeight="1">
      <c r="A955" s="135"/>
      <c r="B955" s="136"/>
      <c r="C955" s="137"/>
      <c r="D955" s="137"/>
      <c r="E955" s="145"/>
      <c r="F955" s="139"/>
      <c r="G955" s="140"/>
      <c r="H955" s="141"/>
      <c r="I955" s="41"/>
      <c r="J955" s="142"/>
      <c r="K955" s="134"/>
      <c r="L955" s="140"/>
    </row>
    <row r="956" ht="22.5" customHeight="1">
      <c r="A956" s="135"/>
      <c r="B956" s="136"/>
      <c r="C956" s="137"/>
      <c r="D956" s="137"/>
      <c r="E956" s="145"/>
      <c r="F956" s="139"/>
      <c r="G956" s="140"/>
      <c r="H956" s="143"/>
      <c r="I956" s="37"/>
      <c r="J956" s="144"/>
      <c r="K956" s="133"/>
      <c r="L956" s="140"/>
    </row>
    <row r="957" ht="22.5" customHeight="1">
      <c r="A957" s="135"/>
      <c r="B957" s="136"/>
      <c r="C957" s="137"/>
      <c r="D957" s="137"/>
      <c r="E957" s="145"/>
      <c r="F957" s="139"/>
      <c r="G957" s="140"/>
      <c r="H957" s="141"/>
      <c r="I957" s="41"/>
      <c r="J957" s="142"/>
      <c r="K957" s="134"/>
      <c r="L957" s="140"/>
    </row>
    <row r="958" ht="22.5" customHeight="1">
      <c r="A958" s="135"/>
      <c r="B958" s="136"/>
      <c r="C958" s="137"/>
      <c r="D958" s="137"/>
      <c r="E958" s="145"/>
      <c r="F958" s="139"/>
      <c r="G958" s="140"/>
      <c r="H958" s="143"/>
      <c r="I958" s="37"/>
      <c r="J958" s="144"/>
      <c r="K958" s="133"/>
      <c r="L958" s="140"/>
    </row>
    <row r="959" ht="22.5" customHeight="1">
      <c r="A959" s="135"/>
      <c r="B959" s="136"/>
      <c r="C959" s="137"/>
      <c r="D959" s="137"/>
      <c r="E959" s="145"/>
      <c r="F959" s="139"/>
      <c r="G959" s="140"/>
      <c r="H959" s="141"/>
      <c r="I959" s="41"/>
      <c r="J959" s="142"/>
      <c r="K959" s="134"/>
      <c r="L959" s="140"/>
    </row>
    <row r="960" ht="22.5" customHeight="1">
      <c r="A960" s="135"/>
      <c r="B960" s="136"/>
      <c r="C960" s="137"/>
      <c r="D960" s="137"/>
      <c r="E960" s="145"/>
      <c r="F960" s="139"/>
      <c r="G960" s="140"/>
      <c r="H960" s="143"/>
      <c r="I960" s="37"/>
      <c r="J960" s="144"/>
      <c r="K960" s="133"/>
      <c r="L960" s="140"/>
    </row>
    <row r="961" ht="22.5" customHeight="1">
      <c r="A961" s="135"/>
      <c r="B961" s="136"/>
      <c r="C961" s="137"/>
      <c r="D961" s="137"/>
      <c r="E961" s="145"/>
      <c r="F961" s="139"/>
      <c r="G961" s="140"/>
      <c r="H961" s="141"/>
      <c r="I961" s="41"/>
      <c r="J961" s="142"/>
      <c r="K961" s="134"/>
      <c r="L961" s="140"/>
    </row>
    <row r="962" ht="22.5" customHeight="1">
      <c r="A962" s="135"/>
      <c r="B962" s="136"/>
      <c r="C962" s="137"/>
      <c r="D962" s="137"/>
      <c r="E962" s="145"/>
      <c r="F962" s="139"/>
      <c r="G962" s="140"/>
      <c r="H962" s="143"/>
      <c r="I962" s="37"/>
      <c r="J962" s="144"/>
      <c r="K962" s="133"/>
      <c r="L962" s="140"/>
    </row>
    <row r="963" ht="22.5" customHeight="1">
      <c r="A963" s="135"/>
      <c r="B963" s="136"/>
      <c r="C963" s="137"/>
      <c r="D963" s="137"/>
      <c r="E963" s="145"/>
      <c r="F963" s="139"/>
      <c r="G963" s="140"/>
      <c r="H963" s="141"/>
      <c r="I963" s="41"/>
      <c r="J963" s="142"/>
      <c r="K963" s="134"/>
      <c r="L963" s="140"/>
    </row>
    <row r="964" ht="22.5" customHeight="1">
      <c r="A964" s="135"/>
      <c r="B964" s="136"/>
      <c r="C964" s="137"/>
      <c r="D964" s="137"/>
      <c r="E964" s="145"/>
      <c r="F964" s="139"/>
      <c r="G964" s="140"/>
      <c r="H964" s="143"/>
      <c r="I964" s="37"/>
      <c r="J964" s="144"/>
      <c r="K964" s="133"/>
      <c r="L964" s="140"/>
    </row>
    <row r="965" ht="22.5" customHeight="1">
      <c r="A965" s="135"/>
      <c r="B965" s="136"/>
      <c r="C965" s="137"/>
      <c r="D965" s="137"/>
      <c r="E965" s="145"/>
      <c r="F965" s="139"/>
      <c r="G965" s="140"/>
      <c r="H965" s="141"/>
      <c r="I965" s="41"/>
      <c r="J965" s="142"/>
      <c r="K965" s="134"/>
      <c r="L965" s="140"/>
    </row>
    <row r="966" ht="22.5" customHeight="1">
      <c r="A966" s="135"/>
      <c r="B966" s="136"/>
      <c r="C966" s="137"/>
      <c r="D966" s="137"/>
      <c r="E966" s="145"/>
      <c r="F966" s="139"/>
      <c r="G966" s="140"/>
      <c r="H966" s="143"/>
      <c r="I966" s="37"/>
      <c r="J966" s="144"/>
      <c r="K966" s="133"/>
      <c r="L966" s="140"/>
    </row>
    <row r="967" ht="22.5" customHeight="1">
      <c r="A967" s="135"/>
      <c r="B967" s="136"/>
      <c r="C967" s="137"/>
      <c r="D967" s="137"/>
      <c r="E967" s="145"/>
      <c r="F967" s="139"/>
      <c r="G967" s="140"/>
      <c r="H967" s="141"/>
      <c r="I967" s="41"/>
      <c r="J967" s="142"/>
      <c r="K967" s="134"/>
      <c r="L967" s="140"/>
    </row>
    <row r="968" ht="22.5" customHeight="1">
      <c r="A968" s="135"/>
      <c r="B968" s="136"/>
      <c r="C968" s="137"/>
      <c r="D968" s="137"/>
      <c r="E968" s="145"/>
      <c r="F968" s="139"/>
      <c r="G968" s="140"/>
      <c r="H968" s="143"/>
      <c r="I968" s="37"/>
      <c r="J968" s="144"/>
      <c r="K968" s="133"/>
      <c r="L968" s="140"/>
    </row>
    <row r="969" ht="22.5" customHeight="1">
      <c r="A969" s="135"/>
      <c r="B969" s="136"/>
      <c r="C969" s="137"/>
      <c r="D969" s="137"/>
      <c r="E969" s="145"/>
      <c r="F969" s="139"/>
      <c r="G969" s="140"/>
      <c r="H969" s="141"/>
      <c r="I969" s="41"/>
      <c r="J969" s="142"/>
      <c r="K969" s="134"/>
      <c r="L969" s="140"/>
    </row>
    <row r="970" ht="22.5" customHeight="1">
      <c r="A970" s="135"/>
      <c r="B970" s="136"/>
      <c r="C970" s="137"/>
      <c r="D970" s="137"/>
      <c r="E970" s="145"/>
      <c r="F970" s="139"/>
      <c r="G970" s="140"/>
      <c r="H970" s="143"/>
      <c r="I970" s="37"/>
      <c r="J970" s="144"/>
      <c r="K970" s="133"/>
      <c r="L970" s="140"/>
    </row>
    <row r="971" ht="22.5" customHeight="1">
      <c r="A971" s="135"/>
      <c r="B971" s="136"/>
      <c r="C971" s="137"/>
      <c r="D971" s="137"/>
      <c r="E971" s="145"/>
      <c r="F971" s="139"/>
      <c r="G971" s="140"/>
      <c r="H971" s="141"/>
      <c r="I971" s="41"/>
      <c r="J971" s="142"/>
      <c r="K971" s="134"/>
      <c r="L971" s="140"/>
    </row>
    <row r="972" ht="22.5" customHeight="1">
      <c r="A972" s="135"/>
      <c r="B972" s="136"/>
      <c r="C972" s="137"/>
      <c r="D972" s="137"/>
      <c r="E972" s="145"/>
      <c r="F972" s="139"/>
      <c r="G972" s="140"/>
      <c r="H972" s="143"/>
      <c r="I972" s="37"/>
      <c r="J972" s="144"/>
      <c r="K972" s="133"/>
      <c r="L972" s="140"/>
    </row>
    <row r="973" ht="22.5" customHeight="1">
      <c r="A973" s="135"/>
      <c r="B973" s="136"/>
      <c r="C973" s="137"/>
      <c r="D973" s="137"/>
      <c r="E973" s="145"/>
      <c r="F973" s="139"/>
      <c r="G973" s="140"/>
      <c r="H973" s="141"/>
      <c r="I973" s="41"/>
      <c r="J973" s="142"/>
      <c r="K973" s="134"/>
      <c r="L973" s="140"/>
    </row>
    <row r="974" ht="22.5" customHeight="1">
      <c r="A974" s="135"/>
      <c r="B974" s="136"/>
      <c r="C974" s="137"/>
      <c r="D974" s="137"/>
      <c r="E974" s="145"/>
      <c r="F974" s="139"/>
      <c r="G974" s="140"/>
      <c r="H974" s="143"/>
      <c r="I974" s="37"/>
      <c r="J974" s="144"/>
      <c r="K974" s="133"/>
      <c r="L974" s="140"/>
    </row>
    <row r="975" ht="22.5" customHeight="1">
      <c r="A975" s="135"/>
      <c r="B975" s="136"/>
      <c r="C975" s="137"/>
      <c r="D975" s="137"/>
      <c r="E975" s="145"/>
      <c r="F975" s="139"/>
      <c r="G975" s="140"/>
      <c r="H975" s="141"/>
      <c r="I975" s="41"/>
      <c r="J975" s="142"/>
      <c r="K975" s="134"/>
      <c r="L975" s="140"/>
    </row>
    <row r="976" ht="22.5" customHeight="1">
      <c r="A976" s="135"/>
      <c r="B976" s="136"/>
      <c r="C976" s="137"/>
      <c r="D976" s="137"/>
      <c r="E976" s="145"/>
      <c r="F976" s="139"/>
      <c r="G976" s="140"/>
      <c r="H976" s="143"/>
      <c r="I976" s="37"/>
      <c r="J976" s="144"/>
      <c r="K976" s="133"/>
      <c r="L976" s="140"/>
    </row>
    <row r="977" ht="22.5" customHeight="1">
      <c r="A977" s="135"/>
      <c r="B977" s="136"/>
      <c r="C977" s="137"/>
      <c r="D977" s="137"/>
      <c r="E977" s="145"/>
      <c r="F977" s="139"/>
      <c r="G977" s="140"/>
      <c r="H977" s="141"/>
      <c r="I977" s="41"/>
      <c r="J977" s="142"/>
      <c r="K977" s="134"/>
      <c r="L977" s="140"/>
    </row>
    <row r="978" ht="22.5" customHeight="1">
      <c r="A978" s="135"/>
      <c r="B978" s="136"/>
      <c r="C978" s="137"/>
      <c r="D978" s="137"/>
      <c r="E978" s="145"/>
      <c r="F978" s="139"/>
      <c r="G978" s="140"/>
      <c r="H978" s="143"/>
      <c r="I978" s="37"/>
      <c r="J978" s="144"/>
      <c r="K978" s="133"/>
      <c r="L978" s="140"/>
    </row>
    <row r="979" ht="22.5" customHeight="1">
      <c r="A979" s="135"/>
      <c r="B979" s="136"/>
      <c r="C979" s="137"/>
      <c r="D979" s="137"/>
      <c r="E979" s="145"/>
      <c r="F979" s="139"/>
      <c r="G979" s="140"/>
      <c r="H979" s="141"/>
      <c r="I979" s="41"/>
      <c r="J979" s="142"/>
      <c r="K979" s="134"/>
      <c r="L979" s="140"/>
    </row>
    <row r="980" ht="22.5" customHeight="1">
      <c r="A980" s="135"/>
      <c r="B980" s="136"/>
      <c r="C980" s="137"/>
      <c r="D980" s="137"/>
      <c r="E980" s="145"/>
      <c r="F980" s="139"/>
      <c r="G980" s="140"/>
      <c r="H980" s="143"/>
      <c r="I980" s="37"/>
      <c r="J980" s="144"/>
      <c r="K980" s="133"/>
      <c r="L980" s="140"/>
    </row>
    <row r="981" ht="22.5" customHeight="1">
      <c r="A981" s="135"/>
      <c r="B981" s="136"/>
      <c r="C981" s="137"/>
      <c r="D981" s="137"/>
      <c r="E981" s="145"/>
      <c r="F981" s="139"/>
      <c r="G981" s="140"/>
      <c r="H981" s="141"/>
      <c r="I981" s="41"/>
      <c r="J981" s="142"/>
      <c r="K981" s="134"/>
      <c r="L981" s="140"/>
    </row>
    <row r="982" ht="22.5" customHeight="1">
      <c r="A982" s="135"/>
      <c r="B982" s="136"/>
      <c r="C982" s="137"/>
      <c r="D982" s="137"/>
      <c r="E982" s="145"/>
      <c r="F982" s="139"/>
      <c r="G982" s="140"/>
      <c r="H982" s="143"/>
      <c r="I982" s="37"/>
      <c r="J982" s="144"/>
      <c r="K982" s="133"/>
      <c r="L982" s="140"/>
    </row>
    <row r="983" ht="22.5" customHeight="1">
      <c r="A983" s="135"/>
      <c r="B983" s="136"/>
      <c r="C983" s="137"/>
      <c r="D983" s="137"/>
      <c r="E983" s="145"/>
      <c r="F983" s="139"/>
      <c r="G983" s="140"/>
      <c r="H983" s="141"/>
      <c r="I983" s="41"/>
      <c r="J983" s="142"/>
      <c r="K983" s="134"/>
      <c r="L983" s="140"/>
    </row>
    <row r="984" ht="22.5" customHeight="1">
      <c r="A984" s="135"/>
      <c r="B984" s="136"/>
      <c r="C984" s="137"/>
      <c r="D984" s="137"/>
      <c r="E984" s="145"/>
      <c r="F984" s="139"/>
      <c r="G984" s="140"/>
      <c r="H984" s="143"/>
      <c r="I984" s="37"/>
      <c r="J984" s="144"/>
      <c r="K984" s="133"/>
      <c r="L984" s="140"/>
    </row>
    <row r="985" ht="22.5" customHeight="1">
      <c r="A985" s="135"/>
      <c r="B985" s="136"/>
      <c r="C985" s="137"/>
      <c r="D985" s="137"/>
      <c r="E985" s="145"/>
      <c r="F985" s="139"/>
      <c r="G985" s="140"/>
      <c r="H985" s="141"/>
      <c r="I985" s="41"/>
      <c r="J985" s="142"/>
      <c r="K985" s="134"/>
      <c r="L985" s="140"/>
    </row>
    <row r="986" ht="22.5" customHeight="1">
      <c r="A986" s="135"/>
      <c r="B986" s="136"/>
      <c r="C986" s="137"/>
      <c r="D986" s="137"/>
      <c r="E986" s="145"/>
      <c r="F986" s="139"/>
      <c r="G986" s="140"/>
      <c r="H986" s="143"/>
      <c r="I986" s="37"/>
      <c r="J986" s="144"/>
      <c r="K986" s="133"/>
      <c r="L986" s="140"/>
    </row>
    <row r="987" ht="22.5" customHeight="1">
      <c r="A987" s="135"/>
      <c r="B987" s="136"/>
      <c r="C987" s="137"/>
      <c r="D987" s="137"/>
      <c r="E987" s="145"/>
      <c r="F987" s="139"/>
      <c r="G987" s="140"/>
      <c r="H987" s="141"/>
      <c r="I987" s="41"/>
      <c r="J987" s="142"/>
      <c r="K987" s="134"/>
      <c r="L987" s="140"/>
    </row>
    <row r="988" ht="22.5" customHeight="1">
      <c r="A988" s="135"/>
      <c r="B988" s="136"/>
      <c r="C988" s="137"/>
      <c r="D988" s="137"/>
      <c r="E988" s="145"/>
      <c r="F988" s="139"/>
      <c r="G988" s="140"/>
      <c r="H988" s="143"/>
      <c r="I988" s="37"/>
      <c r="J988" s="144"/>
      <c r="K988" s="133"/>
      <c r="L988" s="140"/>
    </row>
    <row r="989" ht="22.5" customHeight="1">
      <c r="A989" s="135"/>
      <c r="B989" s="136"/>
      <c r="C989" s="137"/>
      <c r="D989" s="137"/>
      <c r="E989" s="145"/>
      <c r="F989" s="139"/>
      <c r="G989" s="140"/>
      <c r="H989" s="141"/>
      <c r="I989" s="41"/>
      <c r="J989" s="142"/>
      <c r="K989" s="134"/>
      <c r="L989" s="140"/>
    </row>
    <row r="990" ht="22.5" customHeight="1">
      <c r="A990" s="135"/>
      <c r="B990" s="136"/>
      <c r="C990" s="137"/>
      <c r="D990" s="137"/>
      <c r="E990" s="145"/>
      <c r="F990" s="139"/>
      <c r="G990" s="140"/>
      <c r="H990" s="143"/>
      <c r="I990" s="37"/>
      <c r="J990" s="144"/>
      <c r="K990" s="133"/>
      <c r="L990" s="140"/>
    </row>
    <row r="991" ht="22.5" customHeight="1">
      <c r="A991" s="135"/>
      <c r="B991" s="136"/>
      <c r="C991" s="137"/>
      <c r="D991" s="137"/>
      <c r="E991" s="145"/>
      <c r="F991" s="139"/>
      <c r="G991" s="140"/>
      <c r="H991" s="141"/>
      <c r="I991" s="41"/>
      <c r="J991" s="142"/>
      <c r="K991" s="134"/>
      <c r="L991" s="140"/>
    </row>
    <row r="992" ht="22.5" customHeight="1">
      <c r="A992" s="135"/>
      <c r="B992" s="136"/>
      <c r="C992" s="137"/>
      <c r="D992" s="137"/>
      <c r="E992" s="145"/>
      <c r="F992" s="139"/>
      <c r="G992" s="140"/>
      <c r="H992" s="143"/>
      <c r="I992" s="37"/>
      <c r="J992" s="144"/>
      <c r="K992" s="133"/>
      <c r="L992" s="140"/>
    </row>
    <row r="993" ht="22.5" customHeight="1">
      <c r="A993" s="135"/>
      <c r="B993" s="136"/>
      <c r="C993" s="137"/>
      <c r="D993" s="137"/>
      <c r="E993" s="145"/>
      <c r="F993" s="139"/>
      <c r="G993" s="140"/>
      <c r="H993" s="141"/>
      <c r="I993" s="41"/>
      <c r="J993" s="142"/>
      <c r="K993" s="134"/>
      <c r="L993" s="140"/>
    </row>
    <row r="994" ht="22.5" customHeight="1">
      <c r="A994" s="135"/>
      <c r="B994" s="136"/>
      <c r="C994" s="137"/>
      <c r="D994" s="137"/>
      <c r="E994" s="145"/>
      <c r="F994" s="139"/>
      <c r="G994" s="140"/>
      <c r="H994" s="143"/>
      <c r="I994" s="37"/>
      <c r="J994" s="144"/>
      <c r="K994" s="133"/>
      <c r="L994" s="140"/>
    </row>
    <row r="995" ht="22.5" customHeight="1">
      <c r="A995" s="135"/>
      <c r="B995" s="136"/>
      <c r="C995" s="137"/>
      <c r="D995" s="137"/>
      <c r="E995" s="145"/>
      <c r="F995" s="139"/>
      <c r="G995" s="140"/>
      <c r="H995" s="141"/>
      <c r="I995" s="41"/>
      <c r="J995" s="142"/>
      <c r="K995" s="134"/>
      <c r="L995" s="140"/>
    </row>
    <row r="996" ht="22.5" customHeight="1">
      <c r="A996" s="135"/>
      <c r="B996" s="136"/>
      <c r="C996" s="137"/>
      <c r="D996" s="137"/>
      <c r="E996" s="145"/>
      <c r="F996" s="139"/>
      <c r="G996" s="140"/>
      <c r="H996" s="143"/>
      <c r="I996" s="37"/>
      <c r="J996" s="144"/>
      <c r="K996" s="133"/>
      <c r="L996" s="140"/>
    </row>
    <row r="997" ht="22.5" customHeight="1">
      <c r="A997" s="135"/>
      <c r="B997" s="136"/>
      <c r="C997" s="137"/>
      <c r="D997" s="137"/>
      <c r="E997" s="145"/>
      <c r="F997" s="139"/>
      <c r="G997" s="140"/>
      <c r="H997" s="141"/>
      <c r="I997" s="41"/>
      <c r="J997" s="142"/>
      <c r="K997" s="134"/>
      <c r="L997" s="140"/>
    </row>
    <row r="998" ht="22.5" customHeight="1">
      <c r="A998" s="135"/>
      <c r="B998" s="136"/>
      <c r="C998" s="137"/>
      <c r="D998" s="137"/>
      <c r="E998" s="145"/>
      <c r="F998" s="139"/>
      <c r="G998" s="140"/>
      <c r="H998" s="143"/>
      <c r="I998" s="37"/>
      <c r="J998" s="144"/>
      <c r="K998" s="133"/>
      <c r="L998" s="140"/>
    </row>
    <row r="999" ht="22.5" customHeight="1">
      <c r="A999" s="135"/>
      <c r="B999" s="136"/>
      <c r="C999" s="137"/>
      <c r="D999" s="137"/>
      <c r="E999" s="145"/>
      <c r="F999" s="139"/>
      <c r="G999" s="140"/>
      <c r="H999" s="141"/>
      <c r="I999" s="41"/>
      <c r="J999" s="142"/>
      <c r="K999" s="134"/>
      <c r="L999" s="140"/>
    </row>
    <row r="1000" ht="22.5" customHeight="1">
      <c r="A1000" s="135"/>
      <c r="B1000" s="136"/>
      <c r="C1000" s="137"/>
      <c r="D1000" s="137"/>
      <c r="E1000" s="145"/>
      <c r="F1000" s="139"/>
      <c r="G1000" s="140"/>
      <c r="H1000" s="146"/>
      <c r="I1000" s="43"/>
      <c r="J1000" s="147"/>
      <c r="K1000" s="148"/>
      <c r="L1000" s="140"/>
    </row>
    <row r="1001" ht="22.5" customHeight="1">
      <c r="A1001" s="135"/>
      <c r="B1001" s="136"/>
      <c r="C1001" s="137"/>
      <c r="D1001" s="137"/>
      <c r="E1001" s="145"/>
      <c r="F1001" s="139"/>
      <c r="G1001" s="140"/>
      <c r="H1001" s="139"/>
      <c r="I1001" s="149"/>
      <c r="J1001" s="150"/>
      <c r="K1001" s="150"/>
      <c r="L1001" s="140"/>
    </row>
  </sheetData>
  <dataValidations>
    <dataValidation type="list" allowBlank="1" sqref="J2:J220">
      <formula1>"Done,In Progress,Leave"</formula1>
    </dataValidation>
    <dataValidation type="list" allowBlank="1" sqref="I2:I1001">
      <formula1>"Ground Truth,Tagging,Video Annotations,Data Collection,Preset,Segmentation,BBOX,Keypoints,Data Cleaning,Others"</formula1>
    </dataValidation>
    <dataValidation type="list" allowBlank="1" sqref="E2:E1001">
      <formula1>"Done,In Progress,Leave"</formula1>
    </dataValidation>
    <dataValidation type="custom" allowBlank="1" showDropDown="1" showErrorMessage="1" sqref="A2:A1001">
      <formula1>OR(NOT(ISERROR(DATEVALUE(A2))), AND(ISNUMBER(A2), LEFT(CELL("format", A2))="D"))</formula1>
    </dataValidation>
    <dataValidation type="list" allowBlank="1" sqref="C2:C1001">
      <formula1>"nephroplus,Adult RD,Netra,ICU Automation,vSitter,Airways, VRASS,CPOT,Respiratory Distress,object_detection_bed_occupancy"</formula1>
    </dataValidation>
    <dataValidation type="list" allowBlank="1" sqref="H2:H220">
      <formula1>"nephroplus,Adult RD,Netra,ICU Automation,vSitter,Airways, VRASS,CPOT,Respiratory Distress,object_detection_bed_occupancy"</formula1>
    </dataValidation>
    <dataValidation type="list" allowBlank="1" sqref="B2:B1001">
      <formula1>"Deekshith,Chandrashekar,Nagaharinadh,Suman Kanoj,Sagar Hiremat,Saraswathi,Prerana,Mouli Prakash,Manovya,Pranav,Raghavan,Rohit,Abusaad"</formula1>
    </dataValidation>
    <dataValidation type="list" allowBlank="1" sqref="D2:D1001">
      <formula1>"Ground Truth,Tagging,Video Annotations, Data Collection,Preset,Segmentation,BBOX,Keypoints, Data Cleaning,Others"</formula1>
    </dataValidation>
    <dataValidation allowBlank="1" showDropDown="1" sqref="G2:G1001 L2:L1001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18.0"/>
    <col customWidth="1" min="3" max="3" width="20.75"/>
    <col customWidth="1" min="4" max="4" width="21.13"/>
    <col customWidth="1" min="6" max="6" width="30.0"/>
    <col customWidth="1" min="7" max="7" width="68.0"/>
  </cols>
  <sheetData>
    <row r="1">
      <c r="A1" s="151" t="s">
        <v>27</v>
      </c>
      <c r="B1" s="151" t="s">
        <v>1</v>
      </c>
      <c r="C1" s="151" t="s">
        <v>2</v>
      </c>
      <c r="D1" s="151" t="s">
        <v>3</v>
      </c>
      <c r="E1" s="152" t="s">
        <v>4</v>
      </c>
      <c r="F1" s="151" t="s">
        <v>5</v>
      </c>
      <c r="G1" s="151" t="s">
        <v>10</v>
      </c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</row>
    <row r="2">
      <c r="A2" s="154">
        <v>45985.0</v>
      </c>
      <c r="B2" s="155" t="s">
        <v>141</v>
      </c>
      <c r="C2" s="155" t="s">
        <v>50</v>
      </c>
      <c r="D2" s="155" t="s">
        <v>50</v>
      </c>
      <c r="E2" s="156" t="s">
        <v>20</v>
      </c>
      <c r="F2" s="157"/>
      <c r="G2" s="158"/>
      <c r="H2" s="159"/>
      <c r="I2" s="160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</row>
    <row r="3">
      <c r="A3" s="154">
        <v>45986.0</v>
      </c>
      <c r="B3" s="155" t="s">
        <v>141</v>
      </c>
      <c r="C3" s="156" t="s">
        <v>89</v>
      </c>
      <c r="D3" s="156" t="s">
        <v>87</v>
      </c>
      <c r="E3" s="156" t="s">
        <v>20</v>
      </c>
      <c r="F3" s="157"/>
      <c r="G3" s="161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</row>
    <row r="4">
      <c r="A4" s="154">
        <v>45987.0</v>
      </c>
      <c r="B4" s="155" t="s">
        <v>141</v>
      </c>
      <c r="C4" s="156" t="s">
        <v>98</v>
      </c>
      <c r="D4" s="156" t="s">
        <v>98</v>
      </c>
      <c r="E4" s="156" t="s">
        <v>20</v>
      </c>
      <c r="F4" s="157"/>
      <c r="G4" s="161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</row>
    <row r="5">
      <c r="A5" s="154">
        <v>45988.0</v>
      </c>
      <c r="B5" s="155" t="s">
        <v>141</v>
      </c>
      <c r="C5" s="156" t="s">
        <v>70</v>
      </c>
      <c r="D5" s="156" t="s">
        <v>142</v>
      </c>
      <c r="E5" s="156" t="s">
        <v>20</v>
      </c>
      <c r="F5" s="157"/>
      <c r="G5" s="162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</row>
    <row r="6">
      <c r="A6" s="154">
        <v>45989.0</v>
      </c>
      <c r="B6" s="155" t="s">
        <v>141</v>
      </c>
      <c r="C6" s="156" t="s">
        <v>70</v>
      </c>
      <c r="D6" s="156" t="s">
        <v>142</v>
      </c>
      <c r="E6" s="156" t="s">
        <v>20</v>
      </c>
      <c r="F6" s="157"/>
      <c r="G6" s="161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</row>
    <row r="7">
      <c r="A7" s="154">
        <v>45992.0</v>
      </c>
      <c r="B7" s="155" t="s">
        <v>141</v>
      </c>
      <c r="C7" s="156" t="s">
        <v>89</v>
      </c>
      <c r="D7" s="156" t="s">
        <v>87</v>
      </c>
      <c r="E7" s="156" t="s">
        <v>20</v>
      </c>
      <c r="F7" s="157"/>
      <c r="G7" s="161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</row>
    <row r="8">
      <c r="A8" s="154">
        <v>45993.0</v>
      </c>
      <c r="B8" s="155" t="s">
        <v>141</v>
      </c>
      <c r="C8" s="156" t="s">
        <v>89</v>
      </c>
      <c r="D8" s="156" t="s">
        <v>87</v>
      </c>
      <c r="E8" s="156" t="s">
        <v>20</v>
      </c>
      <c r="F8" s="157"/>
      <c r="G8" s="161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</row>
    <row r="9">
      <c r="A9" s="154">
        <v>45994.0</v>
      </c>
      <c r="B9" s="155" t="s">
        <v>141</v>
      </c>
      <c r="C9" s="156" t="s">
        <v>89</v>
      </c>
      <c r="D9" s="156" t="s">
        <v>87</v>
      </c>
      <c r="E9" s="156" t="s">
        <v>20</v>
      </c>
      <c r="F9" s="157"/>
      <c r="G9" s="161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</row>
    <row r="10">
      <c r="A10" s="154">
        <v>45995.0</v>
      </c>
      <c r="B10" s="155" t="s">
        <v>141</v>
      </c>
      <c r="C10" s="156" t="s">
        <v>89</v>
      </c>
      <c r="D10" s="156" t="s">
        <v>87</v>
      </c>
      <c r="E10" s="156" t="s">
        <v>20</v>
      </c>
      <c r="F10" s="157"/>
      <c r="G10" s="161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</row>
    <row r="11">
      <c r="A11" s="154">
        <v>45996.0</v>
      </c>
      <c r="B11" s="155" t="s">
        <v>141</v>
      </c>
      <c r="C11" s="156" t="s">
        <v>89</v>
      </c>
      <c r="D11" s="156" t="s">
        <v>87</v>
      </c>
      <c r="E11" s="156" t="s">
        <v>20</v>
      </c>
      <c r="F11" s="157"/>
      <c r="G11" s="161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</row>
    <row r="12">
      <c r="A12" s="154">
        <v>45999.0</v>
      </c>
      <c r="B12" s="155" t="s">
        <v>141</v>
      </c>
      <c r="C12" s="156" t="s">
        <v>89</v>
      </c>
      <c r="D12" s="156" t="s">
        <v>87</v>
      </c>
      <c r="E12" s="156" t="s">
        <v>20</v>
      </c>
      <c r="F12" s="157"/>
      <c r="G12" s="161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</row>
    <row r="13">
      <c r="A13" s="154">
        <v>46000.0</v>
      </c>
      <c r="B13" s="155" t="s">
        <v>141</v>
      </c>
      <c r="C13" s="156" t="s">
        <v>89</v>
      </c>
      <c r="D13" s="156" t="s">
        <v>87</v>
      </c>
      <c r="E13" s="156" t="s">
        <v>20</v>
      </c>
      <c r="F13" s="157"/>
      <c r="G13" s="161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</row>
    <row r="14">
      <c r="A14" s="154">
        <v>46001.0</v>
      </c>
      <c r="B14" s="155" t="s">
        <v>141</v>
      </c>
      <c r="C14" s="156" t="s">
        <v>89</v>
      </c>
      <c r="D14" s="156" t="s">
        <v>87</v>
      </c>
      <c r="E14" s="156" t="s">
        <v>20</v>
      </c>
      <c r="F14" s="157"/>
      <c r="G14" s="161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</row>
    <row r="15">
      <c r="A15" s="154">
        <v>46002.0</v>
      </c>
      <c r="B15" s="155" t="s">
        <v>141</v>
      </c>
      <c r="C15" s="156"/>
      <c r="D15" s="156"/>
      <c r="E15" s="155" t="s">
        <v>29</v>
      </c>
      <c r="F15" s="157"/>
      <c r="G15" s="161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</row>
    <row r="16">
      <c r="A16" s="154">
        <v>46003.0</v>
      </c>
      <c r="B16" s="155" t="s">
        <v>141</v>
      </c>
      <c r="C16" s="156" t="s">
        <v>89</v>
      </c>
      <c r="D16" s="156" t="s">
        <v>87</v>
      </c>
      <c r="E16" s="156" t="s">
        <v>20</v>
      </c>
      <c r="F16" s="157"/>
      <c r="G16" s="161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</row>
    <row r="17">
      <c r="A17" s="154">
        <v>46006.0</v>
      </c>
      <c r="B17" s="155" t="s">
        <v>141</v>
      </c>
      <c r="C17" s="156" t="s">
        <v>89</v>
      </c>
      <c r="D17" s="156" t="s">
        <v>87</v>
      </c>
      <c r="E17" s="156" t="s">
        <v>20</v>
      </c>
      <c r="F17" s="157"/>
      <c r="G17" s="161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</row>
    <row r="18">
      <c r="A18" s="154">
        <v>46007.0</v>
      </c>
      <c r="B18" s="155" t="s">
        <v>141</v>
      </c>
      <c r="C18" s="156" t="s">
        <v>89</v>
      </c>
      <c r="D18" s="156" t="s">
        <v>87</v>
      </c>
      <c r="E18" s="156" t="s">
        <v>20</v>
      </c>
      <c r="F18" s="157"/>
      <c r="G18" s="161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</row>
    <row r="19">
      <c r="A19" s="154">
        <v>46008.0</v>
      </c>
      <c r="B19" s="155" t="s">
        <v>141</v>
      </c>
      <c r="C19" s="156" t="s">
        <v>89</v>
      </c>
      <c r="D19" s="156" t="s">
        <v>87</v>
      </c>
      <c r="E19" s="156" t="s">
        <v>20</v>
      </c>
      <c r="F19" s="157"/>
      <c r="G19" s="161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</row>
    <row r="20">
      <c r="A20" s="154">
        <v>46009.0</v>
      </c>
      <c r="B20" s="155" t="s">
        <v>141</v>
      </c>
      <c r="C20" s="156" t="s">
        <v>89</v>
      </c>
      <c r="D20" s="156" t="s">
        <v>87</v>
      </c>
      <c r="E20" s="156" t="s">
        <v>20</v>
      </c>
      <c r="F20" s="157"/>
      <c r="G20" s="161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</row>
    <row r="21">
      <c r="A21" s="154">
        <v>46010.0</v>
      </c>
      <c r="B21" s="155" t="s">
        <v>141</v>
      </c>
      <c r="C21" s="156" t="s">
        <v>89</v>
      </c>
      <c r="D21" s="156" t="s">
        <v>87</v>
      </c>
      <c r="E21" s="156" t="s">
        <v>20</v>
      </c>
      <c r="F21" s="157"/>
      <c r="G21" s="161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</row>
    <row r="22">
      <c r="A22" s="154">
        <v>46013.0</v>
      </c>
      <c r="B22" s="155" t="s">
        <v>141</v>
      </c>
      <c r="C22" s="156" t="s">
        <v>89</v>
      </c>
      <c r="D22" s="156" t="s">
        <v>87</v>
      </c>
      <c r="E22" s="156" t="s">
        <v>20</v>
      </c>
      <c r="F22" s="157"/>
      <c r="G22" s="161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</row>
    <row r="23">
      <c r="A23" s="154">
        <v>46014.0</v>
      </c>
      <c r="B23" s="155" t="s">
        <v>141</v>
      </c>
      <c r="C23" s="156" t="s">
        <v>40</v>
      </c>
      <c r="D23" s="156" t="s">
        <v>47</v>
      </c>
      <c r="E23" s="156" t="s">
        <v>20</v>
      </c>
      <c r="F23" s="157"/>
      <c r="G23" s="16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</row>
    <row r="24">
      <c r="A24" s="154">
        <v>46015.0</v>
      </c>
      <c r="B24" s="155" t="s">
        <v>141</v>
      </c>
      <c r="C24" s="156" t="s">
        <v>40</v>
      </c>
      <c r="D24" s="156" t="s">
        <v>47</v>
      </c>
      <c r="E24" s="156" t="s">
        <v>20</v>
      </c>
      <c r="F24" s="157"/>
      <c r="G24" s="16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</row>
    <row r="25">
      <c r="A25" s="154">
        <v>46016.0</v>
      </c>
      <c r="B25" s="155" t="s">
        <v>141</v>
      </c>
      <c r="C25" s="164"/>
      <c r="D25" s="164"/>
      <c r="E25" s="155" t="s">
        <v>143</v>
      </c>
      <c r="F25" s="164"/>
      <c r="G25" s="164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</row>
    <row r="26">
      <c r="A26" s="154">
        <v>46017.0</v>
      </c>
      <c r="B26" s="155" t="s">
        <v>141</v>
      </c>
      <c r="C26" s="164"/>
      <c r="D26" s="164"/>
      <c r="E26" s="156" t="s">
        <v>29</v>
      </c>
      <c r="F26" s="164"/>
      <c r="G26" s="164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</row>
    <row r="27">
      <c r="A27" s="154">
        <v>46020.0</v>
      </c>
      <c r="B27" s="155" t="s">
        <v>141</v>
      </c>
      <c r="C27" s="164"/>
      <c r="D27" s="164"/>
      <c r="E27" s="156" t="s">
        <v>29</v>
      </c>
      <c r="F27" s="164"/>
      <c r="G27" s="164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</row>
    <row r="28">
      <c r="A28" s="154">
        <v>46021.0</v>
      </c>
      <c r="B28" s="155" t="s">
        <v>141</v>
      </c>
      <c r="C28" s="156" t="s">
        <v>89</v>
      </c>
      <c r="D28" s="156" t="s">
        <v>87</v>
      </c>
      <c r="E28" s="156" t="s">
        <v>20</v>
      </c>
      <c r="F28" s="157"/>
      <c r="G28" s="161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</row>
    <row r="29">
      <c r="A29" s="154">
        <v>46022.0</v>
      </c>
      <c r="B29" s="155" t="s">
        <v>141</v>
      </c>
      <c r="C29" s="156" t="s">
        <v>89</v>
      </c>
      <c r="D29" s="156" t="s">
        <v>87</v>
      </c>
      <c r="E29" s="156" t="s">
        <v>20</v>
      </c>
      <c r="F29" s="157"/>
      <c r="G29" s="161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</row>
    <row r="30">
      <c r="A30" s="154">
        <v>46023.0</v>
      </c>
      <c r="B30" s="155" t="s">
        <v>141</v>
      </c>
      <c r="C30" s="156"/>
      <c r="D30" s="156"/>
      <c r="E30" s="155" t="s">
        <v>29</v>
      </c>
      <c r="F30" s="157"/>
      <c r="G30" s="161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</row>
    <row r="31">
      <c r="A31" s="154">
        <v>46024.0</v>
      </c>
      <c r="B31" s="155" t="s">
        <v>141</v>
      </c>
      <c r="C31" s="156" t="s">
        <v>89</v>
      </c>
      <c r="D31" s="156" t="s">
        <v>87</v>
      </c>
      <c r="E31" s="156" t="s">
        <v>20</v>
      </c>
      <c r="F31" s="157"/>
      <c r="G31" s="161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</row>
    <row r="32">
      <c r="A32" s="154">
        <v>46027.0</v>
      </c>
      <c r="B32" s="155" t="s">
        <v>141</v>
      </c>
      <c r="C32" s="155"/>
      <c r="D32" s="156"/>
      <c r="E32" s="155" t="s">
        <v>29</v>
      </c>
      <c r="F32" s="157"/>
      <c r="G32" s="161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</row>
    <row r="33">
      <c r="A33" s="154">
        <v>46028.0</v>
      </c>
      <c r="B33" s="155" t="s">
        <v>141</v>
      </c>
      <c r="C33" s="156"/>
      <c r="D33" s="156"/>
      <c r="E33" s="155" t="s">
        <v>29</v>
      </c>
      <c r="F33" s="157"/>
      <c r="G33" s="161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</row>
    <row r="34">
      <c r="A34" s="154">
        <v>46029.0</v>
      </c>
      <c r="B34" s="155" t="s">
        <v>141</v>
      </c>
      <c r="C34" s="156"/>
      <c r="D34" s="156"/>
      <c r="E34" s="155" t="s">
        <v>29</v>
      </c>
      <c r="F34" s="157"/>
      <c r="G34" s="161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</row>
    <row r="35">
      <c r="A35" s="154">
        <v>46030.0</v>
      </c>
      <c r="B35" s="155" t="s">
        <v>141</v>
      </c>
      <c r="C35" s="165" t="s">
        <v>98</v>
      </c>
      <c r="D35" s="165" t="s">
        <v>98</v>
      </c>
      <c r="E35" s="165" t="s">
        <v>20</v>
      </c>
      <c r="F35" s="164"/>
      <c r="G35" s="164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</row>
    <row r="36">
      <c r="A36" s="154">
        <v>46031.0</v>
      </c>
      <c r="B36" s="155" t="s">
        <v>141</v>
      </c>
      <c r="C36" s="165" t="s">
        <v>98</v>
      </c>
      <c r="D36" s="165" t="s">
        <v>98</v>
      </c>
      <c r="E36" s="165" t="s">
        <v>20</v>
      </c>
      <c r="F36" s="164"/>
      <c r="G36" s="164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  <c r="Z36" s="153"/>
      <c r="AA36" s="153"/>
      <c r="AB36" s="153"/>
      <c r="AC36" s="153"/>
    </row>
    <row r="37">
      <c r="A37" s="166"/>
      <c r="B37" s="166"/>
      <c r="C37" s="166"/>
      <c r="D37" s="166"/>
      <c r="E37" s="166"/>
      <c r="F37" s="166"/>
      <c r="G37" s="166"/>
    </row>
    <row r="38">
      <c r="A38" s="166"/>
      <c r="B38" s="166"/>
      <c r="C38" s="166"/>
      <c r="D38" s="166"/>
      <c r="E38" s="166"/>
      <c r="F38" s="166"/>
      <c r="G38" s="166"/>
    </row>
    <row r="39">
      <c r="A39" s="166"/>
      <c r="B39" s="166"/>
      <c r="C39" s="166"/>
      <c r="D39" s="166"/>
      <c r="E39" s="166"/>
      <c r="F39" s="166"/>
      <c r="G39" s="166"/>
    </row>
    <row r="40">
      <c r="A40" s="166"/>
      <c r="B40" s="166"/>
      <c r="C40" s="166"/>
      <c r="D40" s="166"/>
      <c r="E40" s="166"/>
      <c r="F40" s="166"/>
      <c r="G40" s="166"/>
    </row>
    <row r="41">
      <c r="A41" s="166"/>
      <c r="B41" s="166"/>
      <c r="C41" s="166"/>
      <c r="D41" s="166"/>
      <c r="E41" s="166"/>
      <c r="F41" s="166"/>
      <c r="G41" s="166"/>
    </row>
    <row r="42">
      <c r="A42" s="166"/>
      <c r="B42" s="166"/>
      <c r="C42" s="166"/>
      <c r="D42" s="166"/>
      <c r="E42" s="166"/>
      <c r="F42" s="166"/>
      <c r="G42" s="166"/>
    </row>
    <row r="43">
      <c r="A43" s="166"/>
      <c r="B43" s="166"/>
      <c r="C43" s="166"/>
      <c r="D43" s="166"/>
      <c r="E43" s="166"/>
      <c r="F43" s="166"/>
      <c r="G43" s="166"/>
    </row>
    <row r="44">
      <c r="A44" s="166"/>
      <c r="B44" s="166"/>
      <c r="C44" s="166"/>
      <c r="D44" s="166"/>
      <c r="E44" s="166"/>
      <c r="F44" s="166"/>
      <c r="G44" s="166"/>
    </row>
    <row r="45">
      <c r="A45" s="166"/>
      <c r="B45" s="166"/>
      <c r="C45" s="166"/>
      <c r="D45" s="166"/>
      <c r="E45" s="166"/>
      <c r="F45" s="166"/>
      <c r="G45" s="166"/>
    </row>
    <row r="46">
      <c r="A46" s="166"/>
      <c r="B46" s="166"/>
      <c r="C46" s="166"/>
      <c r="D46" s="166"/>
      <c r="E46" s="166"/>
      <c r="F46" s="166"/>
      <c r="G46" s="166"/>
    </row>
    <row r="47">
      <c r="A47" s="166"/>
      <c r="B47" s="166"/>
      <c r="C47" s="166"/>
      <c r="D47" s="166"/>
      <c r="E47" s="166"/>
      <c r="F47" s="166"/>
      <c r="G47" s="166"/>
    </row>
    <row r="48">
      <c r="A48" s="166"/>
      <c r="B48" s="166"/>
      <c r="C48" s="166"/>
      <c r="D48" s="166"/>
      <c r="E48" s="166"/>
      <c r="F48" s="166"/>
      <c r="G48" s="166"/>
    </row>
    <row r="49">
      <c r="A49" s="166"/>
      <c r="B49" s="166"/>
      <c r="C49" s="166"/>
      <c r="D49" s="166"/>
      <c r="E49" s="166"/>
      <c r="F49" s="166"/>
      <c r="G49" s="166"/>
    </row>
    <row r="50">
      <c r="A50" s="166"/>
      <c r="B50" s="166"/>
      <c r="C50" s="166"/>
      <c r="D50" s="166"/>
      <c r="E50" s="166"/>
      <c r="F50" s="166"/>
      <c r="G50" s="166"/>
    </row>
    <row r="51">
      <c r="A51" s="166"/>
      <c r="B51" s="166"/>
      <c r="C51" s="166"/>
      <c r="D51" s="166"/>
      <c r="E51" s="166"/>
      <c r="F51" s="166"/>
      <c r="G51" s="166"/>
    </row>
    <row r="52">
      <c r="A52" s="166"/>
      <c r="B52" s="166"/>
      <c r="C52" s="166"/>
      <c r="D52" s="166"/>
      <c r="E52" s="166"/>
      <c r="F52" s="166"/>
      <c r="G52" s="166"/>
    </row>
    <row r="53">
      <c r="A53" s="166"/>
      <c r="B53" s="166"/>
      <c r="C53" s="166"/>
      <c r="D53" s="166"/>
      <c r="E53" s="166"/>
      <c r="F53" s="166"/>
      <c r="G53" s="166"/>
    </row>
    <row r="54">
      <c r="A54" s="166"/>
      <c r="B54" s="166"/>
      <c r="C54" s="166"/>
      <c r="D54" s="166"/>
      <c r="E54" s="166"/>
      <c r="F54" s="166"/>
      <c r="G54" s="166"/>
    </row>
    <row r="55">
      <c r="A55" s="166"/>
      <c r="B55" s="166"/>
      <c r="C55" s="166"/>
      <c r="D55" s="166"/>
      <c r="E55" s="166"/>
      <c r="F55" s="166"/>
      <c r="G55" s="166"/>
    </row>
    <row r="56">
      <c r="A56" s="166"/>
      <c r="B56" s="166"/>
      <c r="C56" s="166"/>
      <c r="D56" s="166"/>
      <c r="E56" s="166"/>
      <c r="F56" s="166"/>
      <c r="G56" s="166"/>
    </row>
    <row r="57">
      <c r="A57" s="166"/>
      <c r="B57" s="166"/>
      <c r="C57" s="166"/>
      <c r="D57" s="166"/>
      <c r="E57" s="166"/>
      <c r="F57" s="166"/>
      <c r="G57" s="166"/>
    </row>
    <row r="58">
      <c r="A58" s="166"/>
      <c r="B58" s="166"/>
      <c r="C58" s="166"/>
      <c r="D58" s="166"/>
      <c r="E58" s="166"/>
      <c r="F58" s="166"/>
      <c r="G58" s="166"/>
    </row>
    <row r="59">
      <c r="A59" s="166"/>
      <c r="B59" s="166"/>
      <c r="C59" s="166"/>
      <c r="D59" s="166"/>
      <c r="E59" s="166"/>
      <c r="F59" s="166"/>
      <c r="G59" s="166"/>
    </row>
    <row r="60">
      <c r="A60" s="166"/>
      <c r="B60" s="166"/>
      <c r="C60" s="166"/>
      <c r="D60" s="166"/>
      <c r="E60" s="166"/>
      <c r="F60" s="166"/>
      <c r="G60" s="166"/>
    </row>
    <row r="61">
      <c r="A61" s="166"/>
      <c r="B61" s="166"/>
      <c r="C61" s="166"/>
      <c r="D61" s="166"/>
      <c r="E61" s="166"/>
      <c r="F61" s="166"/>
      <c r="G61" s="166"/>
    </row>
    <row r="62">
      <c r="A62" s="166"/>
      <c r="B62" s="166"/>
      <c r="C62" s="166"/>
      <c r="D62" s="166"/>
      <c r="E62" s="166"/>
      <c r="F62" s="166"/>
      <c r="G62" s="166"/>
    </row>
    <row r="63">
      <c r="A63" s="166"/>
      <c r="B63" s="166"/>
      <c r="C63" s="166"/>
      <c r="D63" s="166"/>
      <c r="E63" s="166"/>
      <c r="F63" s="166"/>
      <c r="G63" s="166"/>
    </row>
    <row r="64">
      <c r="A64" s="166"/>
      <c r="B64" s="166"/>
      <c r="C64" s="166"/>
      <c r="D64" s="166"/>
      <c r="E64" s="166"/>
      <c r="F64" s="166"/>
      <c r="G64" s="166"/>
    </row>
    <row r="65">
      <c r="A65" s="166"/>
      <c r="B65" s="166"/>
      <c r="C65" s="166"/>
      <c r="D65" s="166"/>
      <c r="E65" s="166"/>
      <c r="F65" s="166"/>
      <c r="G65" s="166"/>
    </row>
    <row r="66">
      <c r="A66" s="166"/>
      <c r="B66" s="166"/>
      <c r="C66" s="166"/>
      <c r="D66" s="166"/>
      <c r="E66" s="166"/>
      <c r="F66" s="166"/>
      <c r="G66" s="166"/>
    </row>
    <row r="67">
      <c r="A67" s="166"/>
      <c r="B67" s="166"/>
      <c r="C67" s="166"/>
      <c r="D67" s="166"/>
      <c r="E67" s="166"/>
      <c r="F67" s="166"/>
      <c r="G67" s="166"/>
    </row>
    <row r="68">
      <c r="A68" s="166"/>
      <c r="B68" s="166"/>
      <c r="C68" s="166"/>
      <c r="D68" s="166"/>
      <c r="E68" s="166"/>
      <c r="F68" s="166"/>
      <c r="G68" s="166"/>
    </row>
    <row r="69">
      <c r="A69" s="166"/>
      <c r="B69" s="166"/>
      <c r="C69" s="166"/>
      <c r="D69" s="166"/>
      <c r="E69" s="166"/>
      <c r="F69" s="166"/>
      <c r="G69" s="166"/>
    </row>
    <row r="70">
      <c r="A70" s="166"/>
      <c r="B70" s="166"/>
      <c r="C70" s="166"/>
      <c r="D70" s="166"/>
      <c r="E70" s="166"/>
      <c r="F70" s="166"/>
      <c r="G70" s="166"/>
    </row>
    <row r="71">
      <c r="A71" s="166"/>
      <c r="B71" s="166"/>
      <c r="C71" s="166"/>
      <c r="D71" s="166"/>
      <c r="E71" s="166"/>
      <c r="F71" s="166"/>
      <c r="G71" s="166"/>
    </row>
    <row r="72">
      <c r="A72" s="166"/>
      <c r="B72" s="166"/>
      <c r="C72" s="166"/>
      <c r="D72" s="166"/>
      <c r="E72" s="166"/>
      <c r="F72" s="166"/>
      <c r="G72" s="166"/>
    </row>
    <row r="73">
      <c r="A73" s="166"/>
      <c r="B73" s="166"/>
      <c r="C73" s="166"/>
      <c r="D73" s="166"/>
      <c r="E73" s="166"/>
      <c r="F73" s="166"/>
      <c r="G73" s="166"/>
    </row>
    <row r="74">
      <c r="A74" s="166"/>
      <c r="B74" s="166"/>
      <c r="C74" s="166"/>
      <c r="D74" s="166"/>
      <c r="E74" s="166"/>
      <c r="F74" s="166"/>
      <c r="G74" s="166"/>
    </row>
    <row r="75">
      <c r="A75" s="166"/>
      <c r="B75" s="166"/>
      <c r="C75" s="166"/>
      <c r="D75" s="166"/>
      <c r="E75" s="166"/>
      <c r="F75" s="166"/>
      <c r="G75" s="166"/>
    </row>
    <row r="76">
      <c r="A76" s="166"/>
      <c r="B76" s="166"/>
      <c r="C76" s="166"/>
      <c r="D76" s="166"/>
      <c r="E76" s="166"/>
      <c r="F76" s="166"/>
      <c r="G76" s="166"/>
    </row>
    <row r="77">
      <c r="A77" s="166"/>
      <c r="B77" s="166"/>
      <c r="C77" s="166"/>
      <c r="D77" s="166"/>
      <c r="E77" s="166"/>
      <c r="F77" s="166"/>
      <c r="G77" s="166"/>
    </row>
    <row r="78">
      <c r="A78" s="166"/>
      <c r="B78" s="166"/>
      <c r="C78" s="166"/>
      <c r="D78" s="166"/>
      <c r="E78" s="166"/>
      <c r="F78" s="166"/>
      <c r="G78" s="166"/>
    </row>
    <row r="79">
      <c r="A79" s="166"/>
      <c r="B79" s="166"/>
      <c r="C79" s="166"/>
      <c r="D79" s="166"/>
      <c r="E79" s="166"/>
      <c r="F79" s="166"/>
      <c r="G79" s="166"/>
    </row>
    <row r="80">
      <c r="A80" s="166"/>
      <c r="B80" s="166"/>
      <c r="C80" s="166"/>
      <c r="D80" s="166"/>
      <c r="E80" s="166"/>
      <c r="F80" s="166"/>
      <c r="G80" s="166"/>
    </row>
    <row r="81">
      <c r="A81" s="166"/>
      <c r="B81" s="166"/>
      <c r="C81" s="166"/>
      <c r="D81" s="166"/>
      <c r="E81" s="166"/>
      <c r="F81" s="166"/>
      <c r="G81" s="166"/>
    </row>
    <row r="82">
      <c r="A82" s="166"/>
      <c r="B82" s="166"/>
      <c r="C82" s="166"/>
      <c r="D82" s="166"/>
      <c r="E82" s="166"/>
      <c r="F82" s="166"/>
      <c r="G82" s="166"/>
    </row>
    <row r="83">
      <c r="A83" s="166"/>
      <c r="B83" s="166"/>
      <c r="C83" s="166"/>
      <c r="D83" s="166"/>
      <c r="E83" s="166"/>
      <c r="F83" s="166"/>
      <c r="G83" s="166"/>
    </row>
    <row r="84">
      <c r="A84" s="166"/>
      <c r="B84" s="166"/>
      <c r="C84" s="166"/>
      <c r="D84" s="166"/>
      <c r="E84" s="166"/>
      <c r="F84" s="166"/>
      <c r="G84" s="166"/>
    </row>
    <row r="85">
      <c r="A85" s="166"/>
      <c r="B85" s="166"/>
      <c r="C85" s="166"/>
      <c r="D85" s="166"/>
      <c r="E85" s="166"/>
      <c r="F85" s="166"/>
      <c r="G85" s="166"/>
    </row>
    <row r="86">
      <c r="A86" s="166"/>
      <c r="B86" s="166"/>
      <c r="C86" s="166"/>
      <c r="D86" s="166"/>
      <c r="E86" s="166"/>
      <c r="F86" s="166"/>
      <c r="G86" s="166"/>
    </row>
    <row r="87">
      <c r="A87" s="166"/>
      <c r="B87" s="166"/>
      <c r="C87" s="166"/>
      <c r="D87" s="166"/>
      <c r="E87" s="166"/>
      <c r="F87" s="166"/>
      <c r="G87" s="166"/>
    </row>
    <row r="88">
      <c r="A88" s="166"/>
      <c r="B88" s="166"/>
      <c r="C88" s="166"/>
      <c r="D88" s="166"/>
      <c r="E88" s="166"/>
      <c r="F88" s="166"/>
      <c r="G88" s="166"/>
    </row>
    <row r="89">
      <c r="A89" s="166"/>
      <c r="B89" s="166"/>
      <c r="C89" s="166"/>
      <c r="D89" s="166"/>
      <c r="E89" s="166"/>
      <c r="F89" s="166"/>
      <c r="G89" s="166"/>
    </row>
    <row r="90">
      <c r="A90" s="166"/>
      <c r="B90" s="166"/>
      <c r="C90" s="166"/>
      <c r="D90" s="166"/>
      <c r="E90" s="166"/>
      <c r="F90" s="166"/>
      <c r="G90" s="166"/>
    </row>
    <row r="91">
      <c r="A91" s="166"/>
      <c r="B91" s="166"/>
      <c r="C91" s="166"/>
      <c r="D91" s="166"/>
      <c r="E91" s="166"/>
      <c r="F91" s="166"/>
      <c r="G91" s="166"/>
    </row>
    <row r="92">
      <c r="A92" s="166"/>
      <c r="B92" s="166"/>
      <c r="C92" s="166"/>
      <c r="D92" s="166"/>
      <c r="E92" s="166"/>
      <c r="F92" s="166"/>
      <c r="G92" s="166"/>
    </row>
    <row r="93">
      <c r="A93" s="166"/>
      <c r="B93" s="166"/>
      <c r="C93" s="166"/>
      <c r="D93" s="166"/>
      <c r="E93" s="166"/>
      <c r="F93" s="166"/>
      <c r="G93" s="166"/>
    </row>
    <row r="94">
      <c r="A94" s="166"/>
      <c r="B94" s="166"/>
      <c r="C94" s="166"/>
      <c r="D94" s="166"/>
      <c r="E94" s="166"/>
      <c r="F94" s="166"/>
      <c r="G94" s="166"/>
    </row>
    <row r="95">
      <c r="A95" s="166"/>
      <c r="B95" s="166"/>
      <c r="C95" s="166"/>
      <c r="D95" s="166"/>
      <c r="E95" s="166"/>
      <c r="F95" s="166"/>
      <c r="G95" s="166"/>
    </row>
    <row r="96">
      <c r="A96" s="166"/>
      <c r="B96" s="166"/>
      <c r="C96" s="166"/>
      <c r="D96" s="166"/>
      <c r="E96" s="166"/>
      <c r="F96" s="166"/>
      <c r="G96" s="166"/>
    </row>
    <row r="97">
      <c r="A97" s="166"/>
      <c r="B97" s="166"/>
      <c r="C97" s="166"/>
      <c r="D97" s="166"/>
      <c r="E97" s="166"/>
      <c r="F97" s="166"/>
      <c r="G97" s="166"/>
    </row>
    <row r="98">
      <c r="A98" s="166"/>
      <c r="B98" s="166"/>
      <c r="C98" s="166"/>
      <c r="D98" s="166"/>
      <c r="E98" s="166"/>
      <c r="F98" s="166"/>
      <c r="G98" s="166"/>
    </row>
    <row r="99">
      <c r="A99" s="166"/>
      <c r="B99" s="166"/>
      <c r="C99" s="166"/>
      <c r="D99" s="166"/>
      <c r="E99" s="166"/>
      <c r="F99" s="166"/>
      <c r="G99" s="166"/>
    </row>
    <row r="100">
      <c r="A100" s="166"/>
      <c r="B100" s="166"/>
      <c r="C100" s="166"/>
      <c r="D100" s="166"/>
      <c r="E100" s="166"/>
      <c r="F100" s="166"/>
      <c r="G100" s="166"/>
    </row>
  </sheetData>
  <dataValidations>
    <dataValidation type="custom" allowBlank="1" showDropDown="1" showErrorMessage="1" sqref="A2:A36">
      <formula1>OR(NOT(ISERROR(DATEVALUE(A2))), AND(ISNUMBER(A2), LEFT(CELL("format", A2))="D"))</formula1>
    </dataValidation>
    <dataValidation type="list" allowBlank="1" sqref="D2:D36">
      <formula1>"Ground Truth,Tagging,Video Annotations,Data Collection,Preset,Segmentation,BBOX,Keypoints,Data Cleaning,Others"</formula1>
    </dataValidation>
    <dataValidation type="list" allowBlank="1" sqref="B2:B36">
      <formula1>"Deekshith,Chandrashekar,Nagaharinadh,Suman Kanoj,Sagar Hiremat,Saraswathi,Prerana,Mouli Prakash,Manovya,Pranav,Raghavan,Rohit,Abusaad"</formula1>
    </dataValidation>
    <dataValidation type="list" allowBlank="1" sqref="C2:C36">
      <formula1>"nephroplus,Adult RD,Netra,ICU Automation,vSitter,Airways,VRASS,CPOT,Respiratory Distress,Mask On/Off Classification,Others,Preset"</formula1>
    </dataValidation>
    <dataValidation type="list" allowBlank="1" sqref="E2:E36">
      <formula1>"Done,In Progress,Leave,Optional Leave"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8.25"/>
    <col customWidth="1" min="3" max="3" width="27.75"/>
    <col customWidth="1" min="4" max="4" width="28.25"/>
    <col customWidth="1" min="5" max="5" width="24.75"/>
    <col customWidth="1" min="6" max="6" width="26.75"/>
    <col customWidth="1" min="7" max="7" width="68.75"/>
  </cols>
  <sheetData>
    <row r="1" ht="22.5" customHeight="1">
      <c r="A1" s="132" t="s">
        <v>27</v>
      </c>
      <c r="B1" s="132" t="s">
        <v>1</v>
      </c>
      <c r="C1" s="132" t="s">
        <v>2</v>
      </c>
      <c r="D1" s="132" t="s">
        <v>3</v>
      </c>
      <c r="E1" s="167" t="s">
        <v>4</v>
      </c>
      <c r="F1" s="132" t="s">
        <v>5</v>
      </c>
      <c r="G1" s="132" t="s">
        <v>10</v>
      </c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ht="22.5" customHeight="1">
      <c r="A2" s="93">
        <v>45901.0</v>
      </c>
      <c r="B2" s="48" t="s">
        <v>144</v>
      </c>
      <c r="C2" s="169" t="s">
        <v>18</v>
      </c>
      <c r="D2" s="169" t="s">
        <v>145</v>
      </c>
      <c r="E2" s="48" t="s">
        <v>20</v>
      </c>
      <c r="F2" s="132">
        <v>70.0</v>
      </c>
      <c r="G2" s="132" t="s">
        <v>146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ht="22.5" customHeight="1">
      <c r="A3" s="93">
        <v>45902.0</v>
      </c>
      <c r="B3" s="48" t="s">
        <v>144</v>
      </c>
      <c r="C3" s="169" t="s">
        <v>18</v>
      </c>
      <c r="D3" s="169" t="s">
        <v>145</v>
      </c>
      <c r="E3" s="48" t="s">
        <v>20</v>
      </c>
      <c r="F3" s="132">
        <v>48.0</v>
      </c>
      <c r="G3" s="132" t="s">
        <v>21</v>
      </c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ht="22.5" customHeight="1">
      <c r="A4" s="93">
        <v>45903.0</v>
      </c>
      <c r="B4" s="48" t="s">
        <v>144</v>
      </c>
      <c r="C4" s="169" t="s">
        <v>18</v>
      </c>
      <c r="D4" s="169" t="s">
        <v>145</v>
      </c>
      <c r="E4" s="48" t="s">
        <v>20</v>
      </c>
      <c r="F4" s="132">
        <v>92.0</v>
      </c>
      <c r="G4" s="132" t="s">
        <v>21</v>
      </c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ht="22.5" customHeight="1">
      <c r="A5" s="93">
        <v>45904.0</v>
      </c>
      <c r="B5" s="48" t="s">
        <v>144</v>
      </c>
      <c r="C5" s="169" t="s">
        <v>18</v>
      </c>
      <c r="D5" s="169" t="s">
        <v>145</v>
      </c>
      <c r="E5" s="48" t="s">
        <v>20</v>
      </c>
      <c r="F5" s="132">
        <v>81.0</v>
      </c>
      <c r="G5" s="132" t="s">
        <v>21</v>
      </c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ht="22.5" customHeight="1">
      <c r="A6" s="93">
        <v>45905.0</v>
      </c>
      <c r="B6" s="48" t="s">
        <v>144</v>
      </c>
      <c r="C6" s="170"/>
      <c r="D6" s="170"/>
      <c r="E6" s="48" t="s">
        <v>29</v>
      </c>
      <c r="F6" s="132"/>
      <c r="G6" s="171" t="s">
        <v>147</v>
      </c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ht="22.5" customHeight="1">
      <c r="A7" s="93">
        <v>45908.0</v>
      </c>
      <c r="B7" s="48" t="s">
        <v>144</v>
      </c>
      <c r="C7" s="169" t="s">
        <v>89</v>
      </c>
      <c r="D7" s="169" t="s">
        <v>23</v>
      </c>
      <c r="E7" s="48" t="s">
        <v>20</v>
      </c>
      <c r="F7" s="132">
        <v>1177.0</v>
      </c>
      <c r="G7" s="24" t="s">
        <v>24</v>
      </c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ht="22.5" customHeight="1">
      <c r="A8" s="93">
        <v>45909.0</v>
      </c>
      <c r="B8" s="48" t="s">
        <v>144</v>
      </c>
      <c r="C8" s="169" t="s">
        <v>89</v>
      </c>
      <c r="D8" s="169" t="s">
        <v>23</v>
      </c>
      <c r="E8" s="48" t="s">
        <v>20</v>
      </c>
      <c r="F8" s="172">
        <v>8245.0</v>
      </c>
      <c r="G8" s="24" t="s">
        <v>24</v>
      </c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ht="22.5" customHeight="1">
      <c r="A9" s="93">
        <v>45910.0</v>
      </c>
      <c r="B9" s="48" t="s">
        <v>144</v>
      </c>
      <c r="C9" s="169" t="s">
        <v>89</v>
      </c>
      <c r="D9" s="169" t="s">
        <v>23</v>
      </c>
      <c r="E9" s="48" t="s">
        <v>20</v>
      </c>
      <c r="F9" s="172">
        <v>4157.0</v>
      </c>
      <c r="G9" s="24" t="s">
        <v>24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ht="22.5" customHeight="1">
      <c r="A10" s="93">
        <v>45911.0</v>
      </c>
      <c r="B10" s="48" t="s">
        <v>144</v>
      </c>
      <c r="C10" s="169" t="s">
        <v>18</v>
      </c>
      <c r="D10" s="169" t="s">
        <v>145</v>
      </c>
      <c r="E10" s="48" t="s">
        <v>20</v>
      </c>
      <c r="F10" s="172">
        <v>50.0</v>
      </c>
      <c r="G10" s="24" t="s">
        <v>148</v>
      </c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ht="22.5" customHeight="1">
      <c r="A11" s="93">
        <v>45912.0</v>
      </c>
      <c r="B11" s="48" t="s">
        <v>144</v>
      </c>
      <c r="C11" s="169" t="s">
        <v>18</v>
      </c>
      <c r="D11" s="169" t="s">
        <v>145</v>
      </c>
      <c r="E11" s="48" t="s">
        <v>20</v>
      </c>
      <c r="F11" s="172">
        <v>20.0</v>
      </c>
      <c r="G11" s="24" t="s">
        <v>25</v>
      </c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ht="22.5" customHeight="1">
      <c r="A12" s="93">
        <v>45915.0</v>
      </c>
      <c r="B12" s="48" t="s">
        <v>144</v>
      </c>
      <c r="C12" s="173" t="s">
        <v>18</v>
      </c>
      <c r="D12" s="173" t="s">
        <v>145</v>
      </c>
      <c r="E12" s="48" t="s">
        <v>20</v>
      </c>
      <c r="F12" s="24">
        <v>30.0</v>
      </c>
      <c r="G12" s="24" t="s">
        <v>25</v>
      </c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ht="22.5" customHeight="1">
      <c r="A13" s="93">
        <v>45916.0</v>
      </c>
      <c r="B13" s="48" t="s">
        <v>144</v>
      </c>
      <c r="C13" s="173" t="s">
        <v>18</v>
      </c>
      <c r="D13" s="173" t="s">
        <v>145</v>
      </c>
      <c r="E13" s="48" t="s">
        <v>20</v>
      </c>
      <c r="F13" s="24">
        <v>30.0</v>
      </c>
      <c r="G13" s="24" t="s">
        <v>149</v>
      </c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ht="22.5" customHeight="1">
      <c r="A14" s="93">
        <v>45917.0</v>
      </c>
      <c r="B14" s="48" t="s">
        <v>144</v>
      </c>
      <c r="C14" s="173" t="s">
        <v>89</v>
      </c>
      <c r="D14" s="173" t="s">
        <v>23</v>
      </c>
      <c r="E14" s="48" t="s">
        <v>20</v>
      </c>
      <c r="F14" s="24">
        <v>2010.0</v>
      </c>
      <c r="G14" s="24" t="s">
        <v>26</v>
      </c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ht="22.5" customHeight="1">
      <c r="A15" s="93">
        <v>45918.0</v>
      </c>
      <c r="B15" s="48" t="s">
        <v>144</v>
      </c>
      <c r="C15" s="173" t="s">
        <v>89</v>
      </c>
      <c r="D15" s="173" t="s">
        <v>23</v>
      </c>
      <c r="E15" s="48" t="s">
        <v>20</v>
      </c>
      <c r="F15" s="24">
        <v>1117.0</v>
      </c>
      <c r="G15" s="24" t="s">
        <v>26</v>
      </c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ht="22.5" customHeight="1">
      <c r="A16" s="93">
        <v>45919.0</v>
      </c>
      <c r="B16" s="48" t="s">
        <v>144</v>
      </c>
      <c r="C16" s="173" t="s">
        <v>89</v>
      </c>
      <c r="D16" s="173" t="s">
        <v>23</v>
      </c>
      <c r="E16" s="48" t="s">
        <v>20</v>
      </c>
      <c r="F16" s="24">
        <v>1510.0</v>
      </c>
      <c r="G16" s="24" t="s">
        <v>26</v>
      </c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ht="22.5" customHeight="1">
      <c r="A17" s="93">
        <v>45922.0</v>
      </c>
      <c r="B17" s="48" t="s">
        <v>144</v>
      </c>
      <c r="C17" s="173" t="s">
        <v>89</v>
      </c>
      <c r="D17" s="173" t="s">
        <v>23</v>
      </c>
      <c r="E17" s="48" t="s">
        <v>20</v>
      </c>
      <c r="F17" s="172">
        <v>2600.0</v>
      </c>
      <c r="G17" s="24" t="s">
        <v>150</v>
      </c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ht="22.5" customHeight="1">
      <c r="A18" s="93">
        <v>45923.0</v>
      </c>
      <c r="B18" s="48" t="s">
        <v>144</v>
      </c>
      <c r="C18" s="174"/>
      <c r="D18" s="174"/>
      <c r="E18" s="48" t="s">
        <v>29</v>
      </c>
      <c r="F18" s="172"/>
      <c r="G18" s="172" t="s">
        <v>29</v>
      </c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ht="22.5" customHeight="1">
      <c r="A19" s="93">
        <v>45924.0</v>
      </c>
      <c r="B19" s="48" t="s">
        <v>144</v>
      </c>
      <c r="C19" s="173" t="s">
        <v>18</v>
      </c>
      <c r="D19" s="173" t="s">
        <v>145</v>
      </c>
      <c r="E19" s="48" t="s">
        <v>20</v>
      </c>
      <c r="F19" s="24">
        <v>30.0</v>
      </c>
      <c r="G19" s="132" t="s">
        <v>151</v>
      </c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ht="22.5" customHeight="1">
      <c r="A20" s="93">
        <v>45925.0</v>
      </c>
      <c r="B20" s="48" t="s">
        <v>144</v>
      </c>
      <c r="C20" s="173" t="s">
        <v>18</v>
      </c>
      <c r="D20" s="173" t="s">
        <v>145</v>
      </c>
      <c r="E20" s="48" t="s">
        <v>20</v>
      </c>
      <c r="F20" s="24">
        <v>25.0</v>
      </c>
      <c r="G20" s="132" t="s">
        <v>152</v>
      </c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ht="22.5" customHeight="1">
      <c r="A21" s="93">
        <v>45926.0</v>
      </c>
      <c r="B21" s="48" t="s">
        <v>144</v>
      </c>
      <c r="C21" s="173" t="s">
        <v>18</v>
      </c>
      <c r="D21" s="173" t="s">
        <v>145</v>
      </c>
      <c r="E21" s="48" t="s">
        <v>20</v>
      </c>
      <c r="F21" s="24">
        <v>85.0</v>
      </c>
      <c r="G21" s="132" t="s">
        <v>152</v>
      </c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ht="22.5" customHeight="1">
      <c r="A22" s="93">
        <v>45929.0</v>
      </c>
      <c r="B22" s="48" t="s">
        <v>144</v>
      </c>
      <c r="C22" s="173" t="s">
        <v>18</v>
      </c>
      <c r="D22" s="173" t="s">
        <v>145</v>
      </c>
      <c r="E22" s="48" t="s">
        <v>20</v>
      </c>
      <c r="F22" s="172">
        <v>94.0</v>
      </c>
      <c r="G22" s="24" t="s">
        <v>153</v>
      </c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ht="22.5" customHeight="1">
      <c r="A23" s="93">
        <v>45930.0</v>
      </c>
      <c r="B23" s="48" t="s">
        <v>144</v>
      </c>
      <c r="C23" s="173" t="s">
        <v>18</v>
      </c>
      <c r="D23" s="173" t="s">
        <v>145</v>
      </c>
      <c r="E23" s="48" t="s">
        <v>20</v>
      </c>
      <c r="F23" s="172">
        <v>88.0</v>
      </c>
      <c r="G23" s="24" t="s">
        <v>153</v>
      </c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ht="22.5" customHeight="1">
      <c r="A24" s="93">
        <v>45931.0</v>
      </c>
      <c r="B24" s="48" t="s">
        <v>144</v>
      </c>
      <c r="C24" s="174"/>
      <c r="D24" s="174"/>
      <c r="E24" s="48" t="s">
        <v>29</v>
      </c>
      <c r="F24" s="172"/>
      <c r="G24" s="171" t="s">
        <v>154</v>
      </c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ht="22.5" customHeight="1">
      <c r="A25" s="93">
        <v>45933.0</v>
      </c>
      <c r="B25" s="48" t="s">
        <v>144</v>
      </c>
      <c r="C25" s="174"/>
      <c r="D25" s="174"/>
      <c r="E25" s="48" t="s">
        <v>29</v>
      </c>
      <c r="F25" s="172"/>
      <c r="G25" s="172" t="s">
        <v>29</v>
      </c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ht="22.5" customHeight="1">
      <c r="A26" s="93">
        <v>45936.0</v>
      </c>
      <c r="B26" s="48" t="s">
        <v>144</v>
      </c>
      <c r="C26" s="173" t="s">
        <v>155</v>
      </c>
      <c r="D26" s="173" t="s">
        <v>145</v>
      </c>
      <c r="E26" s="48" t="s">
        <v>20</v>
      </c>
      <c r="F26" s="24">
        <v>50.0</v>
      </c>
      <c r="G26" s="24" t="s">
        <v>156</v>
      </c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ht="22.5" customHeight="1">
      <c r="A27" s="93">
        <v>45937.0</v>
      </c>
      <c r="B27" s="48" t="s">
        <v>144</v>
      </c>
      <c r="C27" s="173" t="s">
        <v>155</v>
      </c>
      <c r="D27" s="173" t="s">
        <v>145</v>
      </c>
      <c r="E27" s="48" t="s">
        <v>20</v>
      </c>
      <c r="F27" s="24">
        <v>377.0</v>
      </c>
      <c r="G27" s="24" t="s">
        <v>157</v>
      </c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ht="22.5" customHeight="1">
      <c r="A28" s="93">
        <v>45938.0</v>
      </c>
      <c r="B28" s="48" t="s">
        <v>144</v>
      </c>
      <c r="C28" s="173" t="s">
        <v>155</v>
      </c>
      <c r="D28" s="173" t="s">
        <v>145</v>
      </c>
      <c r="E28" s="48" t="s">
        <v>20</v>
      </c>
      <c r="F28" s="24">
        <v>390.0</v>
      </c>
      <c r="G28" s="24" t="s">
        <v>158</v>
      </c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ht="22.5" customHeight="1">
      <c r="A29" s="93">
        <v>45939.0</v>
      </c>
      <c r="B29" s="48" t="s">
        <v>144</v>
      </c>
      <c r="C29" s="173" t="s">
        <v>155</v>
      </c>
      <c r="D29" s="173" t="s">
        <v>145</v>
      </c>
      <c r="E29" s="48" t="s">
        <v>20</v>
      </c>
      <c r="F29" s="24">
        <v>74.0</v>
      </c>
      <c r="G29" s="132" t="s">
        <v>159</v>
      </c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ht="22.5" customHeight="1">
      <c r="A30" s="93">
        <v>45940.0</v>
      </c>
      <c r="B30" s="48" t="s">
        <v>144</v>
      </c>
      <c r="C30" s="173" t="s">
        <v>155</v>
      </c>
      <c r="D30" s="173" t="s">
        <v>145</v>
      </c>
      <c r="E30" s="48" t="s">
        <v>20</v>
      </c>
      <c r="F30" s="24">
        <v>45.0</v>
      </c>
      <c r="G30" s="132" t="s">
        <v>160</v>
      </c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ht="22.5" customHeight="1">
      <c r="A31" s="93">
        <v>45943.0</v>
      </c>
      <c r="B31" s="48" t="s">
        <v>144</v>
      </c>
      <c r="C31" s="173" t="s">
        <v>155</v>
      </c>
      <c r="D31" s="173" t="s">
        <v>145</v>
      </c>
      <c r="E31" s="48" t="s">
        <v>20</v>
      </c>
      <c r="F31" s="24">
        <v>70.0</v>
      </c>
      <c r="G31" s="132" t="s">
        <v>161</v>
      </c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ht="22.5" customHeight="1">
      <c r="A32" s="93">
        <v>45944.0</v>
      </c>
      <c r="B32" s="48" t="s">
        <v>144</v>
      </c>
      <c r="C32" s="173" t="s">
        <v>155</v>
      </c>
      <c r="D32" s="173" t="s">
        <v>145</v>
      </c>
      <c r="E32" s="48" t="s">
        <v>20</v>
      </c>
      <c r="F32" s="24">
        <v>752.0</v>
      </c>
      <c r="G32" s="132" t="s">
        <v>162</v>
      </c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ht="22.5" customHeight="1">
      <c r="A33" s="93">
        <v>45945.0</v>
      </c>
      <c r="B33" s="48" t="s">
        <v>144</v>
      </c>
      <c r="C33" s="173" t="s">
        <v>40</v>
      </c>
      <c r="D33" s="173" t="s">
        <v>145</v>
      </c>
      <c r="E33" s="48" t="s">
        <v>20</v>
      </c>
      <c r="F33" s="24">
        <v>2059.0</v>
      </c>
      <c r="G33" s="24" t="s">
        <v>163</v>
      </c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ht="22.5" customHeight="1">
      <c r="A34" s="93">
        <v>45946.0</v>
      </c>
      <c r="B34" s="48" t="s">
        <v>144</v>
      </c>
      <c r="C34" s="173" t="s">
        <v>30</v>
      </c>
      <c r="D34" s="173" t="s">
        <v>145</v>
      </c>
      <c r="E34" s="48" t="s">
        <v>20</v>
      </c>
      <c r="F34" s="24">
        <v>30.0</v>
      </c>
      <c r="G34" s="24" t="s">
        <v>164</v>
      </c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ht="22.5" customHeight="1">
      <c r="A35" s="93">
        <v>45947.0</v>
      </c>
      <c r="B35" s="48" t="s">
        <v>144</v>
      </c>
      <c r="C35" s="173" t="s">
        <v>30</v>
      </c>
      <c r="D35" s="173" t="s">
        <v>145</v>
      </c>
      <c r="E35" s="48" t="s">
        <v>20</v>
      </c>
      <c r="F35" s="24">
        <v>60.0</v>
      </c>
      <c r="G35" s="24" t="s">
        <v>35</v>
      </c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ht="22.5" customHeight="1">
      <c r="A36" s="93">
        <v>45950.0</v>
      </c>
      <c r="B36" s="48" t="s">
        <v>144</v>
      </c>
      <c r="C36" s="173" t="s">
        <v>30</v>
      </c>
      <c r="D36" s="173" t="s">
        <v>145</v>
      </c>
      <c r="E36" s="175" t="s">
        <v>20</v>
      </c>
      <c r="F36" s="172">
        <v>70.0</v>
      </c>
      <c r="G36" s="24" t="s">
        <v>35</v>
      </c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ht="22.5" customHeight="1">
      <c r="A37" s="93">
        <v>45951.0</v>
      </c>
      <c r="B37" s="48" t="s">
        <v>144</v>
      </c>
      <c r="C37" s="174"/>
      <c r="D37" s="174"/>
      <c r="E37" s="175" t="s">
        <v>29</v>
      </c>
      <c r="F37" s="172"/>
      <c r="G37" s="171" t="s">
        <v>165</v>
      </c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ht="22.5" customHeight="1">
      <c r="A38" s="93">
        <v>45952.0</v>
      </c>
      <c r="B38" s="48" t="s">
        <v>144</v>
      </c>
      <c r="C38" s="173" t="s">
        <v>30</v>
      </c>
      <c r="D38" s="173" t="s">
        <v>145</v>
      </c>
      <c r="E38" s="175" t="s">
        <v>20</v>
      </c>
      <c r="F38" s="172">
        <v>44.0</v>
      </c>
      <c r="G38" s="24" t="s">
        <v>35</v>
      </c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ht="22.5" customHeight="1">
      <c r="A39" s="93">
        <v>45953.0</v>
      </c>
      <c r="B39" s="48" t="s">
        <v>144</v>
      </c>
      <c r="C39" s="173" t="s">
        <v>30</v>
      </c>
      <c r="D39" s="173" t="s">
        <v>145</v>
      </c>
      <c r="E39" s="175" t="s">
        <v>20</v>
      </c>
      <c r="F39" s="172">
        <v>60.0</v>
      </c>
      <c r="G39" s="24" t="s">
        <v>35</v>
      </c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ht="22.5" customHeight="1">
      <c r="A40" s="93">
        <v>45954.0</v>
      </c>
      <c r="B40" s="48" t="s">
        <v>144</v>
      </c>
      <c r="C40" s="173" t="s">
        <v>30</v>
      </c>
      <c r="D40" s="173" t="s">
        <v>145</v>
      </c>
      <c r="E40" s="175" t="s">
        <v>20</v>
      </c>
      <c r="F40" s="172">
        <v>20000.0</v>
      </c>
      <c r="G40" s="24" t="s">
        <v>166</v>
      </c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ht="22.5" customHeight="1">
      <c r="A41" s="93">
        <v>45957.0</v>
      </c>
      <c r="B41" s="48" t="s">
        <v>144</v>
      </c>
      <c r="C41" s="173" t="s">
        <v>30</v>
      </c>
      <c r="D41" s="173" t="s">
        <v>145</v>
      </c>
      <c r="E41" s="175" t="s">
        <v>20</v>
      </c>
      <c r="F41" s="24">
        <v>20000.0</v>
      </c>
      <c r="G41" s="24" t="s">
        <v>166</v>
      </c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ht="22.5" customHeight="1">
      <c r="A42" s="93">
        <v>45958.0</v>
      </c>
      <c r="B42" s="48" t="s">
        <v>144</v>
      </c>
      <c r="C42" s="173" t="s">
        <v>30</v>
      </c>
      <c r="D42" s="173" t="s">
        <v>145</v>
      </c>
      <c r="E42" s="175" t="s">
        <v>20</v>
      </c>
      <c r="F42" s="24">
        <v>20000.0</v>
      </c>
      <c r="G42" s="24" t="s">
        <v>166</v>
      </c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ht="22.5" customHeight="1">
      <c r="A43" s="93">
        <v>45959.0</v>
      </c>
      <c r="B43" s="48" t="s">
        <v>144</v>
      </c>
      <c r="C43" s="173" t="s">
        <v>37</v>
      </c>
      <c r="D43" s="173" t="s">
        <v>23</v>
      </c>
      <c r="E43" s="175" t="s">
        <v>20</v>
      </c>
      <c r="F43" s="24">
        <v>10000.0</v>
      </c>
      <c r="G43" s="132" t="s">
        <v>167</v>
      </c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ht="22.5" customHeight="1">
      <c r="A44" s="93">
        <v>45960.0</v>
      </c>
      <c r="B44" s="48" t="s">
        <v>144</v>
      </c>
      <c r="C44" s="173" t="s">
        <v>30</v>
      </c>
      <c r="D44" s="173" t="s">
        <v>145</v>
      </c>
      <c r="E44" s="175" t="s">
        <v>20</v>
      </c>
      <c r="F44" s="24">
        <v>20000.0</v>
      </c>
      <c r="G44" s="132" t="s">
        <v>168</v>
      </c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ht="22.5" customHeight="1">
      <c r="A45" s="93">
        <v>45961.0</v>
      </c>
      <c r="B45" s="48" t="s">
        <v>144</v>
      </c>
      <c r="C45" s="173" t="s">
        <v>30</v>
      </c>
      <c r="D45" s="173" t="s">
        <v>145</v>
      </c>
      <c r="E45" s="175" t="s">
        <v>20</v>
      </c>
      <c r="F45" s="24">
        <v>20000.0</v>
      </c>
      <c r="G45" s="24" t="s">
        <v>166</v>
      </c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ht="22.5" customHeight="1">
      <c r="A46" s="93">
        <v>45964.0</v>
      </c>
      <c r="B46" s="48" t="s">
        <v>144</v>
      </c>
      <c r="C46" s="173" t="s">
        <v>37</v>
      </c>
      <c r="D46" s="173" t="s">
        <v>23</v>
      </c>
      <c r="E46" s="175" t="s">
        <v>20</v>
      </c>
      <c r="F46" s="172">
        <v>5000.0</v>
      </c>
      <c r="G46" s="132" t="s">
        <v>169</v>
      </c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ht="22.5" customHeight="1">
      <c r="A47" s="93">
        <v>45965.0</v>
      </c>
      <c r="B47" s="48" t="s">
        <v>144</v>
      </c>
      <c r="C47" s="173" t="s">
        <v>37</v>
      </c>
      <c r="D47" s="173" t="s">
        <v>23</v>
      </c>
      <c r="E47" s="175" t="s">
        <v>20</v>
      </c>
      <c r="F47" s="172">
        <v>5000.0</v>
      </c>
      <c r="G47" s="24" t="s">
        <v>170</v>
      </c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ht="22.5" customHeight="1">
      <c r="A48" s="93">
        <v>45966.0</v>
      </c>
      <c r="B48" s="48" t="s">
        <v>144</v>
      </c>
      <c r="C48" s="173" t="s">
        <v>30</v>
      </c>
      <c r="D48" s="173" t="s">
        <v>31</v>
      </c>
      <c r="E48" s="175" t="s">
        <v>20</v>
      </c>
      <c r="F48" s="172">
        <v>250.0</v>
      </c>
      <c r="G48" s="24" t="s">
        <v>39</v>
      </c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ht="22.5" customHeight="1">
      <c r="A49" s="93">
        <v>45967.0</v>
      </c>
      <c r="B49" s="48" t="s">
        <v>144</v>
      </c>
      <c r="C49" s="173" t="s">
        <v>30</v>
      </c>
      <c r="D49" s="173" t="s">
        <v>31</v>
      </c>
      <c r="E49" s="175" t="s">
        <v>20</v>
      </c>
      <c r="F49" s="172">
        <v>259.0</v>
      </c>
      <c r="G49" s="24" t="s">
        <v>39</v>
      </c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ht="22.5" customHeight="1">
      <c r="A50" s="93">
        <v>45968.0</v>
      </c>
      <c r="B50" s="48" t="s">
        <v>144</v>
      </c>
      <c r="C50" s="173" t="s">
        <v>30</v>
      </c>
      <c r="D50" s="173" t="s">
        <v>31</v>
      </c>
      <c r="E50" s="175" t="s">
        <v>20</v>
      </c>
      <c r="F50" s="172">
        <v>250.0</v>
      </c>
      <c r="G50" s="24" t="s">
        <v>39</v>
      </c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ht="22.5" customHeight="1">
      <c r="A51" s="93">
        <v>45971.0</v>
      </c>
      <c r="B51" s="48" t="s">
        <v>144</v>
      </c>
      <c r="C51" s="173" t="s">
        <v>30</v>
      </c>
      <c r="D51" s="173" t="s">
        <v>31</v>
      </c>
      <c r="E51" s="175" t="s">
        <v>20</v>
      </c>
      <c r="F51" s="172">
        <v>259.0</v>
      </c>
      <c r="G51" s="24" t="s">
        <v>39</v>
      </c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ht="22.5" customHeight="1">
      <c r="A52" s="93">
        <v>45972.0</v>
      </c>
      <c r="B52" s="48" t="s">
        <v>144</v>
      </c>
      <c r="C52" s="173" t="s">
        <v>30</v>
      </c>
      <c r="D52" s="173" t="s">
        <v>31</v>
      </c>
      <c r="E52" s="175" t="s">
        <v>20</v>
      </c>
      <c r="F52" s="172">
        <v>250.0</v>
      </c>
      <c r="G52" s="24" t="s">
        <v>39</v>
      </c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ht="22.5" customHeight="1">
      <c r="A53" s="93">
        <v>45973.0</v>
      </c>
      <c r="B53" s="48" t="s">
        <v>144</v>
      </c>
      <c r="C53" s="173" t="s">
        <v>30</v>
      </c>
      <c r="D53" s="173" t="s">
        <v>31</v>
      </c>
      <c r="E53" s="175" t="s">
        <v>20</v>
      </c>
      <c r="F53" s="172">
        <v>259.0</v>
      </c>
      <c r="G53" s="24" t="s">
        <v>39</v>
      </c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ht="22.5" customHeight="1">
      <c r="A54" s="93">
        <v>45974.0</v>
      </c>
      <c r="B54" s="48" t="s">
        <v>144</v>
      </c>
      <c r="C54" s="173" t="s">
        <v>30</v>
      </c>
      <c r="D54" s="173" t="s">
        <v>31</v>
      </c>
      <c r="E54" s="175" t="s">
        <v>20</v>
      </c>
      <c r="F54" s="172">
        <v>250.0</v>
      </c>
      <c r="G54" s="24" t="s">
        <v>39</v>
      </c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ht="22.5" customHeight="1">
      <c r="A55" s="93">
        <v>45975.0</v>
      </c>
      <c r="B55" s="48" t="s">
        <v>144</v>
      </c>
      <c r="C55" s="173" t="s">
        <v>30</v>
      </c>
      <c r="D55" s="173" t="s">
        <v>31</v>
      </c>
      <c r="E55" s="175" t="s">
        <v>20</v>
      </c>
      <c r="F55" s="172">
        <v>250.0</v>
      </c>
      <c r="G55" s="24" t="s">
        <v>171</v>
      </c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ht="22.5" customHeight="1">
      <c r="A56" s="93">
        <v>45978.0</v>
      </c>
      <c r="B56" s="48" t="s">
        <v>144</v>
      </c>
      <c r="C56" s="173" t="s">
        <v>30</v>
      </c>
      <c r="D56" s="173" t="s">
        <v>31</v>
      </c>
      <c r="E56" s="175" t="s">
        <v>20</v>
      </c>
      <c r="F56" s="172">
        <v>1500.0</v>
      </c>
      <c r="G56" s="24" t="s">
        <v>172</v>
      </c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ht="22.5" customHeight="1">
      <c r="A57" s="93">
        <v>45979.0</v>
      </c>
      <c r="B57" s="48" t="s">
        <v>144</v>
      </c>
      <c r="C57" s="173" t="s">
        <v>30</v>
      </c>
      <c r="D57" s="173" t="s">
        <v>31</v>
      </c>
      <c r="E57" s="175" t="s">
        <v>20</v>
      </c>
      <c r="F57" s="172">
        <v>1500.0</v>
      </c>
      <c r="G57" s="24" t="s">
        <v>172</v>
      </c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ht="22.5" customHeight="1">
      <c r="A58" s="93">
        <v>45980.0</v>
      </c>
      <c r="B58" s="48" t="s">
        <v>144</v>
      </c>
      <c r="C58" s="173" t="s">
        <v>30</v>
      </c>
      <c r="D58" s="173" t="s">
        <v>31</v>
      </c>
      <c r="E58" s="175" t="s">
        <v>20</v>
      </c>
      <c r="F58" s="172">
        <v>250.0</v>
      </c>
      <c r="G58" s="24" t="s">
        <v>39</v>
      </c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ht="22.5" customHeight="1">
      <c r="A59" s="93">
        <v>45981.0</v>
      </c>
      <c r="B59" s="48" t="s">
        <v>144</v>
      </c>
      <c r="C59" s="173" t="s">
        <v>30</v>
      </c>
      <c r="D59" s="173" t="s">
        <v>31</v>
      </c>
      <c r="E59" s="175" t="s">
        <v>20</v>
      </c>
      <c r="F59" s="172">
        <v>250.0</v>
      </c>
      <c r="G59" s="24" t="s">
        <v>173</v>
      </c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ht="22.5" customHeight="1">
      <c r="A60" s="93">
        <v>45982.0</v>
      </c>
      <c r="B60" s="48" t="s">
        <v>144</v>
      </c>
      <c r="C60" s="173" t="s">
        <v>174</v>
      </c>
      <c r="D60" s="173" t="s">
        <v>23</v>
      </c>
      <c r="E60" s="175" t="s">
        <v>20</v>
      </c>
      <c r="F60" s="172">
        <v>432.0</v>
      </c>
      <c r="G60" s="24" t="s">
        <v>175</v>
      </c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ht="22.5" customHeight="1">
      <c r="A61" s="93">
        <v>45985.0</v>
      </c>
      <c r="B61" s="48" t="s">
        <v>144</v>
      </c>
      <c r="C61" s="173" t="s">
        <v>174</v>
      </c>
      <c r="D61" s="173" t="s">
        <v>23</v>
      </c>
      <c r="E61" s="175" t="s">
        <v>20</v>
      </c>
      <c r="F61" s="172">
        <v>432.0</v>
      </c>
      <c r="G61" s="24" t="s">
        <v>175</v>
      </c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ht="22.5" customHeight="1">
      <c r="A62" s="93">
        <v>45986.0</v>
      </c>
      <c r="B62" s="48" t="s">
        <v>144</v>
      </c>
      <c r="C62" s="173" t="s">
        <v>174</v>
      </c>
      <c r="D62" s="173" t="s">
        <v>23</v>
      </c>
      <c r="E62" s="175" t="s">
        <v>20</v>
      </c>
      <c r="F62" s="172">
        <v>200.0</v>
      </c>
      <c r="G62" s="24" t="s">
        <v>176</v>
      </c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ht="22.5" customHeight="1">
      <c r="A63" s="93">
        <v>45987.0</v>
      </c>
      <c r="B63" s="48" t="s">
        <v>144</v>
      </c>
      <c r="C63" s="173" t="s">
        <v>174</v>
      </c>
      <c r="D63" s="173" t="s">
        <v>23</v>
      </c>
      <c r="E63" s="175" t="s">
        <v>20</v>
      </c>
      <c r="F63" s="172">
        <v>240.0</v>
      </c>
      <c r="G63" s="24" t="s">
        <v>175</v>
      </c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ht="22.5" customHeight="1">
      <c r="A64" s="93">
        <v>45988.0</v>
      </c>
      <c r="B64" s="48" t="s">
        <v>144</v>
      </c>
      <c r="C64" s="173" t="s">
        <v>174</v>
      </c>
      <c r="D64" s="173" t="s">
        <v>80</v>
      </c>
      <c r="E64" s="175" t="s">
        <v>20</v>
      </c>
      <c r="F64" s="172">
        <v>240.0</v>
      </c>
      <c r="G64" s="24" t="s">
        <v>177</v>
      </c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ht="22.5" customHeight="1">
      <c r="A65" s="93">
        <v>45989.0</v>
      </c>
      <c r="B65" s="48" t="s">
        <v>144</v>
      </c>
      <c r="C65" s="173" t="s">
        <v>174</v>
      </c>
      <c r="D65" s="173" t="s">
        <v>80</v>
      </c>
      <c r="E65" s="175" t="s">
        <v>20</v>
      </c>
      <c r="F65" s="172">
        <v>240.0</v>
      </c>
      <c r="G65" s="24" t="s">
        <v>178</v>
      </c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ht="22.5" customHeight="1">
      <c r="A66" s="93">
        <v>45992.0</v>
      </c>
      <c r="B66" s="48" t="s">
        <v>144</v>
      </c>
      <c r="C66" s="173" t="s">
        <v>174</v>
      </c>
      <c r="D66" s="173" t="s">
        <v>80</v>
      </c>
      <c r="E66" s="175" t="s">
        <v>20</v>
      </c>
      <c r="F66" s="172">
        <v>144.0</v>
      </c>
      <c r="G66" s="24" t="s">
        <v>179</v>
      </c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ht="22.5" customHeight="1">
      <c r="A67" s="93">
        <v>45993.0</v>
      </c>
      <c r="B67" s="48" t="s">
        <v>144</v>
      </c>
      <c r="C67" s="173" t="s">
        <v>174</v>
      </c>
      <c r="D67" s="173" t="s">
        <v>80</v>
      </c>
      <c r="E67" s="175" t="s">
        <v>20</v>
      </c>
      <c r="F67" s="172">
        <v>240.0</v>
      </c>
      <c r="G67" s="24" t="s">
        <v>178</v>
      </c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ht="22.5" customHeight="1">
      <c r="A68" s="93">
        <v>45994.0</v>
      </c>
      <c r="B68" s="48" t="s">
        <v>144</v>
      </c>
      <c r="C68" s="173" t="s">
        <v>30</v>
      </c>
      <c r="D68" s="173" t="s">
        <v>31</v>
      </c>
      <c r="E68" s="175" t="s">
        <v>20</v>
      </c>
      <c r="F68" s="172">
        <v>5000.0</v>
      </c>
      <c r="G68" s="24" t="s">
        <v>172</v>
      </c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ht="22.5" customHeight="1">
      <c r="A69" s="93">
        <v>45995.0</v>
      </c>
      <c r="B69" s="48" t="s">
        <v>144</v>
      </c>
      <c r="C69" s="173" t="s">
        <v>30</v>
      </c>
      <c r="D69" s="173" t="s">
        <v>31</v>
      </c>
      <c r="E69" s="175" t="s">
        <v>20</v>
      </c>
      <c r="F69" s="172">
        <v>4000.0</v>
      </c>
      <c r="G69" s="24" t="s">
        <v>180</v>
      </c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ht="22.5" customHeight="1">
      <c r="A70" s="93">
        <v>45996.0</v>
      </c>
      <c r="B70" s="48" t="s">
        <v>144</v>
      </c>
      <c r="C70" s="173" t="s">
        <v>30</v>
      </c>
      <c r="D70" s="173" t="s">
        <v>31</v>
      </c>
      <c r="E70" s="175" t="s">
        <v>20</v>
      </c>
      <c r="F70" s="172">
        <v>3500.0</v>
      </c>
      <c r="G70" s="24" t="s">
        <v>172</v>
      </c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ht="22.5" customHeight="1">
      <c r="A71" s="93">
        <v>45999.0</v>
      </c>
      <c r="B71" s="48" t="s">
        <v>144</v>
      </c>
      <c r="C71" s="173" t="s">
        <v>174</v>
      </c>
      <c r="D71" s="173" t="s">
        <v>23</v>
      </c>
      <c r="E71" s="175" t="s">
        <v>20</v>
      </c>
      <c r="F71" s="172">
        <v>9.0</v>
      </c>
      <c r="G71" s="24" t="s">
        <v>181</v>
      </c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ht="22.5" customHeight="1">
      <c r="A72" s="93">
        <v>46000.0</v>
      </c>
      <c r="B72" s="48" t="s">
        <v>144</v>
      </c>
      <c r="C72" s="173" t="s">
        <v>174</v>
      </c>
      <c r="D72" s="173" t="s">
        <v>23</v>
      </c>
      <c r="E72" s="175" t="s">
        <v>20</v>
      </c>
      <c r="F72" s="172">
        <v>10.0</v>
      </c>
      <c r="G72" s="24" t="s">
        <v>182</v>
      </c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ht="22.5" customHeight="1">
      <c r="A73" s="93">
        <v>46001.0</v>
      </c>
      <c r="B73" s="48" t="s">
        <v>144</v>
      </c>
      <c r="C73" s="173" t="s">
        <v>174</v>
      </c>
      <c r="D73" s="173" t="s">
        <v>23</v>
      </c>
      <c r="E73" s="175" t="s">
        <v>20</v>
      </c>
      <c r="F73" s="172">
        <v>240.0</v>
      </c>
      <c r="G73" s="24" t="s">
        <v>183</v>
      </c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ht="22.5" customHeight="1">
      <c r="A74" s="93">
        <v>46002.0</v>
      </c>
      <c r="B74" s="48" t="s">
        <v>144</v>
      </c>
      <c r="C74" s="174"/>
      <c r="D74" s="174"/>
      <c r="E74" s="175" t="s">
        <v>29</v>
      </c>
      <c r="F74" s="172"/>
      <c r="G74" s="172" t="s">
        <v>29</v>
      </c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ht="22.5" customHeight="1">
      <c r="A75" s="93">
        <v>46003.0</v>
      </c>
      <c r="B75" s="48" t="s">
        <v>144</v>
      </c>
      <c r="C75" s="173" t="s">
        <v>174</v>
      </c>
      <c r="D75" s="173" t="s">
        <v>23</v>
      </c>
      <c r="E75" s="175" t="s">
        <v>20</v>
      </c>
      <c r="F75" s="172">
        <v>240.0</v>
      </c>
      <c r="G75" s="24" t="s">
        <v>183</v>
      </c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ht="22.5" customHeight="1">
      <c r="A76" s="93">
        <v>46006.0</v>
      </c>
      <c r="B76" s="48" t="s">
        <v>144</v>
      </c>
      <c r="C76" s="174"/>
      <c r="D76" s="174"/>
      <c r="E76" s="175" t="s">
        <v>29</v>
      </c>
      <c r="F76" s="172"/>
      <c r="G76" s="172" t="s">
        <v>29</v>
      </c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ht="22.5" customHeight="1">
      <c r="A77" s="93">
        <v>46007.0</v>
      </c>
      <c r="B77" s="48" t="s">
        <v>144</v>
      </c>
      <c r="C77" s="174"/>
      <c r="D77" s="174"/>
      <c r="E77" s="175" t="s">
        <v>29</v>
      </c>
      <c r="F77" s="172"/>
      <c r="G77" s="172" t="s">
        <v>29</v>
      </c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ht="22.5" customHeight="1">
      <c r="A78" s="93">
        <v>46008.0</v>
      </c>
      <c r="B78" s="48" t="s">
        <v>144</v>
      </c>
      <c r="C78" s="173" t="s">
        <v>30</v>
      </c>
      <c r="D78" s="173" t="s">
        <v>23</v>
      </c>
      <c r="E78" s="175" t="s">
        <v>20</v>
      </c>
      <c r="F78" s="172">
        <v>12000.0</v>
      </c>
      <c r="G78" s="24" t="s">
        <v>184</v>
      </c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ht="22.5" customHeight="1">
      <c r="A79" s="93">
        <v>46009.0</v>
      </c>
      <c r="B79" s="48" t="s">
        <v>144</v>
      </c>
      <c r="C79" s="173" t="s">
        <v>44</v>
      </c>
      <c r="D79" s="173" t="s">
        <v>145</v>
      </c>
      <c r="E79" s="175" t="s">
        <v>20</v>
      </c>
      <c r="F79" s="172">
        <v>521.0</v>
      </c>
      <c r="G79" s="24" t="s">
        <v>185</v>
      </c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ht="22.5" customHeight="1">
      <c r="A80" s="93">
        <v>46010.0</v>
      </c>
      <c r="B80" s="48" t="s">
        <v>144</v>
      </c>
      <c r="C80" s="173" t="s">
        <v>44</v>
      </c>
      <c r="D80" s="173" t="s">
        <v>31</v>
      </c>
      <c r="E80" s="175" t="s">
        <v>20</v>
      </c>
      <c r="F80" s="172">
        <v>521.0</v>
      </c>
      <c r="G80" s="24" t="s">
        <v>186</v>
      </c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ht="22.5" customHeight="1">
      <c r="A81" s="93">
        <v>46013.0</v>
      </c>
      <c r="B81" s="48" t="s">
        <v>144</v>
      </c>
      <c r="C81" s="173" t="s">
        <v>44</v>
      </c>
      <c r="D81" s="173" t="s">
        <v>45</v>
      </c>
      <c r="E81" s="175" t="s">
        <v>20</v>
      </c>
      <c r="F81" s="172">
        <v>1769.0</v>
      </c>
      <c r="G81" s="132" t="s">
        <v>187</v>
      </c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ht="22.5" customHeight="1">
      <c r="A82" s="93">
        <v>46014.0</v>
      </c>
      <c r="B82" s="48" t="s">
        <v>144</v>
      </c>
      <c r="C82" s="173" t="s">
        <v>40</v>
      </c>
      <c r="D82" s="173" t="s">
        <v>47</v>
      </c>
      <c r="E82" s="175" t="s">
        <v>20</v>
      </c>
      <c r="F82" s="172">
        <v>125.0</v>
      </c>
      <c r="G82" s="24" t="s">
        <v>48</v>
      </c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ht="22.5" customHeight="1">
      <c r="A83" s="93">
        <v>46015.0</v>
      </c>
      <c r="B83" s="48" t="s">
        <v>144</v>
      </c>
      <c r="C83" s="173" t="s">
        <v>40</v>
      </c>
      <c r="D83" s="173" t="s">
        <v>47</v>
      </c>
      <c r="E83" s="175" t="s">
        <v>20</v>
      </c>
      <c r="F83" s="172">
        <v>125.0</v>
      </c>
      <c r="G83" s="24" t="s">
        <v>188</v>
      </c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ht="22.5" customHeight="1">
      <c r="A84" s="93">
        <v>46016.0</v>
      </c>
      <c r="B84" s="48" t="s">
        <v>144</v>
      </c>
      <c r="C84" s="174"/>
      <c r="D84" s="174"/>
      <c r="E84" s="175" t="s">
        <v>29</v>
      </c>
      <c r="F84" s="172"/>
      <c r="G84" s="171" t="s">
        <v>189</v>
      </c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ht="22.5" customHeight="1">
      <c r="A85" s="93">
        <v>46017.0</v>
      </c>
      <c r="B85" s="48" t="s">
        <v>144</v>
      </c>
      <c r="C85" s="174"/>
      <c r="D85" s="174"/>
      <c r="E85" s="175" t="s">
        <v>29</v>
      </c>
      <c r="F85" s="172"/>
      <c r="G85" s="172" t="s">
        <v>29</v>
      </c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ht="22.5" customHeight="1">
      <c r="A86" s="93">
        <v>46020.0</v>
      </c>
      <c r="B86" s="48" t="s">
        <v>144</v>
      </c>
      <c r="C86" s="174"/>
      <c r="D86" s="174"/>
      <c r="E86" s="175" t="s">
        <v>29</v>
      </c>
      <c r="F86" s="172"/>
      <c r="G86" s="172" t="s">
        <v>29</v>
      </c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ht="22.5" customHeight="1">
      <c r="A87" s="93">
        <v>46021.0</v>
      </c>
      <c r="B87" s="48" t="s">
        <v>144</v>
      </c>
      <c r="C87" s="173" t="s">
        <v>30</v>
      </c>
      <c r="D87" s="173" t="s">
        <v>42</v>
      </c>
      <c r="E87" s="175" t="s">
        <v>20</v>
      </c>
      <c r="F87" s="172"/>
      <c r="G87" s="132" t="s">
        <v>190</v>
      </c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ht="22.5" customHeight="1">
      <c r="A88" s="93">
        <v>46022.0</v>
      </c>
      <c r="B88" s="48" t="s">
        <v>144</v>
      </c>
      <c r="C88" s="173" t="s">
        <v>30</v>
      </c>
      <c r="D88" s="173" t="s">
        <v>42</v>
      </c>
      <c r="E88" s="175" t="s">
        <v>20</v>
      </c>
      <c r="F88" s="172">
        <v>320.0</v>
      </c>
      <c r="G88" s="24" t="s">
        <v>191</v>
      </c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ht="22.5" customHeight="1">
      <c r="A89" s="93">
        <v>46023.0</v>
      </c>
      <c r="B89" s="48" t="s">
        <v>144</v>
      </c>
      <c r="C89" s="174"/>
      <c r="D89" s="174"/>
      <c r="E89" s="175" t="s">
        <v>29</v>
      </c>
      <c r="F89" s="172"/>
      <c r="G89" s="171" t="s">
        <v>192</v>
      </c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ht="22.5" customHeight="1">
      <c r="A90" s="93">
        <v>46024.0</v>
      </c>
      <c r="B90" s="48" t="s">
        <v>144</v>
      </c>
      <c r="C90" s="173" t="s">
        <v>44</v>
      </c>
      <c r="D90" s="173" t="s">
        <v>45</v>
      </c>
      <c r="E90" s="175" t="s">
        <v>20</v>
      </c>
      <c r="F90" s="172">
        <v>1210.0</v>
      </c>
      <c r="G90" s="176" t="s">
        <v>193</v>
      </c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ht="22.5" customHeight="1">
      <c r="A91" s="93">
        <v>46027.0</v>
      </c>
      <c r="B91" s="48" t="s">
        <v>144</v>
      </c>
      <c r="C91" s="174"/>
      <c r="D91" s="174"/>
      <c r="E91" s="175" t="s">
        <v>29</v>
      </c>
      <c r="F91" s="172"/>
      <c r="G91" s="132" t="s">
        <v>29</v>
      </c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ht="22.5" customHeight="1">
      <c r="A92" s="93">
        <v>46028.0</v>
      </c>
      <c r="B92" s="48" t="s">
        <v>144</v>
      </c>
      <c r="C92" s="173" t="s">
        <v>44</v>
      </c>
      <c r="D92" s="173" t="s">
        <v>45</v>
      </c>
      <c r="E92" s="175" t="s">
        <v>20</v>
      </c>
      <c r="F92" s="172">
        <v>1219.0</v>
      </c>
      <c r="G92" s="176" t="s">
        <v>193</v>
      </c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ht="22.5" customHeight="1">
      <c r="A93" s="93">
        <v>46029.0</v>
      </c>
      <c r="B93" s="48" t="s">
        <v>144</v>
      </c>
      <c r="C93" s="173" t="s">
        <v>30</v>
      </c>
      <c r="D93" s="173" t="s">
        <v>42</v>
      </c>
      <c r="E93" s="175" t="s">
        <v>53</v>
      </c>
      <c r="F93" s="172">
        <v>50.0</v>
      </c>
      <c r="G93" s="172" t="s">
        <v>194</v>
      </c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ht="22.5" customHeight="1">
      <c r="A94" s="93">
        <v>46030.0</v>
      </c>
      <c r="B94" s="48" t="s">
        <v>144</v>
      </c>
      <c r="C94" s="173" t="s">
        <v>30</v>
      </c>
      <c r="D94" s="173" t="s">
        <v>42</v>
      </c>
      <c r="E94" s="175" t="s">
        <v>53</v>
      </c>
      <c r="F94" s="172">
        <v>100.0</v>
      </c>
      <c r="G94" s="132" t="s">
        <v>195</v>
      </c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ht="22.5" customHeight="1">
      <c r="A95" s="93">
        <v>46031.0</v>
      </c>
      <c r="B95" s="48" t="s">
        <v>144</v>
      </c>
      <c r="C95" s="173" t="s">
        <v>30</v>
      </c>
      <c r="D95" s="173" t="s">
        <v>42</v>
      </c>
      <c r="E95" s="175" t="s">
        <v>53</v>
      </c>
      <c r="F95" s="172"/>
      <c r="G95" s="132" t="s">
        <v>195</v>
      </c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>
      <c r="A96" s="168"/>
      <c r="B96" s="168"/>
      <c r="C96" s="177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>
      <c r="A97" s="168"/>
      <c r="B97" s="168"/>
      <c r="C97" s="177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>
      <c r="A98" s="168"/>
      <c r="B98" s="168"/>
      <c r="C98" s="177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>
      <c r="A99" s="168"/>
      <c r="B99" s="168"/>
      <c r="C99" s="177"/>
      <c r="D99" s="168"/>
      <c r="E99" s="178"/>
      <c r="F99" s="17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>
      <c r="A100" s="168"/>
      <c r="B100" s="168"/>
      <c r="C100" s="177"/>
      <c r="D100" s="168"/>
      <c r="E100" s="178"/>
      <c r="F100" s="17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>
      <c r="A101" s="168"/>
      <c r="B101" s="168"/>
      <c r="C101" s="177"/>
      <c r="D101" s="168"/>
      <c r="E101" s="178"/>
      <c r="F101" s="17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>
      <c r="A102" s="168"/>
      <c r="B102" s="168"/>
      <c r="C102" s="168"/>
      <c r="D102" s="168"/>
      <c r="E102" s="17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>
      <c r="A103" s="168"/>
      <c r="B103" s="168"/>
      <c r="C103" s="168"/>
      <c r="D103" s="168"/>
      <c r="E103" s="17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>
      <c r="A104" s="168"/>
      <c r="B104" s="168"/>
      <c r="C104" s="168"/>
      <c r="D104" s="168"/>
      <c r="E104" s="17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</sheetData>
  <dataValidations>
    <dataValidation type="list" allowBlank="1" sqref="C2:C95">
      <formula1>"Nephroplus,Adult RD,Netra,ICU Automation,vSitter,Airways,VRASS,CPOT,Respiratory Distress,Delirium,Overcrowding"</formula1>
    </dataValidation>
    <dataValidation type="list" allowBlank="1" sqref="B2:B95">
      <formula1>"Deekshith L,Chandrashekar,Nagaharinadh,Suman Kanoj,Sagar Hiremath,Saraswathi,Prerana,Mouli Prakash,Manovya,Pranav,Raghavan,Rohit,Abusaad"</formula1>
    </dataValidation>
    <dataValidation type="list" allowBlank="1" sqref="E2:E95">
      <formula1>"Done,In Progress,Leave"</formula1>
    </dataValidation>
    <dataValidation type="list" allowBlank="1" sqref="D2:D95">
      <formula1>"Classification,BBOX,Keypoints,Ground Truth,Leave,Segmentation,Data Collection, VRASS,CPOT,Respiratory Distress,Video Annotation"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5"/>
    <col customWidth="1" min="3" max="3" width="33.25"/>
    <col customWidth="1" min="4" max="4" width="28.63"/>
    <col customWidth="1" min="5" max="5" width="29.38"/>
    <col customWidth="1" min="6" max="6" width="43.88"/>
    <col customWidth="1" min="7" max="7" width="58.63"/>
    <col customWidth="1" min="8" max="8" width="21.13"/>
    <col customWidth="1" min="9" max="9" width="25.75"/>
    <col customWidth="1" min="10" max="10" width="47.38"/>
    <col customWidth="1" min="11" max="11" width="98.25"/>
  </cols>
  <sheetData>
    <row r="1" ht="22.5" customHeight="1">
      <c r="A1" s="44" t="s">
        <v>27</v>
      </c>
      <c r="B1" s="44" t="s">
        <v>1</v>
      </c>
      <c r="C1" s="44" t="s">
        <v>2</v>
      </c>
      <c r="D1" s="44" t="s">
        <v>55</v>
      </c>
      <c r="E1" s="179" t="s">
        <v>4</v>
      </c>
      <c r="F1" s="44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44" t="s">
        <v>10</v>
      </c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  <c r="AA1" s="180"/>
    </row>
    <row r="2" ht="22.5" customHeight="1">
      <c r="A2" s="181">
        <v>46014.0</v>
      </c>
      <c r="B2" s="81" t="s">
        <v>196</v>
      </c>
      <c r="C2" s="81" t="s">
        <v>70</v>
      </c>
      <c r="D2" s="81" t="s">
        <v>19</v>
      </c>
      <c r="E2" s="81" t="s">
        <v>20</v>
      </c>
      <c r="F2" s="182">
        <v>1957.0</v>
      </c>
      <c r="G2" s="183"/>
      <c r="H2" s="184"/>
      <c r="I2" s="184"/>
      <c r="J2" s="185"/>
      <c r="K2" s="24" t="s">
        <v>197</v>
      </c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</row>
    <row r="3" ht="22.5" customHeight="1">
      <c r="A3" s="181">
        <v>46015.0</v>
      </c>
      <c r="B3" s="81" t="s">
        <v>196</v>
      </c>
      <c r="C3" s="81" t="s">
        <v>70</v>
      </c>
      <c r="D3" s="81" t="s">
        <v>19</v>
      </c>
      <c r="E3" s="81" t="s">
        <v>20</v>
      </c>
      <c r="F3" s="182">
        <v>2934.0</v>
      </c>
      <c r="G3" s="186"/>
      <c r="H3" s="184"/>
      <c r="I3" s="184"/>
      <c r="J3" s="185"/>
      <c r="K3" s="107" t="s">
        <v>198</v>
      </c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</row>
    <row r="4" ht="22.5" customHeight="1">
      <c r="A4" s="181">
        <v>46016.0</v>
      </c>
      <c r="B4" s="81" t="s">
        <v>196</v>
      </c>
      <c r="C4" s="187"/>
      <c r="D4" s="81"/>
      <c r="E4" s="81" t="s">
        <v>29</v>
      </c>
      <c r="F4" s="182"/>
      <c r="G4" s="186"/>
      <c r="H4" s="184"/>
      <c r="I4" s="184"/>
      <c r="J4" s="185"/>
      <c r="K4" s="107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</row>
    <row r="5" ht="22.5" customHeight="1">
      <c r="A5" s="181">
        <v>46017.0</v>
      </c>
      <c r="B5" s="81" t="s">
        <v>196</v>
      </c>
      <c r="C5" s="81" t="s">
        <v>70</v>
      </c>
      <c r="D5" s="81" t="s">
        <v>19</v>
      </c>
      <c r="E5" s="81" t="s">
        <v>20</v>
      </c>
      <c r="F5" s="182">
        <v>5444.0</v>
      </c>
      <c r="G5" s="186"/>
      <c r="H5" s="184"/>
      <c r="I5" s="184"/>
      <c r="J5" s="185"/>
      <c r="K5" s="107" t="s">
        <v>199</v>
      </c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ht="22.5" customHeight="1">
      <c r="A6" s="181">
        <v>46020.0</v>
      </c>
      <c r="B6" s="81" t="s">
        <v>196</v>
      </c>
      <c r="C6" s="81" t="s">
        <v>70</v>
      </c>
      <c r="D6" s="81" t="s">
        <v>19</v>
      </c>
      <c r="E6" s="81" t="s">
        <v>20</v>
      </c>
      <c r="F6" s="182">
        <v>3638.0</v>
      </c>
      <c r="G6" s="186"/>
      <c r="H6" s="184"/>
      <c r="I6" s="184"/>
      <c r="J6" s="185"/>
      <c r="K6" s="107" t="s">
        <v>200</v>
      </c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</row>
    <row r="7" ht="22.5" customHeight="1">
      <c r="A7" s="181">
        <v>46021.0</v>
      </c>
      <c r="B7" s="81" t="s">
        <v>196</v>
      </c>
      <c r="C7" s="81" t="s">
        <v>70</v>
      </c>
      <c r="D7" s="81" t="s">
        <v>19</v>
      </c>
      <c r="E7" s="81" t="s">
        <v>20</v>
      </c>
      <c r="F7" s="182">
        <v>2738.0</v>
      </c>
      <c r="G7" s="186"/>
      <c r="H7" s="184"/>
      <c r="I7" s="184"/>
      <c r="J7" s="185"/>
      <c r="K7" s="107" t="s">
        <v>201</v>
      </c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</row>
    <row r="8" ht="22.5" customHeight="1">
      <c r="A8" s="181">
        <v>46022.0</v>
      </c>
      <c r="B8" s="81" t="s">
        <v>196</v>
      </c>
      <c r="C8" s="81" t="s">
        <v>70</v>
      </c>
      <c r="D8" s="81" t="s">
        <v>19</v>
      </c>
      <c r="E8" s="81" t="s">
        <v>20</v>
      </c>
      <c r="F8" s="47">
        <v>495.0</v>
      </c>
      <c r="G8" s="81"/>
      <c r="H8" s="184"/>
      <c r="I8" s="184"/>
      <c r="J8" s="185"/>
      <c r="K8" s="117" t="s">
        <v>202</v>
      </c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</row>
    <row r="9" ht="22.5" customHeight="1">
      <c r="A9" s="45">
        <v>46023.0</v>
      </c>
      <c r="B9" s="81" t="s">
        <v>196</v>
      </c>
      <c r="C9" s="81" t="s">
        <v>44</v>
      </c>
      <c r="D9" s="81" t="s">
        <v>45</v>
      </c>
      <c r="E9" s="81" t="s">
        <v>20</v>
      </c>
      <c r="F9" s="47">
        <v>465.0</v>
      </c>
      <c r="G9" s="81"/>
      <c r="H9" s="184"/>
      <c r="I9" s="184"/>
      <c r="J9" s="185"/>
      <c r="K9" s="117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</row>
    <row r="10" ht="22.5" customHeight="1">
      <c r="A10" s="45">
        <v>46024.0</v>
      </c>
      <c r="B10" s="81" t="s">
        <v>196</v>
      </c>
      <c r="C10" s="81" t="s">
        <v>44</v>
      </c>
      <c r="D10" s="81" t="s">
        <v>45</v>
      </c>
      <c r="E10" s="81" t="s">
        <v>20</v>
      </c>
      <c r="F10" s="47">
        <v>514.0</v>
      </c>
      <c r="G10" s="81"/>
      <c r="H10" s="184"/>
      <c r="I10" s="184"/>
      <c r="J10" s="185"/>
      <c r="K10" s="117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</row>
    <row r="11" ht="22.5" customHeight="1">
      <c r="A11" s="45">
        <v>46027.0</v>
      </c>
      <c r="B11" s="81" t="s">
        <v>196</v>
      </c>
      <c r="C11" s="81" t="s">
        <v>44</v>
      </c>
      <c r="D11" s="81" t="s">
        <v>19</v>
      </c>
      <c r="E11" s="81" t="s">
        <v>20</v>
      </c>
      <c r="F11" s="47">
        <v>1400.0</v>
      </c>
      <c r="G11" s="81"/>
      <c r="H11" s="184"/>
      <c r="I11" s="184"/>
      <c r="J11" s="185"/>
      <c r="K11" s="117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</row>
    <row r="12" ht="22.5" customHeight="1">
      <c r="A12" s="45">
        <v>46028.0</v>
      </c>
      <c r="B12" s="81" t="s">
        <v>196</v>
      </c>
      <c r="C12" s="81" t="s">
        <v>44</v>
      </c>
      <c r="D12" s="81" t="s">
        <v>19</v>
      </c>
      <c r="E12" s="81" t="s">
        <v>20</v>
      </c>
      <c r="F12" s="47">
        <v>2136.0</v>
      </c>
      <c r="G12" s="81"/>
      <c r="H12" s="184"/>
      <c r="I12" s="184"/>
      <c r="J12" s="185"/>
      <c r="K12" s="117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</row>
    <row r="13" ht="22.5" customHeight="1">
      <c r="A13" s="45">
        <v>46029.0</v>
      </c>
      <c r="B13" s="81" t="s">
        <v>196</v>
      </c>
      <c r="C13" s="81" t="s">
        <v>30</v>
      </c>
      <c r="D13" s="81" t="s">
        <v>42</v>
      </c>
      <c r="E13" s="81" t="s">
        <v>53</v>
      </c>
      <c r="F13" s="47">
        <v>25.0</v>
      </c>
      <c r="G13" s="81"/>
      <c r="H13" s="184"/>
      <c r="I13" s="184"/>
      <c r="J13" s="185"/>
      <c r="K13" s="117" t="s">
        <v>203</v>
      </c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  <c r="AA13" s="180"/>
    </row>
    <row r="14" ht="22.5" customHeight="1">
      <c r="A14" s="45">
        <v>46030.0</v>
      </c>
      <c r="B14" s="81" t="s">
        <v>196</v>
      </c>
      <c r="C14" s="81" t="s">
        <v>30</v>
      </c>
      <c r="D14" s="81" t="s">
        <v>42</v>
      </c>
      <c r="E14" s="81" t="s">
        <v>53</v>
      </c>
      <c r="F14" s="47">
        <v>65.0</v>
      </c>
      <c r="G14" s="81"/>
      <c r="H14" s="184"/>
      <c r="I14" s="184"/>
      <c r="J14" s="185"/>
      <c r="K14" s="117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/>
    </row>
    <row r="15" ht="22.5" customHeight="1">
      <c r="A15" s="45">
        <v>46030.0</v>
      </c>
      <c r="B15" s="81" t="s">
        <v>196</v>
      </c>
      <c r="C15" s="81" t="s">
        <v>30</v>
      </c>
      <c r="D15" s="81" t="s">
        <v>42</v>
      </c>
      <c r="E15" s="81" t="s">
        <v>53</v>
      </c>
      <c r="F15" s="47"/>
      <c r="G15" s="81"/>
      <c r="H15" s="184"/>
      <c r="I15" s="184"/>
      <c r="J15" s="185"/>
      <c r="K15" s="117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  <c r="AA15" s="180"/>
    </row>
    <row r="16" ht="22.5" customHeight="1">
      <c r="A16" s="45"/>
      <c r="B16" s="187"/>
      <c r="C16" s="187"/>
      <c r="D16" s="187"/>
      <c r="E16" s="187"/>
      <c r="F16" s="47"/>
      <c r="G16" s="81"/>
      <c r="H16" s="184"/>
      <c r="I16" s="184"/>
      <c r="J16" s="185"/>
      <c r="K16" s="117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  <c r="AA16" s="180"/>
    </row>
    <row r="17" ht="22.5" customHeight="1">
      <c r="A17" s="45"/>
      <c r="B17" s="187"/>
      <c r="C17" s="187"/>
      <c r="D17" s="187"/>
      <c r="E17" s="187"/>
      <c r="F17" s="47"/>
      <c r="G17" s="81"/>
      <c r="H17" s="184"/>
      <c r="I17" s="184"/>
      <c r="J17" s="185"/>
      <c r="K17" s="117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</row>
    <row r="18" ht="22.5" customHeight="1">
      <c r="A18" s="45"/>
      <c r="B18" s="187"/>
      <c r="C18" s="187"/>
      <c r="D18" s="187"/>
      <c r="E18" s="187"/>
      <c r="F18" s="47"/>
      <c r="G18" s="81"/>
      <c r="H18" s="184"/>
      <c r="I18" s="184"/>
      <c r="J18" s="185"/>
      <c r="K18" s="117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  <c r="AA18" s="180"/>
    </row>
    <row r="19" ht="22.5" customHeight="1">
      <c r="A19" s="45"/>
      <c r="B19" s="187"/>
      <c r="C19" s="187"/>
      <c r="D19" s="187"/>
      <c r="E19" s="187"/>
      <c r="F19" s="47"/>
      <c r="G19" s="81"/>
      <c r="H19" s="184"/>
      <c r="I19" s="184"/>
      <c r="J19" s="185"/>
      <c r="K19" s="117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</row>
    <row r="20" ht="22.5" customHeight="1">
      <c r="A20" s="45"/>
      <c r="B20" s="187"/>
      <c r="C20" s="187"/>
      <c r="D20" s="187"/>
      <c r="E20" s="187"/>
      <c r="F20" s="47"/>
      <c r="G20" s="81"/>
      <c r="H20" s="184"/>
      <c r="I20" s="184"/>
      <c r="J20" s="185"/>
      <c r="K20" s="117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</row>
    <row r="21" ht="22.5" customHeight="1">
      <c r="A21" s="45"/>
      <c r="B21" s="187"/>
      <c r="C21" s="187"/>
      <c r="D21" s="187"/>
      <c r="E21" s="187"/>
      <c r="F21" s="47"/>
      <c r="G21" s="81"/>
      <c r="H21" s="184"/>
      <c r="I21" s="184"/>
      <c r="J21" s="185"/>
      <c r="K21" s="117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  <c r="AA21" s="180"/>
    </row>
    <row r="22" ht="22.5" customHeight="1">
      <c r="A22" s="45"/>
      <c r="B22" s="187"/>
      <c r="C22" s="187"/>
      <c r="D22" s="187"/>
      <c r="E22" s="187"/>
      <c r="F22" s="47"/>
      <c r="G22" s="81"/>
      <c r="H22" s="184"/>
      <c r="I22" s="184"/>
      <c r="J22" s="185"/>
      <c r="K22" s="117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  <c r="AA22" s="180"/>
    </row>
    <row r="23" ht="22.5" customHeight="1">
      <c r="A23" s="45"/>
      <c r="B23" s="187"/>
      <c r="C23" s="187"/>
      <c r="D23" s="187"/>
      <c r="E23" s="187"/>
      <c r="F23" s="47"/>
      <c r="G23" s="81"/>
      <c r="H23" s="184"/>
      <c r="I23" s="184"/>
      <c r="J23" s="185"/>
      <c r="K23" s="117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</row>
    <row r="24" ht="22.5" customHeight="1">
      <c r="A24" s="45"/>
      <c r="B24" s="187"/>
      <c r="C24" s="187"/>
      <c r="D24" s="187"/>
      <c r="E24" s="187"/>
      <c r="F24" s="47"/>
      <c r="G24" s="81"/>
      <c r="H24" s="184"/>
      <c r="I24" s="184"/>
      <c r="J24" s="185"/>
      <c r="K24" s="117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</row>
    <row r="25" ht="22.5" customHeight="1">
      <c r="A25" s="45"/>
      <c r="B25" s="187"/>
      <c r="C25" s="187"/>
      <c r="D25" s="187"/>
      <c r="E25" s="187"/>
      <c r="F25" s="47"/>
      <c r="G25" s="81"/>
      <c r="H25" s="184"/>
      <c r="I25" s="184"/>
      <c r="J25" s="185"/>
      <c r="K25" s="117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  <c r="AA25" s="180"/>
    </row>
    <row r="26" ht="22.5" customHeight="1">
      <c r="A26" s="45"/>
      <c r="B26" s="187"/>
      <c r="C26" s="187"/>
      <c r="D26" s="187"/>
      <c r="E26" s="187"/>
      <c r="F26" s="47"/>
      <c r="G26" s="81"/>
      <c r="H26" s="184"/>
      <c r="I26" s="184"/>
      <c r="J26" s="185"/>
      <c r="K26" s="117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  <c r="AA26" s="180"/>
    </row>
    <row r="27" ht="22.5" customHeight="1">
      <c r="A27" s="45"/>
      <c r="B27" s="187"/>
      <c r="C27" s="187"/>
      <c r="D27" s="187"/>
      <c r="E27" s="187"/>
      <c r="F27" s="47"/>
      <c r="G27" s="81"/>
      <c r="H27" s="184"/>
      <c r="I27" s="184"/>
      <c r="J27" s="185"/>
      <c r="K27" s="117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</row>
    <row r="28" ht="22.5" customHeight="1">
      <c r="A28" s="45"/>
      <c r="B28" s="187"/>
      <c r="C28" s="187"/>
      <c r="D28" s="187"/>
      <c r="E28" s="187"/>
      <c r="F28" s="47"/>
      <c r="G28" s="81"/>
      <c r="H28" s="184"/>
      <c r="I28" s="184"/>
      <c r="J28" s="185"/>
      <c r="K28" s="117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  <c r="AA28" s="180"/>
    </row>
    <row r="29" ht="22.5" customHeight="1">
      <c r="A29" s="45"/>
      <c r="B29" s="187"/>
      <c r="C29" s="187"/>
      <c r="D29" s="187"/>
      <c r="E29" s="187"/>
      <c r="F29" s="47"/>
      <c r="G29" s="81"/>
      <c r="H29" s="188"/>
      <c r="I29" s="188"/>
      <c r="J29" s="189"/>
      <c r="K29" s="117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</row>
    <row r="30" ht="22.5" customHeight="1">
      <c r="A30" s="45"/>
      <c r="B30" s="187"/>
      <c r="C30" s="187"/>
      <c r="D30" s="187"/>
      <c r="E30" s="187"/>
      <c r="F30" s="47"/>
      <c r="G30" s="81"/>
      <c r="H30" s="188"/>
      <c r="I30" s="188"/>
      <c r="J30" s="189"/>
      <c r="K30" s="117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  <c r="AA30" s="180"/>
    </row>
    <row r="31" ht="22.5" customHeight="1">
      <c r="A31" s="45"/>
      <c r="B31" s="187"/>
      <c r="C31" s="187"/>
      <c r="D31" s="187"/>
      <c r="E31" s="187"/>
      <c r="F31" s="47"/>
      <c r="G31" s="81"/>
      <c r="H31" s="188"/>
      <c r="I31" s="188"/>
      <c r="J31" s="189"/>
      <c r="K31" s="117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  <c r="AA31" s="180"/>
    </row>
    <row r="32">
      <c r="A32" s="190"/>
      <c r="B32" s="180"/>
      <c r="C32" s="180"/>
      <c r="D32" s="180"/>
      <c r="E32" s="180"/>
      <c r="F32" s="19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</row>
    <row r="33">
      <c r="A33" s="190"/>
      <c r="B33" s="180"/>
      <c r="C33" s="180"/>
      <c r="D33" s="180"/>
      <c r="E33" s="180"/>
      <c r="F33" s="190"/>
      <c r="G33" s="180"/>
      <c r="H33" s="180"/>
      <c r="I33" s="180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  <c r="AA33" s="180"/>
    </row>
    <row r="34">
      <c r="A34" s="190"/>
      <c r="B34" s="180"/>
      <c r="C34" s="180"/>
      <c r="D34" s="180"/>
      <c r="E34" s="180"/>
      <c r="F34" s="19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  <c r="AA34" s="180"/>
    </row>
    <row r="35">
      <c r="A35" s="190"/>
      <c r="B35" s="180"/>
      <c r="C35" s="180"/>
      <c r="D35" s="180"/>
      <c r="E35" s="180"/>
      <c r="F35" s="19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  <c r="AA35" s="180"/>
    </row>
    <row r="36">
      <c r="A36" s="190"/>
      <c r="B36" s="180"/>
      <c r="C36" s="180"/>
      <c r="D36" s="180"/>
      <c r="E36" s="180"/>
      <c r="F36" s="19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</row>
    <row r="37">
      <c r="A37" s="190"/>
      <c r="B37" s="180"/>
      <c r="C37" s="180"/>
      <c r="D37" s="180"/>
      <c r="E37" s="180"/>
      <c r="F37" s="190"/>
      <c r="G37" s="180"/>
      <c r="H37" s="180"/>
      <c r="I37" s="180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</row>
    <row r="38">
      <c r="A38" s="190"/>
      <c r="B38" s="180"/>
      <c r="C38" s="180"/>
      <c r="D38" s="180"/>
      <c r="E38" s="180"/>
      <c r="F38" s="190"/>
      <c r="G38" s="180"/>
      <c r="H38" s="180"/>
      <c r="I38" s="180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  <c r="AA38" s="180"/>
    </row>
    <row r="39">
      <c r="A39" s="190"/>
      <c r="B39" s="180"/>
      <c r="C39" s="180"/>
      <c r="D39" s="180"/>
      <c r="E39" s="180"/>
      <c r="F39" s="19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  <c r="AA39" s="180"/>
    </row>
    <row r="40">
      <c r="A40" s="190"/>
      <c r="B40" s="180"/>
      <c r="C40" s="180"/>
      <c r="D40" s="180"/>
      <c r="E40" s="180"/>
      <c r="F40" s="190"/>
      <c r="G40" s="180"/>
      <c r="H40" s="180"/>
      <c r="I40" s="180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  <c r="AA40" s="180"/>
    </row>
    <row r="41">
      <c r="A41" s="190"/>
      <c r="B41" s="180"/>
      <c r="C41" s="180"/>
      <c r="D41" s="180"/>
      <c r="E41" s="180"/>
      <c r="F41" s="190"/>
      <c r="G41" s="180"/>
      <c r="H41" s="180"/>
      <c r="I41" s="180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  <c r="AA41" s="180"/>
    </row>
    <row r="42">
      <c r="A42" s="190"/>
      <c r="B42" s="180"/>
      <c r="C42" s="180"/>
      <c r="D42" s="180"/>
      <c r="E42" s="180"/>
      <c r="F42" s="19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  <c r="AA42" s="180"/>
    </row>
    <row r="43">
      <c r="A43" s="190"/>
      <c r="B43" s="180"/>
      <c r="C43" s="180"/>
      <c r="D43" s="180"/>
      <c r="E43" s="180"/>
      <c r="F43" s="19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</row>
    <row r="44">
      <c r="A44" s="190"/>
      <c r="B44" s="180"/>
      <c r="C44" s="180"/>
      <c r="D44" s="180"/>
      <c r="E44" s="180"/>
      <c r="F44" s="19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180"/>
    </row>
    <row r="45">
      <c r="A45" s="190"/>
      <c r="B45" s="180"/>
      <c r="C45" s="180"/>
      <c r="D45" s="180"/>
      <c r="E45" s="180"/>
      <c r="F45" s="19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  <c r="AA45" s="180"/>
    </row>
    <row r="46">
      <c r="A46" s="190"/>
      <c r="B46" s="180"/>
      <c r="C46" s="180"/>
      <c r="D46" s="180"/>
      <c r="E46" s="180"/>
      <c r="F46" s="19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</row>
    <row r="47">
      <c r="A47" s="190"/>
      <c r="B47" s="180"/>
      <c r="C47" s="180"/>
      <c r="D47" s="180"/>
      <c r="E47" s="180"/>
      <c r="F47" s="19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  <c r="AA47" s="180"/>
    </row>
    <row r="48">
      <c r="A48" s="190"/>
      <c r="B48" s="180"/>
      <c r="C48" s="180"/>
      <c r="D48" s="180"/>
      <c r="E48" s="180"/>
      <c r="F48" s="19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  <c r="AA48" s="180"/>
    </row>
    <row r="49">
      <c r="A49" s="190"/>
      <c r="B49" s="180"/>
      <c r="C49" s="180"/>
      <c r="D49" s="180"/>
      <c r="E49" s="180"/>
      <c r="F49" s="19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</row>
    <row r="50">
      <c r="A50" s="190"/>
      <c r="B50" s="180"/>
      <c r="C50" s="180"/>
      <c r="D50" s="180"/>
      <c r="E50" s="180"/>
      <c r="F50" s="19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  <c r="AA50" s="180"/>
    </row>
    <row r="51">
      <c r="A51" s="190"/>
      <c r="B51" s="180"/>
      <c r="C51" s="180"/>
      <c r="D51" s="180"/>
      <c r="E51" s="180"/>
      <c r="F51" s="19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  <c r="AA51" s="180"/>
    </row>
    <row r="52">
      <c r="A52" s="190"/>
      <c r="B52" s="180"/>
      <c r="C52" s="180"/>
      <c r="D52" s="180"/>
      <c r="E52" s="180"/>
      <c r="F52" s="19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</row>
    <row r="53">
      <c r="A53" s="190"/>
      <c r="B53" s="180"/>
      <c r="C53" s="180"/>
      <c r="D53" s="180"/>
      <c r="E53" s="180"/>
      <c r="F53" s="19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  <c r="AA53" s="180"/>
    </row>
    <row r="54">
      <c r="A54" s="190"/>
      <c r="B54" s="180"/>
      <c r="C54" s="180"/>
      <c r="D54" s="180"/>
      <c r="E54" s="180"/>
      <c r="F54" s="19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  <c r="AA54" s="180"/>
    </row>
    <row r="55">
      <c r="A55" s="190"/>
      <c r="B55" s="180"/>
      <c r="C55" s="180"/>
      <c r="D55" s="180"/>
      <c r="E55" s="180"/>
      <c r="F55" s="19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  <c r="AA55" s="180"/>
    </row>
    <row r="56">
      <c r="A56" s="190"/>
      <c r="B56" s="180"/>
      <c r="C56" s="180"/>
      <c r="D56" s="180"/>
      <c r="E56" s="180"/>
      <c r="F56" s="19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</row>
    <row r="57">
      <c r="A57" s="190"/>
      <c r="B57" s="180"/>
      <c r="C57" s="180"/>
      <c r="D57" s="180"/>
      <c r="E57" s="180"/>
      <c r="F57" s="19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  <c r="AA57" s="180"/>
    </row>
    <row r="58">
      <c r="A58" s="190"/>
      <c r="B58" s="180"/>
      <c r="C58" s="180"/>
      <c r="D58" s="180"/>
      <c r="E58" s="180"/>
      <c r="F58" s="19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  <c r="AA58" s="180"/>
    </row>
    <row r="59">
      <c r="A59" s="190"/>
      <c r="B59" s="180"/>
      <c r="C59" s="180"/>
      <c r="D59" s="180"/>
      <c r="E59" s="180"/>
      <c r="F59" s="19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  <c r="AA59" s="180"/>
    </row>
    <row r="60">
      <c r="A60" s="190"/>
      <c r="B60" s="180"/>
      <c r="C60" s="180"/>
      <c r="D60" s="180"/>
      <c r="E60" s="180"/>
      <c r="F60" s="19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  <c r="AA60" s="180"/>
    </row>
    <row r="61">
      <c r="A61" s="190"/>
      <c r="B61" s="180"/>
      <c r="C61" s="180"/>
      <c r="D61" s="180"/>
      <c r="E61" s="180"/>
      <c r="F61" s="19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  <c r="AA61" s="180"/>
    </row>
    <row r="62">
      <c r="A62" s="190"/>
      <c r="B62" s="180"/>
      <c r="C62" s="180"/>
      <c r="D62" s="180"/>
      <c r="E62" s="180"/>
      <c r="F62" s="19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  <c r="AA62" s="180"/>
    </row>
    <row r="63">
      <c r="A63" s="190"/>
      <c r="B63" s="180"/>
      <c r="C63" s="180"/>
      <c r="D63" s="180"/>
      <c r="E63" s="180"/>
      <c r="F63" s="19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  <c r="AA63" s="180"/>
    </row>
    <row r="64">
      <c r="A64" s="190"/>
      <c r="B64" s="180"/>
      <c r="C64" s="180"/>
      <c r="D64" s="180"/>
      <c r="E64" s="180"/>
      <c r="F64" s="19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  <c r="AA64" s="180"/>
    </row>
    <row r="65">
      <c r="A65" s="190"/>
      <c r="B65" s="180"/>
      <c r="C65" s="180"/>
      <c r="D65" s="180"/>
      <c r="E65" s="180"/>
      <c r="F65" s="19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  <c r="AA65" s="180"/>
    </row>
    <row r="66">
      <c r="A66" s="190"/>
      <c r="B66" s="180"/>
      <c r="C66" s="180"/>
      <c r="D66" s="180"/>
      <c r="E66" s="180"/>
      <c r="F66" s="19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  <c r="AA66" s="180"/>
    </row>
    <row r="67">
      <c r="A67" s="190"/>
      <c r="B67" s="180"/>
      <c r="C67" s="180"/>
      <c r="D67" s="180"/>
      <c r="E67" s="180"/>
      <c r="F67" s="19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  <c r="AA67" s="180"/>
    </row>
    <row r="68">
      <c r="A68" s="190"/>
      <c r="B68" s="180"/>
      <c r="C68" s="180"/>
      <c r="D68" s="180"/>
      <c r="E68" s="180"/>
      <c r="F68" s="19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  <c r="AA68" s="180"/>
    </row>
    <row r="69">
      <c r="A69" s="190"/>
      <c r="B69" s="180"/>
      <c r="C69" s="180"/>
      <c r="D69" s="180"/>
      <c r="E69" s="180"/>
      <c r="F69" s="19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  <c r="AA69" s="180"/>
    </row>
    <row r="70">
      <c r="A70" s="190"/>
      <c r="B70" s="180"/>
      <c r="C70" s="180"/>
      <c r="D70" s="180"/>
      <c r="E70" s="180"/>
      <c r="F70" s="19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</row>
    <row r="71">
      <c r="A71" s="190"/>
      <c r="B71" s="180"/>
      <c r="C71" s="180"/>
      <c r="D71" s="180"/>
      <c r="E71" s="180"/>
      <c r="F71" s="19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</row>
    <row r="72">
      <c r="A72" s="190"/>
      <c r="B72" s="180"/>
      <c r="C72" s="180"/>
      <c r="D72" s="180"/>
      <c r="E72" s="180"/>
      <c r="F72" s="19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</row>
    <row r="73">
      <c r="A73" s="190"/>
      <c r="B73" s="180"/>
      <c r="C73" s="180"/>
      <c r="D73" s="180"/>
      <c r="E73" s="180"/>
      <c r="F73" s="19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</row>
    <row r="74">
      <c r="A74" s="190"/>
      <c r="B74" s="180"/>
      <c r="C74" s="180"/>
      <c r="D74" s="180"/>
      <c r="E74" s="180"/>
      <c r="F74" s="19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</row>
    <row r="75">
      <c r="A75" s="190"/>
      <c r="B75" s="180"/>
      <c r="C75" s="180"/>
      <c r="D75" s="180"/>
      <c r="E75" s="180"/>
      <c r="F75" s="19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</row>
    <row r="76">
      <c r="A76" s="190"/>
      <c r="B76" s="180"/>
      <c r="C76" s="180"/>
      <c r="D76" s="180"/>
      <c r="E76" s="180"/>
      <c r="F76" s="19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</row>
    <row r="77">
      <c r="A77" s="190"/>
      <c r="B77" s="180"/>
      <c r="C77" s="180"/>
      <c r="D77" s="180"/>
      <c r="E77" s="180"/>
      <c r="F77" s="19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</row>
    <row r="78">
      <c r="A78" s="190"/>
      <c r="B78" s="180"/>
      <c r="C78" s="180"/>
      <c r="D78" s="180"/>
      <c r="E78" s="180"/>
      <c r="F78" s="19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</row>
    <row r="79">
      <c r="A79" s="190"/>
      <c r="B79" s="180"/>
      <c r="C79" s="180"/>
      <c r="D79" s="180"/>
      <c r="E79" s="180"/>
      <c r="F79" s="19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</row>
    <row r="80">
      <c r="A80" s="190"/>
      <c r="B80" s="180"/>
      <c r="C80" s="180"/>
      <c r="D80" s="180"/>
      <c r="E80" s="180"/>
      <c r="F80" s="19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</row>
    <row r="81">
      <c r="A81" s="190"/>
      <c r="B81" s="180"/>
      <c r="C81" s="180"/>
      <c r="D81" s="180"/>
      <c r="E81" s="180"/>
      <c r="F81" s="19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</row>
    <row r="82">
      <c r="A82" s="190"/>
      <c r="B82" s="180"/>
      <c r="C82" s="180"/>
      <c r="D82" s="180"/>
      <c r="E82" s="180"/>
      <c r="F82" s="19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</row>
    <row r="83">
      <c r="A83" s="190"/>
      <c r="B83" s="180"/>
      <c r="C83" s="180"/>
      <c r="D83" s="180"/>
      <c r="E83" s="180"/>
      <c r="F83" s="19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</row>
    <row r="84">
      <c r="A84" s="190"/>
      <c r="B84" s="180"/>
      <c r="C84" s="180"/>
      <c r="D84" s="180"/>
      <c r="E84" s="180"/>
      <c r="F84" s="19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</row>
    <row r="85">
      <c r="A85" s="190"/>
      <c r="B85" s="180"/>
      <c r="C85" s="180"/>
      <c r="D85" s="180"/>
      <c r="E85" s="180"/>
      <c r="F85" s="19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</row>
    <row r="86">
      <c r="A86" s="190"/>
      <c r="B86" s="180"/>
      <c r="C86" s="180"/>
      <c r="D86" s="180"/>
      <c r="E86" s="180"/>
      <c r="F86" s="19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</row>
    <row r="87">
      <c r="A87" s="190"/>
      <c r="B87" s="180"/>
      <c r="C87" s="180"/>
      <c r="D87" s="180"/>
      <c r="E87" s="180"/>
      <c r="F87" s="19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</row>
    <row r="88">
      <c r="A88" s="190"/>
      <c r="B88" s="180"/>
      <c r="C88" s="180"/>
      <c r="D88" s="180"/>
      <c r="E88" s="180"/>
      <c r="F88" s="19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</row>
    <row r="89">
      <c r="A89" s="190"/>
      <c r="B89" s="180"/>
      <c r="C89" s="180"/>
      <c r="D89" s="180"/>
      <c r="E89" s="180"/>
      <c r="F89" s="19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</row>
    <row r="90">
      <c r="A90" s="190"/>
      <c r="B90" s="180"/>
      <c r="C90" s="180"/>
      <c r="D90" s="180"/>
      <c r="E90" s="180"/>
      <c r="F90" s="19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</row>
    <row r="91">
      <c r="A91" s="190"/>
      <c r="B91" s="180"/>
      <c r="C91" s="180"/>
      <c r="D91" s="180"/>
      <c r="E91" s="180"/>
      <c r="F91" s="19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</row>
    <row r="92">
      <c r="A92" s="190"/>
      <c r="B92" s="180"/>
      <c r="C92" s="180"/>
      <c r="D92" s="180"/>
      <c r="E92" s="180"/>
      <c r="F92" s="19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</row>
    <row r="93">
      <c r="A93" s="190"/>
      <c r="B93" s="180"/>
      <c r="C93" s="180"/>
      <c r="D93" s="180"/>
      <c r="E93" s="180"/>
      <c r="F93" s="19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</row>
    <row r="94">
      <c r="A94" s="190"/>
      <c r="B94" s="180"/>
      <c r="C94" s="180"/>
      <c r="D94" s="180"/>
      <c r="E94" s="180"/>
      <c r="F94" s="19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</row>
    <row r="95">
      <c r="A95" s="190"/>
      <c r="B95" s="180"/>
      <c r="C95" s="180"/>
      <c r="D95" s="180"/>
      <c r="E95" s="180"/>
      <c r="F95" s="19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</row>
    <row r="96">
      <c r="A96" s="190"/>
      <c r="B96" s="180"/>
      <c r="C96" s="180"/>
      <c r="D96" s="180"/>
      <c r="E96" s="180"/>
      <c r="F96" s="19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</row>
    <row r="97">
      <c r="A97" s="190"/>
      <c r="B97" s="180"/>
      <c r="C97" s="180"/>
      <c r="D97" s="180"/>
      <c r="E97" s="180"/>
      <c r="F97" s="19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</row>
    <row r="98">
      <c r="A98" s="190"/>
      <c r="B98" s="180"/>
      <c r="C98" s="180"/>
      <c r="D98" s="180"/>
      <c r="E98" s="180"/>
      <c r="F98" s="19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</row>
    <row r="99">
      <c r="A99" s="190"/>
      <c r="B99" s="180"/>
      <c r="C99" s="180"/>
      <c r="D99" s="180"/>
      <c r="E99" s="180"/>
      <c r="F99" s="19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</row>
    <row r="100">
      <c r="A100" s="190"/>
      <c r="B100" s="180"/>
      <c r="C100" s="180"/>
      <c r="D100" s="180"/>
      <c r="E100" s="180"/>
      <c r="F100" s="19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</row>
    <row r="101">
      <c r="A101" s="190"/>
      <c r="B101" s="180"/>
      <c r="C101" s="180"/>
      <c r="D101" s="180"/>
      <c r="E101" s="180"/>
      <c r="F101" s="19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</row>
    <row r="102">
      <c r="A102" s="190"/>
      <c r="B102" s="180"/>
      <c r="C102" s="180"/>
      <c r="D102" s="180"/>
      <c r="E102" s="180"/>
      <c r="F102" s="19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</row>
    <row r="103">
      <c r="A103" s="190"/>
      <c r="B103" s="180"/>
      <c r="C103" s="180"/>
      <c r="D103" s="180"/>
      <c r="E103" s="180"/>
      <c r="F103" s="19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</row>
    <row r="104">
      <c r="A104" s="190"/>
      <c r="B104" s="180"/>
      <c r="C104" s="180"/>
      <c r="D104" s="180"/>
      <c r="E104" s="180"/>
      <c r="F104" s="19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</row>
    <row r="105">
      <c r="A105" s="190"/>
      <c r="B105" s="180"/>
      <c r="C105" s="180"/>
      <c r="D105" s="180"/>
      <c r="E105" s="180"/>
      <c r="F105" s="19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</row>
    <row r="106">
      <c r="A106" s="190"/>
      <c r="B106" s="180"/>
      <c r="C106" s="180"/>
      <c r="D106" s="180"/>
      <c r="E106" s="180"/>
      <c r="F106" s="19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</row>
    <row r="107">
      <c r="A107" s="190"/>
      <c r="B107" s="180"/>
      <c r="C107" s="180"/>
      <c r="D107" s="180"/>
      <c r="E107" s="180"/>
      <c r="F107" s="19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</row>
    <row r="108">
      <c r="A108" s="190"/>
      <c r="B108" s="180"/>
      <c r="C108" s="180"/>
      <c r="D108" s="180"/>
      <c r="E108" s="180"/>
      <c r="F108" s="19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</row>
    <row r="109">
      <c r="A109" s="190"/>
      <c r="B109" s="180"/>
      <c r="C109" s="180"/>
      <c r="D109" s="180"/>
      <c r="E109" s="180"/>
      <c r="F109" s="19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</row>
    <row r="110">
      <c r="A110" s="190"/>
      <c r="B110" s="180"/>
      <c r="C110" s="180"/>
      <c r="D110" s="180"/>
      <c r="E110" s="180"/>
      <c r="F110" s="19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</row>
    <row r="111">
      <c r="A111" s="190"/>
      <c r="B111" s="180"/>
      <c r="C111" s="180"/>
      <c r="D111" s="180"/>
      <c r="E111" s="180"/>
      <c r="F111" s="19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</row>
    <row r="112">
      <c r="A112" s="190"/>
      <c r="B112" s="180"/>
      <c r="C112" s="180"/>
      <c r="D112" s="180"/>
      <c r="E112" s="180"/>
      <c r="F112" s="19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</row>
    <row r="113">
      <c r="A113" s="190"/>
      <c r="B113" s="180"/>
      <c r="C113" s="180"/>
      <c r="D113" s="180"/>
      <c r="E113" s="180"/>
      <c r="F113" s="19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</row>
    <row r="114">
      <c r="A114" s="190"/>
      <c r="B114" s="180"/>
      <c r="C114" s="180"/>
      <c r="D114" s="180"/>
      <c r="E114" s="180"/>
      <c r="F114" s="19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</row>
    <row r="115">
      <c r="A115" s="190"/>
      <c r="B115" s="180"/>
      <c r="C115" s="180"/>
      <c r="D115" s="180"/>
      <c r="E115" s="180"/>
      <c r="F115" s="19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</row>
    <row r="116">
      <c r="A116" s="190"/>
      <c r="B116" s="180"/>
      <c r="C116" s="180"/>
      <c r="D116" s="180"/>
      <c r="E116" s="180"/>
      <c r="F116" s="19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</row>
    <row r="117">
      <c r="A117" s="190"/>
      <c r="B117" s="180"/>
      <c r="C117" s="180"/>
      <c r="D117" s="180"/>
      <c r="E117" s="180"/>
      <c r="F117" s="19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</row>
    <row r="118">
      <c r="A118" s="190"/>
      <c r="B118" s="180"/>
      <c r="C118" s="180"/>
      <c r="D118" s="180"/>
      <c r="E118" s="180"/>
      <c r="F118" s="19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</row>
    <row r="119">
      <c r="A119" s="190"/>
      <c r="B119" s="180"/>
      <c r="C119" s="180"/>
      <c r="D119" s="180"/>
      <c r="E119" s="180"/>
      <c r="F119" s="19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</row>
    <row r="120">
      <c r="A120" s="190"/>
      <c r="B120" s="180"/>
      <c r="C120" s="180"/>
      <c r="D120" s="180"/>
      <c r="E120" s="180"/>
      <c r="F120" s="19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</row>
    <row r="121">
      <c r="A121" s="190"/>
      <c r="B121" s="180"/>
      <c r="C121" s="180"/>
      <c r="D121" s="180"/>
      <c r="E121" s="180"/>
      <c r="F121" s="19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</row>
    <row r="122">
      <c r="A122" s="190"/>
      <c r="B122" s="180"/>
      <c r="C122" s="180"/>
      <c r="D122" s="180"/>
      <c r="E122" s="180"/>
      <c r="F122" s="19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</row>
    <row r="123">
      <c r="A123" s="190"/>
      <c r="B123" s="180"/>
      <c r="C123" s="180"/>
      <c r="D123" s="180"/>
      <c r="E123" s="180"/>
      <c r="F123" s="19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</row>
    <row r="124">
      <c r="A124" s="190"/>
      <c r="B124" s="180"/>
      <c r="C124" s="180"/>
      <c r="D124" s="180"/>
      <c r="E124" s="180"/>
      <c r="F124" s="19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</row>
    <row r="125">
      <c r="A125" s="190"/>
      <c r="B125" s="180"/>
      <c r="C125" s="180"/>
      <c r="D125" s="180"/>
      <c r="E125" s="180"/>
      <c r="F125" s="19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</row>
    <row r="126">
      <c r="A126" s="190"/>
      <c r="B126" s="180"/>
      <c r="C126" s="180"/>
      <c r="D126" s="180"/>
      <c r="E126" s="180"/>
      <c r="F126" s="19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</row>
    <row r="127">
      <c r="A127" s="190"/>
      <c r="B127" s="180"/>
      <c r="C127" s="180"/>
      <c r="D127" s="180"/>
      <c r="E127" s="180"/>
      <c r="F127" s="19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</row>
    <row r="128">
      <c r="A128" s="190"/>
      <c r="B128" s="180"/>
      <c r="C128" s="180"/>
      <c r="D128" s="180"/>
      <c r="E128" s="180"/>
      <c r="F128" s="19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</row>
    <row r="129">
      <c r="A129" s="190"/>
      <c r="B129" s="180"/>
      <c r="C129" s="180"/>
      <c r="D129" s="180"/>
      <c r="E129" s="180"/>
      <c r="F129" s="19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</row>
    <row r="130">
      <c r="A130" s="190"/>
      <c r="B130" s="180"/>
      <c r="C130" s="180"/>
      <c r="D130" s="180"/>
      <c r="E130" s="180"/>
      <c r="F130" s="19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</row>
    <row r="131">
      <c r="A131" s="190"/>
      <c r="B131" s="180"/>
      <c r="C131" s="180"/>
      <c r="D131" s="180"/>
      <c r="E131" s="180"/>
      <c r="F131" s="19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</row>
    <row r="132">
      <c r="A132" s="190"/>
      <c r="B132" s="180"/>
      <c r="C132" s="180"/>
      <c r="D132" s="180"/>
      <c r="E132" s="180"/>
      <c r="F132" s="19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</row>
    <row r="133">
      <c r="A133" s="190"/>
      <c r="B133" s="180"/>
      <c r="C133" s="180"/>
      <c r="D133" s="180"/>
      <c r="E133" s="180"/>
      <c r="F133" s="19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</row>
    <row r="134">
      <c r="A134" s="190"/>
      <c r="B134" s="180"/>
      <c r="C134" s="180"/>
      <c r="D134" s="180"/>
      <c r="E134" s="180"/>
      <c r="F134" s="19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</row>
    <row r="135">
      <c r="A135" s="190"/>
      <c r="B135" s="180"/>
      <c r="C135" s="180"/>
      <c r="D135" s="180"/>
      <c r="E135" s="180"/>
      <c r="F135" s="19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</row>
    <row r="136">
      <c r="A136" s="190"/>
      <c r="B136" s="180"/>
      <c r="C136" s="180"/>
      <c r="D136" s="180"/>
      <c r="E136" s="180"/>
      <c r="F136" s="19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</row>
    <row r="137">
      <c r="A137" s="190"/>
      <c r="B137" s="180"/>
      <c r="C137" s="180"/>
      <c r="D137" s="180"/>
      <c r="E137" s="180"/>
      <c r="F137" s="19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</row>
    <row r="138">
      <c r="A138" s="190"/>
      <c r="B138" s="180"/>
      <c r="C138" s="180"/>
      <c r="D138" s="180"/>
      <c r="E138" s="180"/>
      <c r="F138" s="19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</row>
    <row r="139">
      <c r="A139" s="190"/>
      <c r="B139" s="180"/>
      <c r="C139" s="180"/>
      <c r="D139" s="180"/>
      <c r="E139" s="180"/>
      <c r="F139" s="19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</row>
    <row r="140">
      <c r="A140" s="190"/>
      <c r="B140" s="180"/>
      <c r="C140" s="180"/>
      <c r="D140" s="180"/>
      <c r="E140" s="180"/>
      <c r="F140" s="19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</row>
    <row r="141">
      <c r="A141" s="190"/>
      <c r="B141" s="180"/>
      <c r="C141" s="180"/>
      <c r="D141" s="180"/>
      <c r="E141" s="180"/>
      <c r="F141" s="19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</row>
    <row r="142">
      <c r="A142" s="190"/>
      <c r="B142" s="180"/>
      <c r="C142" s="180"/>
      <c r="D142" s="180"/>
      <c r="E142" s="180"/>
      <c r="F142" s="19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</row>
    <row r="143">
      <c r="A143" s="190"/>
      <c r="B143" s="180"/>
      <c r="C143" s="180"/>
      <c r="D143" s="180"/>
      <c r="E143" s="180"/>
      <c r="F143" s="19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</row>
    <row r="144">
      <c r="A144" s="190"/>
      <c r="B144" s="180"/>
      <c r="C144" s="180"/>
      <c r="D144" s="180"/>
      <c r="E144" s="180"/>
      <c r="F144" s="19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</row>
    <row r="145">
      <c r="A145" s="190"/>
      <c r="B145" s="180"/>
      <c r="C145" s="180"/>
      <c r="D145" s="180"/>
      <c r="E145" s="180"/>
      <c r="F145" s="19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</row>
    <row r="146">
      <c r="A146" s="190"/>
      <c r="B146" s="180"/>
      <c r="C146" s="180"/>
      <c r="D146" s="180"/>
      <c r="E146" s="180"/>
      <c r="F146" s="19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</row>
    <row r="147">
      <c r="A147" s="190"/>
      <c r="B147" s="180"/>
      <c r="C147" s="180"/>
      <c r="D147" s="180"/>
      <c r="E147" s="180"/>
      <c r="F147" s="19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</row>
    <row r="148">
      <c r="A148" s="190"/>
      <c r="B148" s="180"/>
      <c r="C148" s="180"/>
      <c r="D148" s="180"/>
      <c r="E148" s="180"/>
      <c r="F148" s="19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</row>
    <row r="149">
      <c r="A149" s="190"/>
      <c r="B149" s="180"/>
      <c r="C149" s="180"/>
      <c r="D149" s="180"/>
      <c r="E149" s="180"/>
      <c r="F149" s="19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</row>
    <row r="150">
      <c r="A150" s="190"/>
      <c r="B150" s="180"/>
      <c r="C150" s="180"/>
      <c r="D150" s="180"/>
      <c r="E150" s="180"/>
      <c r="F150" s="19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</row>
    <row r="151">
      <c r="A151" s="190"/>
      <c r="B151" s="180"/>
      <c r="C151" s="180"/>
      <c r="D151" s="180"/>
      <c r="E151" s="180"/>
      <c r="F151" s="19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</row>
    <row r="152">
      <c r="A152" s="190"/>
      <c r="B152" s="180"/>
      <c r="C152" s="180"/>
      <c r="D152" s="180"/>
      <c r="E152" s="180"/>
      <c r="F152" s="19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</row>
    <row r="153">
      <c r="A153" s="190"/>
      <c r="B153" s="180"/>
      <c r="C153" s="180"/>
      <c r="D153" s="180"/>
      <c r="E153" s="180"/>
      <c r="F153" s="19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</row>
    <row r="154">
      <c r="A154" s="190"/>
      <c r="B154" s="180"/>
      <c r="C154" s="180"/>
      <c r="D154" s="180"/>
      <c r="E154" s="180"/>
      <c r="F154" s="19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</row>
    <row r="155">
      <c r="A155" s="190"/>
      <c r="B155" s="180"/>
      <c r="C155" s="180"/>
      <c r="D155" s="180"/>
      <c r="E155" s="180"/>
      <c r="F155" s="19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</row>
    <row r="156">
      <c r="A156" s="190"/>
      <c r="B156" s="180"/>
      <c r="C156" s="180"/>
      <c r="D156" s="180"/>
      <c r="E156" s="180"/>
      <c r="F156" s="19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</row>
    <row r="157">
      <c r="A157" s="190"/>
      <c r="B157" s="180"/>
      <c r="C157" s="180"/>
      <c r="D157" s="180"/>
      <c r="E157" s="180"/>
      <c r="F157" s="19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</row>
    <row r="158">
      <c r="A158" s="190"/>
      <c r="B158" s="180"/>
      <c r="C158" s="180"/>
      <c r="D158" s="180"/>
      <c r="E158" s="180"/>
      <c r="F158" s="19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</row>
    <row r="159">
      <c r="A159" s="190"/>
      <c r="B159" s="180"/>
      <c r="C159" s="180"/>
      <c r="D159" s="180"/>
      <c r="E159" s="180"/>
      <c r="F159" s="19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</row>
    <row r="160">
      <c r="A160" s="190"/>
      <c r="B160" s="180"/>
      <c r="C160" s="180"/>
      <c r="D160" s="180"/>
      <c r="E160" s="180"/>
      <c r="F160" s="19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</row>
    <row r="161">
      <c r="A161" s="190"/>
      <c r="B161" s="180"/>
      <c r="C161" s="180"/>
      <c r="D161" s="180"/>
      <c r="E161" s="180"/>
      <c r="F161" s="19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</row>
    <row r="162">
      <c r="A162" s="190"/>
      <c r="B162" s="180"/>
      <c r="C162" s="180"/>
      <c r="D162" s="180"/>
      <c r="E162" s="180"/>
      <c r="F162" s="19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</row>
    <row r="163">
      <c r="A163" s="190"/>
      <c r="B163" s="180"/>
      <c r="C163" s="180"/>
      <c r="D163" s="180"/>
      <c r="E163" s="180"/>
      <c r="F163" s="19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</row>
    <row r="164">
      <c r="A164" s="190"/>
      <c r="B164" s="180"/>
      <c r="C164" s="180"/>
      <c r="D164" s="180"/>
      <c r="E164" s="180"/>
      <c r="F164" s="19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</row>
    <row r="165">
      <c r="A165" s="190"/>
      <c r="B165" s="180"/>
      <c r="C165" s="180"/>
      <c r="D165" s="180"/>
      <c r="E165" s="180"/>
      <c r="F165" s="19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</row>
    <row r="166">
      <c r="A166" s="190"/>
      <c r="B166" s="180"/>
      <c r="C166" s="180"/>
      <c r="D166" s="180"/>
      <c r="E166" s="180"/>
      <c r="F166" s="19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</row>
    <row r="167">
      <c r="A167" s="190"/>
      <c r="B167" s="180"/>
      <c r="C167" s="180"/>
      <c r="D167" s="180"/>
      <c r="E167" s="180"/>
      <c r="F167" s="19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</row>
    <row r="168">
      <c r="A168" s="190"/>
      <c r="B168" s="180"/>
      <c r="C168" s="180"/>
      <c r="D168" s="180"/>
      <c r="E168" s="180"/>
      <c r="F168" s="19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</row>
    <row r="169">
      <c r="A169" s="190"/>
      <c r="B169" s="180"/>
      <c r="C169" s="180"/>
      <c r="D169" s="180"/>
      <c r="E169" s="180"/>
      <c r="F169" s="19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</row>
    <row r="170">
      <c r="A170" s="190"/>
      <c r="B170" s="180"/>
      <c r="C170" s="180"/>
      <c r="D170" s="180"/>
      <c r="E170" s="180"/>
      <c r="F170" s="19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</row>
    <row r="171">
      <c r="A171" s="190"/>
      <c r="B171" s="180"/>
      <c r="C171" s="180"/>
      <c r="D171" s="180"/>
      <c r="E171" s="180"/>
      <c r="F171" s="19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</row>
    <row r="172">
      <c r="A172" s="190"/>
      <c r="B172" s="180"/>
      <c r="C172" s="180"/>
      <c r="D172" s="180"/>
      <c r="E172" s="180"/>
      <c r="F172" s="19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</row>
    <row r="173">
      <c r="A173" s="190"/>
      <c r="B173" s="180"/>
      <c r="C173" s="180"/>
      <c r="D173" s="180"/>
      <c r="E173" s="180"/>
      <c r="F173" s="19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</row>
    <row r="174">
      <c r="A174" s="190"/>
      <c r="B174" s="180"/>
      <c r="C174" s="180"/>
      <c r="D174" s="180"/>
      <c r="E174" s="180"/>
      <c r="F174" s="19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</row>
    <row r="175">
      <c r="A175" s="190"/>
      <c r="B175" s="180"/>
      <c r="C175" s="180"/>
      <c r="D175" s="180"/>
      <c r="E175" s="180"/>
      <c r="F175" s="19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</row>
    <row r="176">
      <c r="A176" s="190"/>
      <c r="B176" s="180"/>
      <c r="C176" s="180"/>
      <c r="D176" s="180"/>
      <c r="E176" s="180"/>
      <c r="F176" s="19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</row>
    <row r="177">
      <c r="A177" s="190"/>
      <c r="B177" s="180"/>
      <c r="C177" s="180"/>
      <c r="D177" s="180"/>
      <c r="E177" s="180"/>
      <c r="F177" s="19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</row>
    <row r="178">
      <c r="A178" s="190"/>
      <c r="B178" s="180"/>
      <c r="C178" s="180"/>
      <c r="D178" s="180"/>
      <c r="E178" s="180"/>
      <c r="F178" s="19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</row>
    <row r="179">
      <c r="A179" s="190"/>
      <c r="B179" s="180"/>
      <c r="C179" s="180"/>
      <c r="D179" s="180"/>
      <c r="E179" s="180"/>
      <c r="F179" s="19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</row>
    <row r="180">
      <c r="A180" s="190"/>
      <c r="B180" s="180"/>
      <c r="C180" s="180"/>
      <c r="D180" s="180"/>
      <c r="E180" s="180"/>
      <c r="F180" s="19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</row>
    <row r="181">
      <c r="A181" s="190"/>
      <c r="B181" s="180"/>
      <c r="C181" s="180"/>
      <c r="D181" s="180"/>
      <c r="E181" s="180"/>
      <c r="F181" s="19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</row>
    <row r="182">
      <c r="A182" s="190"/>
      <c r="B182" s="180"/>
      <c r="C182" s="180"/>
      <c r="D182" s="180"/>
      <c r="E182" s="180"/>
      <c r="F182" s="19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</row>
    <row r="183">
      <c r="A183" s="190"/>
      <c r="B183" s="180"/>
      <c r="C183" s="180"/>
      <c r="D183" s="180"/>
      <c r="E183" s="180"/>
      <c r="F183" s="19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</row>
    <row r="184">
      <c r="A184" s="190"/>
      <c r="B184" s="180"/>
      <c r="C184" s="180"/>
      <c r="D184" s="180"/>
      <c r="E184" s="180"/>
      <c r="F184" s="19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</row>
    <row r="185">
      <c r="A185" s="190"/>
      <c r="B185" s="180"/>
      <c r="C185" s="180"/>
      <c r="D185" s="180"/>
      <c r="E185" s="180"/>
      <c r="F185" s="19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</row>
    <row r="186">
      <c r="A186" s="190"/>
      <c r="B186" s="180"/>
      <c r="C186" s="180"/>
      <c r="D186" s="180"/>
      <c r="E186" s="180"/>
      <c r="F186" s="19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</row>
    <row r="187">
      <c r="A187" s="190"/>
      <c r="B187" s="180"/>
      <c r="C187" s="180"/>
      <c r="D187" s="180"/>
      <c r="E187" s="180"/>
      <c r="F187" s="19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</row>
    <row r="188">
      <c r="A188" s="190"/>
      <c r="B188" s="180"/>
      <c r="C188" s="180"/>
      <c r="D188" s="180"/>
      <c r="E188" s="180"/>
      <c r="F188" s="19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</row>
    <row r="189">
      <c r="A189" s="190"/>
      <c r="B189" s="180"/>
      <c r="C189" s="180"/>
      <c r="D189" s="180"/>
      <c r="E189" s="180"/>
      <c r="F189" s="19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</row>
    <row r="190">
      <c r="A190" s="190"/>
      <c r="B190" s="180"/>
      <c r="C190" s="180"/>
      <c r="D190" s="180"/>
      <c r="E190" s="180"/>
      <c r="F190" s="19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</row>
    <row r="191">
      <c r="A191" s="190"/>
      <c r="B191" s="180"/>
      <c r="C191" s="180"/>
      <c r="D191" s="180"/>
      <c r="E191" s="180"/>
      <c r="F191" s="19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</row>
    <row r="192">
      <c r="A192" s="190"/>
      <c r="B192" s="180"/>
      <c r="C192" s="180"/>
      <c r="D192" s="180"/>
      <c r="E192" s="180"/>
      <c r="F192" s="19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</row>
    <row r="193">
      <c r="A193" s="190"/>
      <c r="B193" s="180"/>
      <c r="C193" s="180"/>
      <c r="D193" s="180"/>
      <c r="E193" s="180"/>
      <c r="F193" s="19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</row>
    <row r="194">
      <c r="A194" s="190"/>
      <c r="B194" s="180"/>
      <c r="C194" s="180"/>
      <c r="D194" s="180"/>
      <c r="E194" s="180"/>
      <c r="F194" s="19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</row>
    <row r="195">
      <c r="A195" s="190"/>
      <c r="B195" s="180"/>
      <c r="C195" s="180"/>
      <c r="D195" s="180"/>
      <c r="E195" s="180"/>
      <c r="F195" s="19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</row>
    <row r="196">
      <c r="A196" s="190"/>
      <c r="B196" s="180"/>
      <c r="C196" s="180"/>
      <c r="D196" s="180"/>
      <c r="E196" s="180"/>
      <c r="F196" s="19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</row>
    <row r="197">
      <c r="A197" s="190"/>
      <c r="B197" s="180"/>
      <c r="C197" s="180"/>
      <c r="D197" s="180"/>
      <c r="E197" s="180"/>
      <c r="F197" s="19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</row>
    <row r="198">
      <c r="A198" s="190"/>
      <c r="B198" s="180"/>
      <c r="C198" s="180"/>
      <c r="D198" s="180"/>
      <c r="E198" s="180"/>
      <c r="F198" s="19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</row>
    <row r="199">
      <c r="A199" s="190"/>
      <c r="B199" s="180"/>
      <c r="C199" s="180"/>
      <c r="D199" s="180"/>
      <c r="E199" s="180"/>
      <c r="F199" s="19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</row>
    <row r="200">
      <c r="A200" s="190"/>
      <c r="B200" s="180"/>
      <c r="C200" s="180"/>
      <c r="D200" s="180"/>
      <c r="E200" s="180"/>
      <c r="F200" s="19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</row>
    <row r="201">
      <c r="A201" s="190"/>
      <c r="B201" s="180"/>
      <c r="C201" s="180"/>
      <c r="D201" s="180"/>
      <c r="E201" s="180"/>
      <c r="F201" s="19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</row>
    <row r="202">
      <c r="A202" s="190"/>
      <c r="B202" s="180"/>
      <c r="C202" s="180"/>
      <c r="D202" s="180"/>
      <c r="E202" s="180"/>
      <c r="F202" s="19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</row>
    <row r="203">
      <c r="A203" s="190"/>
      <c r="B203" s="180"/>
      <c r="C203" s="180"/>
      <c r="D203" s="180"/>
      <c r="E203" s="180"/>
      <c r="F203" s="19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</row>
    <row r="204">
      <c r="A204" s="190"/>
      <c r="B204" s="180"/>
      <c r="C204" s="180"/>
      <c r="D204" s="180"/>
      <c r="E204" s="180"/>
      <c r="F204" s="19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</row>
    <row r="205">
      <c r="A205" s="190"/>
      <c r="B205" s="180"/>
      <c r="C205" s="180"/>
      <c r="D205" s="180"/>
      <c r="E205" s="180"/>
      <c r="F205" s="19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</row>
    <row r="206">
      <c r="A206" s="190"/>
      <c r="B206" s="180"/>
      <c r="C206" s="180"/>
      <c r="D206" s="180"/>
      <c r="E206" s="180"/>
      <c r="F206" s="19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</row>
    <row r="207">
      <c r="A207" s="190"/>
      <c r="B207" s="180"/>
      <c r="C207" s="180"/>
      <c r="D207" s="180"/>
      <c r="E207" s="180"/>
      <c r="F207" s="19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</row>
    <row r="208">
      <c r="A208" s="190"/>
      <c r="B208" s="180"/>
      <c r="C208" s="180"/>
      <c r="D208" s="180"/>
      <c r="E208" s="180"/>
      <c r="F208" s="19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</row>
    <row r="209">
      <c r="A209" s="190"/>
      <c r="B209" s="180"/>
      <c r="C209" s="180"/>
      <c r="D209" s="180"/>
      <c r="E209" s="180"/>
      <c r="F209" s="19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</row>
    <row r="210">
      <c r="A210" s="190"/>
      <c r="B210" s="180"/>
      <c r="C210" s="180"/>
      <c r="D210" s="180"/>
      <c r="E210" s="180"/>
      <c r="F210" s="19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</row>
    <row r="211">
      <c r="A211" s="190"/>
      <c r="B211" s="180"/>
      <c r="C211" s="180"/>
      <c r="D211" s="180"/>
      <c r="E211" s="180"/>
      <c r="F211" s="19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</row>
    <row r="212">
      <c r="A212" s="190"/>
      <c r="B212" s="180"/>
      <c r="C212" s="180"/>
      <c r="D212" s="180"/>
      <c r="E212" s="180"/>
      <c r="F212" s="19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</row>
    <row r="213">
      <c r="A213" s="190"/>
      <c r="B213" s="180"/>
      <c r="C213" s="180"/>
      <c r="D213" s="180"/>
      <c r="E213" s="180"/>
      <c r="F213" s="19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</row>
    <row r="214">
      <c r="A214" s="190"/>
      <c r="B214" s="180"/>
      <c r="C214" s="180"/>
      <c r="D214" s="180"/>
      <c r="E214" s="180"/>
      <c r="F214" s="19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</row>
    <row r="215">
      <c r="A215" s="190"/>
      <c r="B215" s="180"/>
      <c r="C215" s="180"/>
      <c r="D215" s="180"/>
      <c r="E215" s="180"/>
      <c r="F215" s="19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</row>
    <row r="216">
      <c r="A216" s="190"/>
      <c r="B216" s="180"/>
      <c r="C216" s="180"/>
      <c r="D216" s="180"/>
      <c r="E216" s="180"/>
      <c r="F216" s="19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</row>
    <row r="217">
      <c r="A217" s="190"/>
      <c r="B217" s="180"/>
      <c r="C217" s="180"/>
      <c r="D217" s="180"/>
      <c r="E217" s="180"/>
      <c r="F217" s="19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</row>
    <row r="218">
      <c r="A218" s="190"/>
      <c r="B218" s="180"/>
      <c r="C218" s="180"/>
      <c r="D218" s="180"/>
      <c r="E218" s="180"/>
      <c r="F218" s="19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</row>
    <row r="219">
      <c r="A219" s="190"/>
      <c r="B219" s="180"/>
      <c r="C219" s="180"/>
      <c r="D219" s="180"/>
      <c r="E219" s="180"/>
      <c r="F219" s="19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</row>
    <row r="220">
      <c r="A220" s="190"/>
      <c r="B220" s="180"/>
      <c r="C220" s="180"/>
      <c r="D220" s="180"/>
      <c r="E220" s="180"/>
      <c r="F220" s="19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</row>
    <row r="221">
      <c r="A221" s="190"/>
      <c r="B221" s="180"/>
      <c r="C221" s="180"/>
      <c r="D221" s="180"/>
      <c r="E221" s="180"/>
      <c r="F221" s="19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</row>
    <row r="222">
      <c r="A222" s="190"/>
      <c r="B222" s="180"/>
      <c r="C222" s="180"/>
      <c r="D222" s="180"/>
      <c r="E222" s="180"/>
      <c r="F222" s="19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</row>
    <row r="223">
      <c r="A223" s="190"/>
      <c r="B223" s="180"/>
      <c r="C223" s="180"/>
      <c r="D223" s="180"/>
      <c r="E223" s="180"/>
      <c r="F223" s="19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</row>
    <row r="224">
      <c r="A224" s="190"/>
      <c r="B224" s="180"/>
      <c r="C224" s="180"/>
      <c r="D224" s="180"/>
      <c r="E224" s="180"/>
      <c r="F224" s="19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</row>
    <row r="225">
      <c r="A225" s="190"/>
      <c r="B225" s="180"/>
      <c r="C225" s="180"/>
      <c r="D225" s="180"/>
      <c r="E225" s="180"/>
      <c r="F225" s="19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</row>
    <row r="226">
      <c r="A226" s="190"/>
      <c r="B226" s="180"/>
      <c r="C226" s="180"/>
      <c r="D226" s="180"/>
      <c r="E226" s="180"/>
      <c r="F226" s="19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</row>
    <row r="227">
      <c r="A227" s="190"/>
      <c r="B227" s="180"/>
      <c r="C227" s="180"/>
      <c r="D227" s="180"/>
      <c r="E227" s="180"/>
      <c r="F227" s="19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</row>
    <row r="228">
      <c r="A228" s="190"/>
      <c r="B228" s="180"/>
      <c r="C228" s="180"/>
      <c r="D228" s="180"/>
      <c r="E228" s="180"/>
      <c r="F228" s="19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</row>
    <row r="229">
      <c r="A229" s="190"/>
      <c r="B229" s="180"/>
      <c r="C229" s="180"/>
      <c r="D229" s="180"/>
      <c r="E229" s="180"/>
      <c r="F229" s="19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</row>
    <row r="230">
      <c r="A230" s="190"/>
      <c r="B230" s="180"/>
      <c r="C230" s="180"/>
      <c r="D230" s="180"/>
      <c r="E230" s="180"/>
      <c r="F230" s="19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</row>
    <row r="231">
      <c r="A231" s="190"/>
      <c r="B231" s="180"/>
      <c r="C231" s="180"/>
      <c r="D231" s="180"/>
      <c r="E231" s="180"/>
      <c r="F231" s="19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</row>
    <row r="232">
      <c r="A232" s="190"/>
      <c r="B232" s="180"/>
      <c r="C232" s="180"/>
      <c r="D232" s="180"/>
      <c r="E232" s="180"/>
      <c r="F232" s="19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</row>
    <row r="233">
      <c r="A233" s="190"/>
      <c r="B233" s="180"/>
      <c r="C233" s="180"/>
      <c r="D233" s="180"/>
      <c r="E233" s="180"/>
      <c r="F233" s="19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</row>
    <row r="234">
      <c r="A234" s="190"/>
      <c r="B234" s="180"/>
      <c r="C234" s="180"/>
      <c r="D234" s="180"/>
      <c r="E234" s="180"/>
      <c r="F234" s="19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</row>
    <row r="235">
      <c r="A235" s="190"/>
      <c r="B235" s="180"/>
      <c r="C235" s="180"/>
      <c r="D235" s="180"/>
      <c r="E235" s="180"/>
      <c r="F235" s="19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</row>
    <row r="236">
      <c r="A236" s="190"/>
      <c r="B236" s="180"/>
      <c r="C236" s="180"/>
      <c r="D236" s="180"/>
      <c r="E236" s="180"/>
      <c r="F236" s="19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</row>
    <row r="237">
      <c r="A237" s="190"/>
      <c r="B237" s="180"/>
      <c r="C237" s="180"/>
      <c r="D237" s="180"/>
      <c r="E237" s="180"/>
      <c r="F237" s="19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</row>
    <row r="238">
      <c r="A238" s="190"/>
      <c r="B238" s="180"/>
      <c r="C238" s="180"/>
      <c r="D238" s="180"/>
      <c r="E238" s="180"/>
      <c r="F238" s="19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</row>
    <row r="239">
      <c r="A239" s="190"/>
      <c r="B239" s="180"/>
      <c r="C239" s="180"/>
      <c r="D239" s="180"/>
      <c r="E239" s="180"/>
      <c r="F239" s="19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</row>
    <row r="240">
      <c r="A240" s="190"/>
      <c r="B240" s="180"/>
      <c r="C240" s="180"/>
      <c r="D240" s="180"/>
      <c r="E240" s="180"/>
      <c r="F240" s="19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</row>
    <row r="241">
      <c r="A241" s="190"/>
      <c r="B241" s="180"/>
      <c r="C241" s="180"/>
      <c r="D241" s="180"/>
      <c r="E241" s="180"/>
      <c r="F241" s="19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</row>
    <row r="242">
      <c r="A242" s="190"/>
      <c r="B242" s="180"/>
      <c r="C242" s="180"/>
      <c r="D242" s="180"/>
      <c r="E242" s="180"/>
      <c r="F242" s="19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</row>
    <row r="243">
      <c r="A243" s="190"/>
      <c r="B243" s="180"/>
      <c r="C243" s="180"/>
      <c r="D243" s="180"/>
      <c r="E243" s="180"/>
      <c r="F243" s="19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</row>
    <row r="244">
      <c r="A244" s="190"/>
      <c r="B244" s="180"/>
      <c r="C244" s="180"/>
      <c r="D244" s="180"/>
      <c r="E244" s="180"/>
      <c r="F244" s="19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</row>
    <row r="245">
      <c r="A245" s="190"/>
      <c r="B245" s="180"/>
      <c r="C245" s="180"/>
      <c r="D245" s="180"/>
      <c r="E245" s="180"/>
      <c r="F245" s="19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</row>
    <row r="246">
      <c r="A246" s="190"/>
      <c r="B246" s="180"/>
      <c r="C246" s="180"/>
      <c r="D246" s="180"/>
      <c r="E246" s="180"/>
      <c r="F246" s="19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</row>
    <row r="247">
      <c r="A247" s="190"/>
      <c r="B247" s="180"/>
      <c r="C247" s="180"/>
      <c r="D247" s="180"/>
      <c r="E247" s="180"/>
      <c r="F247" s="19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</row>
    <row r="248">
      <c r="A248" s="190"/>
      <c r="B248" s="180"/>
      <c r="C248" s="180"/>
      <c r="D248" s="180"/>
      <c r="E248" s="180"/>
      <c r="F248" s="19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</row>
    <row r="249">
      <c r="A249" s="190"/>
      <c r="B249" s="180"/>
      <c r="C249" s="180"/>
      <c r="D249" s="180"/>
      <c r="E249" s="180"/>
      <c r="F249" s="19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</row>
    <row r="250">
      <c r="A250" s="190"/>
      <c r="B250" s="180"/>
      <c r="C250" s="180"/>
      <c r="D250" s="180"/>
      <c r="E250" s="180"/>
      <c r="F250" s="19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</row>
    <row r="251">
      <c r="A251" s="190"/>
      <c r="B251" s="180"/>
      <c r="C251" s="180"/>
      <c r="D251" s="180"/>
      <c r="E251" s="180"/>
      <c r="F251" s="19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</row>
    <row r="252">
      <c r="A252" s="190"/>
      <c r="B252" s="180"/>
      <c r="C252" s="180"/>
      <c r="D252" s="180"/>
      <c r="E252" s="180"/>
      <c r="F252" s="19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</row>
    <row r="253">
      <c r="A253" s="190"/>
      <c r="B253" s="180"/>
      <c r="C253" s="180"/>
      <c r="D253" s="180"/>
      <c r="E253" s="180"/>
      <c r="F253" s="19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</row>
    <row r="254">
      <c r="A254" s="190"/>
      <c r="B254" s="180"/>
      <c r="C254" s="180"/>
      <c r="D254" s="180"/>
      <c r="E254" s="180"/>
      <c r="F254" s="19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</row>
    <row r="255">
      <c r="A255" s="190"/>
      <c r="B255" s="180"/>
      <c r="C255" s="180"/>
      <c r="D255" s="180"/>
      <c r="E255" s="180"/>
      <c r="F255" s="19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</row>
    <row r="256">
      <c r="A256" s="190"/>
      <c r="B256" s="180"/>
      <c r="C256" s="180"/>
      <c r="D256" s="180"/>
      <c r="E256" s="180"/>
      <c r="F256" s="19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</row>
    <row r="257">
      <c r="A257" s="190"/>
      <c r="B257" s="180"/>
      <c r="C257" s="180"/>
      <c r="D257" s="180"/>
      <c r="E257" s="180"/>
      <c r="F257" s="19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</row>
    <row r="258">
      <c r="A258" s="190"/>
      <c r="B258" s="180"/>
      <c r="C258" s="180"/>
      <c r="D258" s="180"/>
      <c r="E258" s="180"/>
      <c r="F258" s="19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</row>
    <row r="259">
      <c r="A259" s="190"/>
      <c r="B259" s="180"/>
      <c r="C259" s="180"/>
      <c r="D259" s="180"/>
      <c r="E259" s="180"/>
      <c r="F259" s="19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</row>
    <row r="260">
      <c r="A260" s="190"/>
      <c r="B260" s="180"/>
      <c r="C260" s="180"/>
      <c r="D260" s="180"/>
      <c r="E260" s="180"/>
      <c r="F260" s="19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</row>
    <row r="261">
      <c r="A261" s="190"/>
      <c r="B261" s="180"/>
      <c r="C261" s="180"/>
      <c r="D261" s="180"/>
      <c r="E261" s="180"/>
      <c r="F261" s="19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</row>
    <row r="262">
      <c r="A262" s="190"/>
      <c r="B262" s="180"/>
      <c r="C262" s="180"/>
      <c r="D262" s="180"/>
      <c r="E262" s="180"/>
      <c r="F262" s="19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</row>
    <row r="263">
      <c r="A263" s="190"/>
      <c r="B263" s="180"/>
      <c r="C263" s="180"/>
      <c r="D263" s="180"/>
      <c r="E263" s="180"/>
      <c r="F263" s="19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</row>
    <row r="264">
      <c r="A264" s="190"/>
      <c r="B264" s="180"/>
      <c r="C264" s="180"/>
      <c r="D264" s="180"/>
      <c r="E264" s="180"/>
      <c r="F264" s="19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</row>
    <row r="265">
      <c r="A265" s="190"/>
      <c r="B265" s="180"/>
      <c r="C265" s="180"/>
      <c r="D265" s="180"/>
      <c r="E265" s="180"/>
      <c r="F265" s="19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</row>
    <row r="266">
      <c r="A266" s="190"/>
      <c r="B266" s="180"/>
      <c r="C266" s="180"/>
      <c r="D266" s="180"/>
      <c r="E266" s="180"/>
      <c r="F266" s="19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</row>
    <row r="267">
      <c r="A267" s="190"/>
      <c r="B267" s="180"/>
      <c r="C267" s="180"/>
      <c r="D267" s="180"/>
      <c r="E267" s="180"/>
      <c r="F267" s="19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</row>
    <row r="268">
      <c r="A268" s="190"/>
      <c r="B268" s="180"/>
      <c r="C268" s="180"/>
      <c r="D268" s="180"/>
      <c r="E268" s="180"/>
      <c r="F268" s="19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</row>
    <row r="269">
      <c r="A269" s="190"/>
      <c r="B269" s="180"/>
      <c r="C269" s="180"/>
      <c r="D269" s="180"/>
      <c r="E269" s="180"/>
      <c r="F269" s="19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</row>
    <row r="270">
      <c r="A270" s="190"/>
      <c r="B270" s="180"/>
      <c r="C270" s="180"/>
      <c r="D270" s="180"/>
      <c r="E270" s="180"/>
      <c r="F270" s="19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</row>
    <row r="271">
      <c r="A271" s="190"/>
      <c r="B271" s="180"/>
      <c r="C271" s="180"/>
      <c r="D271" s="180"/>
      <c r="E271" s="180"/>
      <c r="F271" s="19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</row>
    <row r="272">
      <c r="A272" s="190"/>
      <c r="B272" s="180"/>
      <c r="C272" s="180"/>
      <c r="D272" s="180"/>
      <c r="E272" s="180"/>
      <c r="F272" s="19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</row>
    <row r="273">
      <c r="A273" s="190"/>
      <c r="B273" s="180"/>
      <c r="C273" s="180"/>
      <c r="D273" s="180"/>
      <c r="E273" s="180"/>
      <c r="F273" s="19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</row>
    <row r="274">
      <c r="A274" s="190"/>
      <c r="B274" s="180"/>
      <c r="C274" s="180"/>
      <c r="D274" s="180"/>
      <c r="E274" s="180"/>
      <c r="F274" s="19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</row>
    <row r="275">
      <c r="A275" s="190"/>
      <c r="B275" s="180"/>
      <c r="C275" s="180"/>
      <c r="D275" s="180"/>
      <c r="E275" s="180"/>
      <c r="F275" s="19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</row>
    <row r="276">
      <c r="A276" s="190"/>
      <c r="B276" s="180"/>
      <c r="C276" s="180"/>
      <c r="D276" s="180"/>
      <c r="E276" s="180"/>
      <c r="F276" s="19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</row>
    <row r="277">
      <c r="A277" s="190"/>
      <c r="B277" s="180"/>
      <c r="C277" s="180"/>
      <c r="D277" s="180"/>
      <c r="E277" s="180"/>
      <c r="F277" s="19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</row>
    <row r="278">
      <c r="A278" s="190"/>
      <c r="B278" s="180"/>
      <c r="C278" s="180"/>
      <c r="D278" s="180"/>
      <c r="E278" s="180"/>
      <c r="F278" s="19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</row>
    <row r="279">
      <c r="A279" s="190"/>
      <c r="B279" s="180"/>
      <c r="C279" s="180"/>
      <c r="D279" s="180"/>
      <c r="E279" s="180"/>
      <c r="F279" s="19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</row>
    <row r="280">
      <c r="A280" s="190"/>
      <c r="B280" s="180"/>
      <c r="C280" s="180"/>
      <c r="D280" s="180"/>
      <c r="E280" s="180"/>
      <c r="F280" s="19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</row>
    <row r="281">
      <c r="A281" s="190"/>
      <c r="B281" s="180"/>
      <c r="C281" s="180"/>
      <c r="D281" s="180"/>
      <c r="E281" s="180"/>
      <c r="F281" s="19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</row>
    <row r="282">
      <c r="A282" s="190"/>
      <c r="B282" s="180"/>
      <c r="C282" s="180"/>
      <c r="D282" s="180"/>
      <c r="E282" s="180"/>
      <c r="F282" s="19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</row>
    <row r="283">
      <c r="A283" s="190"/>
      <c r="B283" s="180"/>
      <c r="C283" s="180"/>
      <c r="D283" s="180"/>
      <c r="E283" s="180"/>
      <c r="F283" s="19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</row>
    <row r="284">
      <c r="A284" s="190"/>
      <c r="B284" s="180"/>
      <c r="C284" s="180"/>
      <c r="D284" s="180"/>
      <c r="E284" s="180"/>
      <c r="F284" s="19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</row>
    <row r="285">
      <c r="A285" s="190"/>
      <c r="B285" s="180"/>
      <c r="C285" s="180"/>
      <c r="D285" s="180"/>
      <c r="E285" s="180"/>
      <c r="F285" s="19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</row>
    <row r="286">
      <c r="A286" s="190"/>
      <c r="B286" s="180"/>
      <c r="C286" s="180"/>
      <c r="D286" s="180"/>
      <c r="E286" s="180"/>
      <c r="F286" s="19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</row>
    <row r="287">
      <c r="A287" s="190"/>
      <c r="B287" s="180"/>
      <c r="C287" s="180"/>
      <c r="D287" s="180"/>
      <c r="E287" s="180"/>
      <c r="F287" s="19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</row>
    <row r="288">
      <c r="A288" s="190"/>
      <c r="B288" s="180"/>
      <c r="C288" s="180"/>
      <c r="D288" s="180"/>
      <c r="E288" s="180"/>
      <c r="F288" s="19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</row>
    <row r="289">
      <c r="A289" s="190"/>
      <c r="B289" s="180"/>
      <c r="C289" s="180"/>
      <c r="D289" s="180"/>
      <c r="E289" s="180"/>
      <c r="F289" s="19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</row>
    <row r="290">
      <c r="A290" s="190"/>
      <c r="B290" s="180"/>
      <c r="C290" s="180"/>
      <c r="D290" s="180"/>
      <c r="E290" s="180"/>
      <c r="F290" s="19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</row>
    <row r="291">
      <c r="A291" s="190"/>
      <c r="B291" s="180"/>
      <c r="C291" s="180"/>
      <c r="D291" s="180"/>
      <c r="E291" s="180"/>
      <c r="F291" s="19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</row>
    <row r="292">
      <c r="A292" s="190"/>
      <c r="B292" s="180"/>
      <c r="C292" s="180"/>
      <c r="D292" s="180"/>
      <c r="E292" s="180"/>
      <c r="F292" s="19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</row>
    <row r="293">
      <c r="A293" s="190"/>
      <c r="B293" s="180"/>
      <c r="C293" s="180"/>
      <c r="D293" s="180"/>
      <c r="E293" s="180"/>
      <c r="F293" s="19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</row>
    <row r="294">
      <c r="A294" s="190"/>
      <c r="B294" s="180"/>
      <c r="C294" s="180"/>
      <c r="D294" s="180"/>
      <c r="E294" s="180"/>
      <c r="F294" s="19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</row>
    <row r="295">
      <c r="A295" s="190"/>
      <c r="B295" s="180"/>
      <c r="C295" s="180"/>
      <c r="D295" s="180"/>
      <c r="E295" s="180"/>
      <c r="F295" s="19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</row>
    <row r="296">
      <c r="A296" s="190"/>
      <c r="B296" s="180"/>
      <c r="C296" s="180"/>
      <c r="D296" s="180"/>
      <c r="E296" s="180"/>
      <c r="F296" s="19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</row>
    <row r="297">
      <c r="A297" s="190"/>
      <c r="B297" s="180"/>
      <c r="C297" s="180"/>
      <c r="D297" s="180"/>
      <c r="E297" s="180"/>
      <c r="F297" s="19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</row>
    <row r="298">
      <c r="A298" s="190"/>
      <c r="B298" s="180"/>
      <c r="C298" s="180"/>
      <c r="D298" s="180"/>
      <c r="E298" s="180"/>
      <c r="F298" s="19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</row>
    <row r="299">
      <c r="A299" s="190"/>
      <c r="B299" s="180"/>
      <c r="C299" s="180"/>
      <c r="D299" s="180"/>
      <c r="E299" s="180"/>
      <c r="F299" s="19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</row>
    <row r="300">
      <c r="A300" s="190"/>
      <c r="B300" s="180"/>
      <c r="C300" s="180"/>
      <c r="D300" s="180"/>
      <c r="E300" s="180"/>
      <c r="F300" s="19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</row>
    <row r="301">
      <c r="A301" s="190"/>
      <c r="B301" s="180"/>
      <c r="C301" s="180"/>
      <c r="D301" s="180"/>
      <c r="E301" s="180"/>
      <c r="F301" s="19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</row>
    <row r="302">
      <c r="A302" s="190"/>
      <c r="B302" s="180"/>
      <c r="C302" s="180"/>
      <c r="D302" s="180"/>
      <c r="E302" s="180"/>
      <c r="F302" s="19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</row>
    <row r="303">
      <c r="A303" s="190"/>
      <c r="B303" s="180"/>
      <c r="C303" s="180"/>
      <c r="D303" s="180"/>
      <c r="E303" s="180"/>
      <c r="F303" s="19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</row>
    <row r="304">
      <c r="A304" s="190"/>
      <c r="B304" s="180"/>
      <c r="C304" s="180"/>
      <c r="D304" s="180"/>
      <c r="E304" s="180"/>
      <c r="F304" s="19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</row>
    <row r="305">
      <c r="A305" s="190"/>
      <c r="B305" s="180"/>
      <c r="C305" s="180"/>
      <c r="D305" s="180"/>
      <c r="E305" s="180"/>
      <c r="F305" s="19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</row>
    <row r="306">
      <c r="A306" s="190"/>
      <c r="B306" s="180"/>
      <c r="C306" s="180"/>
      <c r="D306" s="180"/>
      <c r="E306" s="180"/>
      <c r="F306" s="19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</row>
    <row r="307">
      <c r="A307" s="190"/>
      <c r="B307" s="180"/>
      <c r="C307" s="180"/>
      <c r="D307" s="180"/>
      <c r="E307" s="180"/>
      <c r="F307" s="19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</row>
    <row r="308">
      <c r="A308" s="190"/>
      <c r="B308" s="180"/>
      <c r="C308" s="180"/>
      <c r="D308" s="180"/>
      <c r="E308" s="180"/>
      <c r="F308" s="19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</row>
    <row r="309">
      <c r="A309" s="190"/>
      <c r="B309" s="180"/>
      <c r="C309" s="180"/>
      <c r="D309" s="180"/>
      <c r="E309" s="180"/>
      <c r="F309" s="19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</row>
    <row r="310">
      <c r="A310" s="190"/>
      <c r="B310" s="180"/>
      <c r="C310" s="180"/>
      <c r="D310" s="180"/>
      <c r="E310" s="180"/>
      <c r="F310" s="19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</row>
    <row r="311">
      <c r="A311" s="190"/>
      <c r="B311" s="180"/>
      <c r="C311" s="180"/>
      <c r="D311" s="180"/>
      <c r="E311" s="180"/>
      <c r="F311" s="19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</row>
    <row r="312">
      <c r="A312" s="190"/>
      <c r="B312" s="180"/>
      <c r="C312" s="180"/>
      <c r="D312" s="180"/>
      <c r="E312" s="180"/>
      <c r="F312" s="19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</row>
    <row r="313">
      <c r="A313" s="190"/>
      <c r="B313" s="180"/>
      <c r="C313" s="180"/>
      <c r="D313" s="180"/>
      <c r="E313" s="180"/>
      <c r="F313" s="19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</row>
    <row r="314">
      <c r="A314" s="190"/>
      <c r="B314" s="180"/>
      <c r="C314" s="180"/>
      <c r="D314" s="180"/>
      <c r="E314" s="180"/>
      <c r="F314" s="19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</row>
    <row r="315">
      <c r="A315" s="190"/>
      <c r="B315" s="180"/>
      <c r="C315" s="180"/>
      <c r="D315" s="180"/>
      <c r="E315" s="180"/>
      <c r="F315" s="19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</row>
    <row r="316">
      <c r="A316" s="190"/>
      <c r="B316" s="180"/>
      <c r="C316" s="180"/>
      <c r="D316" s="180"/>
      <c r="E316" s="180"/>
      <c r="F316" s="19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</row>
    <row r="317">
      <c r="A317" s="190"/>
      <c r="B317" s="180"/>
      <c r="C317" s="180"/>
      <c r="D317" s="180"/>
      <c r="E317" s="180"/>
      <c r="F317" s="19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</row>
    <row r="318">
      <c r="A318" s="190"/>
      <c r="B318" s="180"/>
      <c r="C318" s="180"/>
      <c r="D318" s="180"/>
      <c r="E318" s="180"/>
      <c r="F318" s="19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</row>
    <row r="319">
      <c r="A319" s="190"/>
      <c r="B319" s="180"/>
      <c r="C319" s="180"/>
      <c r="D319" s="180"/>
      <c r="E319" s="180"/>
      <c r="F319" s="19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</row>
    <row r="320">
      <c r="A320" s="190"/>
      <c r="B320" s="180"/>
      <c r="C320" s="180"/>
      <c r="D320" s="180"/>
      <c r="E320" s="180"/>
      <c r="F320" s="19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</row>
    <row r="321">
      <c r="A321" s="190"/>
      <c r="B321" s="180"/>
      <c r="C321" s="180"/>
      <c r="D321" s="180"/>
      <c r="E321" s="180"/>
      <c r="F321" s="19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</row>
    <row r="322">
      <c r="A322" s="190"/>
      <c r="B322" s="180"/>
      <c r="C322" s="180"/>
      <c r="D322" s="180"/>
      <c r="E322" s="180"/>
      <c r="F322" s="19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</row>
    <row r="323">
      <c r="A323" s="190"/>
      <c r="B323" s="180"/>
      <c r="C323" s="180"/>
      <c r="D323" s="180"/>
      <c r="E323" s="180"/>
      <c r="F323" s="19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</row>
    <row r="324">
      <c r="A324" s="190"/>
      <c r="B324" s="180"/>
      <c r="C324" s="180"/>
      <c r="D324" s="180"/>
      <c r="E324" s="180"/>
      <c r="F324" s="19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</row>
    <row r="325">
      <c r="A325" s="190"/>
      <c r="B325" s="180"/>
      <c r="C325" s="180"/>
      <c r="D325" s="180"/>
      <c r="E325" s="180"/>
      <c r="F325" s="19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</row>
    <row r="326">
      <c r="A326" s="190"/>
      <c r="B326" s="180"/>
      <c r="C326" s="180"/>
      <c r="D326" s="180"/>
      <c r="E326" s="180"/>
      <c r="F326" s="19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</row>
    <row r="327">
      <c r="A327" s="190"/>
      <c r="B327" s="180"/>
      <c r="C327" s="180"/>
      <c r="D327" s="180"/>
      <c r="E327" s="180"/>
      <c r="F327" s="19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</row>
    <row r="328">
      <c r="A328" s="190"/>
      <c r="B328" s="180"/>
      <c r="C328" s="180"/>
      <c r="D328" s="180"/>
      <c r="E328" s="180"/>
      <c r="F328" s="19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</row>
    <row r="329">
      <c r="A329" s="190"/>
      <c r="B329" s="180"/>
      <c r="C329" s="180"/>
      <c r="D329" s="180"/>
      <c r="E329" s="180"/>
      <c r="F329" s="19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</row>
    <row r="330">
      <c r="A330" s="190"/>
      <c r="B330" s="180"/>
      <c r="C330" s="180"/>
      <c r="D330" s="180"/>
      <c r="E330" s="180"/>
      <c r="F330" s="19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</row>
    <row r="331">
      <c r="A331" s="190"/>
      <c r="B331" s="180"/>
      <c r="C331" s="180"/>
      <c r="D331" s="180"/>
      <c r="E331" s="180"/>
      <c r="F331" s="19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</row>
    <row r="332">
      <c r="A332" s="190"/>
      <c r="B332" s="180"/>
      <c r="C332" s="180"/>
      <c r="D332" s="180"/>
      <c r="E332" s="180"/>
      <c r="F332" s="19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</row>
    <row r="333">
      <c r="A333" s="190"/>
      <c r="B333" s="180"/>
      <c r="C333" s="180"/>
      <c r="D333" s="180"/>
      <c r="E333" s="180"/>
      <c r="F333" s="19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</row>
    <row r="334">
      <c r="A334" s="190"/>
      <c r="B334" s="180"/>
      <c r="C334" s="180"/>
      <c r="D334" s="180"/>
      <c r="E334" s="180"/>
      <c r="F334" s="19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</row>
    <row r="335">
      <c r="A335" s="190"/>
      <c r="B335" s="180"/>
      <c r="C335" s="180"/>
      <c r="D335" s="180"/>
      <c r="E335" s="180"/>
      <c r="F335" s="19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</row>
    <row r="336">
      <c r="A336" s="190"/>
      <c r="B336" s="180"/>
      <c r="C336" s="180"/>
      <c r="D336" s="180"/>
      <c r="E336" s="180"/>
      <c r="F336" s="19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</row>
    <row r="337">
      <c r="A337" s="190"/>
      <c r="B337" s="180"/>
      <c r="C337" s="180"/>
      <c r="D337" s="180"/>
      <c r="E337" s="180"/>
      <c r="F337" s="19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</row>
    <row r="338">
      <c r="A338" s="190"/>
      <c r="B338" s="180"/>
      <c r="C338" s="180"/>
      <c r="D338" s="180"/>
      <c r="E338" s="180"/>
      <c r="F338" s="19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</row>
    <row r="339">
      <c r="A339" s="190"/>
      <c r="B339" s="180"/>
      <c r="C339" s="180"/>
      <c r="D339" s="180"/>
      <c r="E339" s="180"/>
      <c r="F339" s="19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</row>
    <row r="340">
      <c r="A340" s="190"/>
      <c r="B340" s="180"/>
      <c r="C340" s="180"/>
      <c r="D340" s="180"/>
      <c r="E340" s="180"/>
      <c r="F340" s="19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</row>
    <row r="341">
      <c r="A341" s="190"/>
      <c r="B341" s="180"/>
      <c r="C341" s="180"/>
      <c r="D341" s="180"/>
      <c r="E341" s="180"/>
      <c r="F341" s="19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</row>
    <row r="342">
      <c r="A342" s="190"/>
      <c r="B342" s="180"/>
      <c r="C342" s="180"/>
      <c r="D342" s="180"/>
      <c r="E342" s="180"/>
      <c r="F342" s="19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</row>
    <row r="343">
      <c r="A343" s="190"/>
      <c r="B343" s="180"/>
      <c r="C343" s="180"/>
      <c r="D343" s="180"/>
      <c r="E343" s="180"/>
      <c r="F343" s="19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</row>
    <row r="344">
      <c r="A344" s="190"/>
      <c r="B344" s="180"/>
      <c r="C344" s="180"/>
      <c r="D344" s="180"/>
      <c r="E344" s="180"/>
      <c r="F344" s="19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</row>
    <row r="345">
      <c r="A345" s="190"/>
      <c r="B345" s="180"/>
      <c r="C345" s="180"/>
      <c r="D345" s="180"/>
      <c r="E345" s="180"/>
      <c r="F345" s="19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</row>
    <row r="346">
      <c r="A346" s="190"/>
      <c r="B346" s="180"/>
      <c r="C346" s="180"/>
      <c r="D346" s="180"/>
      <c r="E346" s="180"/>
      <c r="F346" s="19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</row>
    <row r="347">
      <c r="A347" s="190"/>
      <c r="B347" s="180"/>
      <c r="C347" s="180"/>
      <c r="D347" s="180"/>
      <c r="E347" s="180"/>
      <c r="F347" s="19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</row>
    <row r="348">
      <c r="A348" s="190"/>
      <c r="B348" s="180"/>
      <c r="C348" s="180"/>
      <c r="D348" s="180"/>
      <c r="E348" s="180"/>
      <c r="F348" s="19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</row>
    <row r="349">
      <c r="A349" s="190"/>
      <c r="B349" s="180"/>
      <c r="C349" s="180"/>
      <c r="D349" s="180"/>
      <c r="E349" s="180"/>
      <c r="F349" s="19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</row>
    <row r="350">
      <c r="A350" s="190"/>
      <c r="B350" s="180"/>
      <c r="C350" s="180"/>
      <c r="D350" s="180"/>
      <c r="E350" s="180"/>
      <c r="F350" s="19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</row>
    <row r="351">
      <c r="A351" s="190"/>
      <c r="B351" s="180"/>
      <c r="C351" s="180"/>
      <c r="D351" s="180"/>
      <c r="E351" s="180"/>
      <c r="F351" s="19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</row>
    <row r="352">
      <c r="A352" s="190"/>
      <c r="B352" s="180"/>
      <c r="C352" s="180"/>
      <c r="D352" s="180"/>
      <c r="E352" s="180"/>
      <c r="F352" s="19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</row>
    <row r="353">
      <c r="A353" s="190"/>
      <c r="B353" s="180"/>
      <c r="C353" s="180"/>
      <c r="D353" s="180"/>
      <c r="E353" s="180"/>
      <c r="F353" s="19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</row>
    <row r="354">
      <c r="A354" s="190"/>
      <c r="B354" s="180"/>
      <c r="C354" s="180"/>
      <c r="D354" s="180"/>
      <c r="E354" s="180"/>
      <c r="F354" s="19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</row>
    <row r="355">
      <c r="A355" s="190"/>
      <c r="B355" s="180"/>
      <c r="C355" s="180"/>
      <c r="D355" s="180"/>
      <c r="E355" s="180"/>
      <c r="F355" s="19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</row>
    <row r="356">
      <c r="A356" s="190"/>
      <c r="B356" s="180"/>
      <c r="C356" s="180"/>
      <c r="D356" s="180"/>
      <c r="E356" s="180"/>
      <c r="F356" s="19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</row>
    <row r="357">
      <c r="A357" s="190"/>
      <c r="B357" s="180"/>
      <c r="C357" s="180"/>
      <c r="D357" s="180"/>
      <c r="E357" s="180"/>
      <c r="F357" s="19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</row>
    <row r="358">
      <c r="A358" s="190"/>
      <c r="B358" s="180"/>
      <c r="C358" s="180"/>
      <c r="D358" s="180"/>
      <c r="E358" s="180"/>
      <c r="F358" s="19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</row>
    <row r="359">
      <c r="A359" s="190"/>
      <c r="B359" s="180"/>
      <c r="C359" s="180"/>
      <c r="D359" s="180"/>
      <c r="E359" s="180"/>
      <c r="F359" s="19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</row>
    <row r="360">
      <c r="A360" s="190"/>
      <c r="B360" s="180"/>
      <c r="C360" s="180"/>
      <c r="D360" s="180"/>
      <c r="E360" s="180"/>
      <c r="F360" s="19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</row>
    <row r="361">
      <c r="A361" s="190"/>
      <c r="B361" s="180"/>
      <c r="C361" s="180"/>
      <c r="D361" s="180"/>
      <c r="E361" s="180"/>
      <c r="F361" s="19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</row>
    <row r="362">
      <c r="A362" s="190"/>
      <c r="B362" s="180"/>
      <c r="C362" s="180"/>
      <c r="D362" s="180"/>
      <c r="E362" s="180"/>
      <c r="F362" s="19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</row>
    <row r="363">
      <c r="A363" s="190"/>
      <c r="B363" s="180"/>
      <c r="C363" s="180"/>
      <c r="D363" s="180"/>
      <c r="E363" s="180"/>
      <c r="F363" s="19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</row>
    <row r="364">
      <c r="A364" s="190"/>
      <c r="B364" s="180"/>
      <c r="C364" s="180"/>
      <c r="D364" s="180"/>
      <c r="E364" s="180"/>
      <c r="F364" s="19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</row>
    <row r="365">
      <c r="A365" s="190"/>
      <c r="B365" s="180"/>
      <c r="C365" s="180"/>
      <c r="D365" s="180"/>
      <c r="E365" s="180"/>
      <c r="F365" s="19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</row>
    <row r="366">
      <c r="A366" s="190"/>
      <c r="B366" s="180"/>
      <c r="C366" s="180"/>
      <c r="D366" s="180"/>
      <c r="E366" s="180"/>
      <c r="F366" s="19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</row>
    <row r="367">
      <c r="A367" s="190"/>
      <c r="B367" s="180"/>
      <c r="C367" s="180"/>
      <c r="D367" s="180"/>
      <c r="E367" s="180"/>
      <c r="F367" s="19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</row>
    <row r="368">
      <c r="A368" s="190"/>
      <c r="B368" s="180"/>
      <c r="C368" s="180"/>
      <c r="D368" s="180"/>
      <c r="E368" s="180"/>
      <c r="F368" s="19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</row>
    <row r="369">
      <c r="A369" s="190"/>
      <c r="B369" s="180"/>
      <c r="C369" s="180"/>
      <c r="D369" s="180"/>
      <c r="E369" s="180"/>
      <c r="F369" s="19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</row>
    <row r="370">
      <c r="A370" s="190"/>
      <c r="B370" s="180"/>
      <c r="C370" s="180"/>
      <c r="D370" s="180"/>
      <c r="E370" s="180"/>
      <c r="F370" s="19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</row>
    <row r="371">
      <c r="A371" s="190"/>
      <c r="B371" s="180"/>
      <c r="C371" s="180"/>
      <c r="D371" s="180"/>
      <c r="E371" s="180"/>
      <c r="F371" s="19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</row>
    <row r="372">
      <c r="A372" s="190"/>
      <c r="B372" s="180"/>
      <c r="C372" s="180"/>
      <c r="D372" s="180"/>
      <c r="E372" s="180"/>
      <c r="F372" s="19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</row>
    <row r="373">
      <c r="A373" s="190"/>
      <c r="B373" s="180"/>
      <c r="C373" s="180"/>
      <c r="D373" s="180"/>
      <c r="E373" s="180"/>
      <c r="F373" s="19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</row>
    <row r="374">
      <c r="A374" s="190"/>
      <c r="B374" s="180"/>
      <c r="C374" s="180"/>
      <c r="D374" s="180"/>
      <c r="E374" s="180"/>
      <c r="F374" s="19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</row>
    <row r="375">
      <c r="A375" s="190"/>
      <c r="B375" s="180"/>
      <c r="C375" s="180"/>
      <c r="D375" s="180"/>
      <c r="E375" s="180"/>
      <c r="F375" s="19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</row>
    <row r="376">
      <c r="A376" s="190"/>
      <c r="B376" s="180"/>
      <c r="C376" s="180"/>
      <c r="D376" s="180"/>
      <c r="E376" s="180"/>
      <c r="F376" s="19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</row>
    <row r="377">
      <c r="A377" s="190"/>
      <c r="B377" s="180"/>
      <c r="C377" s="180"/>
      <c r="D377" s="180"/>
      <c r="E377" s="180"/>
      <c r="F377" s="19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</row>
    <row r="378">
      <c r="A378" s="190"/>
      <c r="B378" s="180"/>
      <c r="C378" s="180"/>
      <c r="D378" s="180"/>
      <c r="E378" s="180"/>
      <c r="F378" s="19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</row>
    <row r="379">
      <c r="A379" s="190"/>
      <c r="B379" s="180"/>
      <c r="C379" s="180"/>
      <c r="D379" s="180"/>
      <c r="E379" s="180"/>
      <c r="F379" s="19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</row>
    <row r="380">
      <c r="A380" s="190"/>
      <c r="B380" s="180"/>
      <c r="C380" s="180"/>
      <c r="D380" s="180"/>
      <c r="E380" s="180"/>
      <c r="F380" s="19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</row>
    <row r="381">
      <c r="A381" s="190"/>
      <c r="B381" s="180"/>
      <c r="C381" s="180"/>
      <c r="D381" s="180"/>
      <c r="E381" s="180"/>
      <c r="F381" s="19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</row>
    <row r="382">
      <c r="A382" s="190"/>
      <c r="B382" s="180"/>
      <c r="C382" s="180"/>
      <c r="D382" s="180"/>
      <c r="E382" s="180"/>
      <c r="F382" s="19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</row>
    <row r="383">
      <c r="A383" s="190"/>
      <c r="B383" s="180"/>
      <c r="C383" s="180"/>
      <c r="D383" s="180"/>
      <c r="E383" s="180"/>
      <c r="F383" s="19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</row>
    <row r="384">
      <c r="A384" s="190"/>
      <c r="B384" s="180"/>
      <c r="C384" s="180"/>
      <c r="D384" s="180"/>
      <c r="E384" s="180"/>
      <c r="F384" s="19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</row>
    <row r="385">
      <c r="A385" s="190"/>
      <c r="B385" s="180"/>
      <c r="C385" s="180"/>
      <c r="D385" s="180"/>
      <c r="E385" s="180"/>
      <c r="F385" s="19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</row>
    <row r="386">
      <c r="A386" s="190"/>
      <c r="B386" s="180"/>
      <c r="C386" s="180"/>
      <c r="D386" s="180"/>
      <c r="E386" s="180"/>
      <c r="F386" s="19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</row>
    <row r="387">
      <c r="A387" s="190"/>
      <c r="B387" s="180"/>
      <c r="C387" s="180"/>
      <c r="D387" s="180"/>
      <c r="E387" s="180"/>
      <c r="F387" s="19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</row>
    <row r="388">
      <c r="A388" s="190"/>
      <c r="B388" s="180"/>
      <c r="C388" s="180"/>
      <c r="D388" s="180"/>
      <c r="E388" s="180"/>
      <c r="F388" s="19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</row>
    <row r="389">
      <c r="A389" s="190"/>
      <c r="B389" s="180"/>
      <c r="C389" s="180"/>
      <c r="D389" s="180"/>
      <c r="E389" s="180"/>
      <c r="F389" s="19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</row>
    <row r="390">
      <c r="A390" s="190"/>
      <c r="B390" s="180"/>
      <c r="C390" s="180"/>
      <c r="D390" s="180"/>
      <c r="E390" s="180"/>
      <c r="F390" s="19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</row>
    <row r="391">
      <c r="A391" s="190"/>
      <c r="B391" s="180"/>
      <c r="C391" s="180"/>
      <c r="D391" s="180"/>
      <c r="E391" s="180"/>
      <c r="F391" s="19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</row>
    <row r="392">
      <c r="A392" s="190"/>
      <c r="B392" s="180"/>
      <c r="C392" s="180"/>
      <c r="D392" s="180"/>
      <c r="E392" s="180"/>
      <c r="F392" s="19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</row>
    <row r="393">
      <c r="A393" s="190"/>
      <c r="B393" s="180"/>
      <c r="C393" s="180"/>
      <c r="D393" s="180"/>
      <c r="E393" s="180"/>
      <c r="F393" s="19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</row>
    <row r="394">
      <c r="A394" s="190"/>
      <c r="B394" s="180"/>
      <c r="C394" s="180"/>
      <c r="D394" s="180"/>
      <c r="E394" s="180"/>
      <c r="F394" s="19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</row>
    <row r="395">
      <c r="A395" s="190"/>
      <c r="B395" s="180"/>
      <c r="C395" s="180"/>
      <c r="D395" s="180"/>
      <c r="E395" s="180"/>
      <c r="F395" s="19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</row>
    <row r="396">
      <c r="A396" s="190"/>
      <c r="B396" s="180"/>
      <c r="C396" s="180"/>
      <c r="D396" s="180"/>
      <c r="E396" s="180"/>
      <c r="F396" s="19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</row>
    <row r="397">
      <c r="A397" s="190"/>
      <c r="B397" s="180"/>
      <c r="C397" s="180"/>
      <c r="D397" s="180"/>
      <c r="E397" s="180"/>
      <c r="F397" s="19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</row>
    <row r="398">
      <c r="A398" s="190"/>
      <c r="B398" s="180"/>
      <c r="C398" s="180"/>
      <c r="D398" s="180"/>
      <c r="E398" s="180"/>
      <c r="F398" s="19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</row>
    <row r="399">
      <c r="A399" s="190"/>
      <c r="B399" s="180"/>
      <c r="C399" s="180"/>
      <c r="D399" s="180"/>
      <c r="E399" s="180"/>
      <c r="F399" s="19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</row>
    <row r="400">
      <c r="A400" s="190"/>
      <c r="B400" s="180"/>
      <c r="C400" s="180"/>
      <c r="D400" s="180"/>
      <c r="E400" s="180"/>
      <c r="F400" s="19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</row>
    <row r="401">
      <c r="A401" s="190"/>
      <c r="B401" s="180"/>
      <c r="C401" s="180"/>
      <c r="D401" s="180"/>
      <c r="E401" s="180"/>
      <c r="F401" s="19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</row>
    <row r="402">
      <c r="A402" s="190"/>
      <c r="B402" s="180"/>
      <c r="C402" s="180"/>
      <c r="D402" s="180"/>
      <c r="E402" s="180"/>
      <c r="F402" s="19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</row>
    <row r="403">
      <c r="A403" s="190"/>
      <c r="B403" s="180"/>
      <c r="C403" s="180"/>
      <c r="D403" s="180"/>
      <c r="E403" s="180"/>
      <c r="F403" s="19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</row>
    <row r="404">
      <c r="A404" s="190"/>
      <c r="B404" s="180"/>
      <c r="C404" s="180"/>
      <c r="D404" s="180"/>
      <c r="E404" s="180"/>
      <c r="F404" s="19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</row>
    <row r="405">
      <c r="A405" s="190"/>
      <c r="B405" s="180"/>
      <c r="C405" s="180"/>
      <c r="D405" s="180"/>
      <c r="E405" s="180"/>
      <c r="F405" s="19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</row>
    <row r="406">
      <c r="A406" s="190"/>
      <c r="B406" s="180"/>
      <c r="C406" s="180"/>
      <c r="D406" s="180"/>
      <c r="E406" s="180"/>
      <c r="F406" s="19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</row>
    <row r="407">
      <c r="A407" s="190"/>
      <c r="B407" s="180"/>
      <c r="C407" s="180"/>
      <c r="D407" s="180"/>
      <c r="E407" s="180"/>
      <c r="F407" s="19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</row>
    <row r="408">
      <c r="A408" s="190"/>
      <c r="B408" s="180"/>
      <c r="C408" s="180"/>
      <c r="D408" s="180"/>
      <c r="E408" s="180"/>
      <c r="F408" s="19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</row>
    <row r="409">
      <c r="A409" s="190"/>
      <c r="B409" s="180"/>
      <c r="C409" s="180"/>
      <c r="D409" s="180"/>
      <c r="E409" s="180"/>
      <c r="F409" s="19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</row>
    <row r="410">
      <c r="A410" s="190"/>
      <c r="B410" s="180"/>
      <c r="C410" s="180"/>
      <c r="D410" s="180"/>
      <c r="E410" s="180"/>
      <c r="F410" s="19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</row>
    <row r="411">
      <c r="A411" s="190"/>
      <c r="B411" s="180"/>
      <c r="C411" s="180"/>
      <c r="D411" s="180"/>
      <c r="E411" s="180"/>
      <c r="F411" s="19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</row>
    <row r="412">
      <c r="A412" s="190"/>
      <c r="B412" s="180"/>
      <c r="C412" s="180"/>
      <c r="D412" s="180"/>
      <c r="E412" s="180"/>
      <c r="F412" s="19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</row>
    <row r="413">
      <c r="A413" s="190"/>
      <c r="B413" s="180"/>
      <c r="C413" s="180"/>
      <c r="D413" s="180"/>
      <c r="E413" s="180"/>
      <c r="F413" s="19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</row>
    <row r="414">
      <c r="A414" s="190"/>
      <c r="B414" s="180"/>
      <c r="C414" s="180"/>
      <c r="D414" s="180"/>
      <c r="E414" s="180"/>
      <c r="F414" s="19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</row>
    <row r="415">
      <c r="A415" s="190"/>
      <c r="B415" s="180"/>
      <c r="C415" s="180"/>
      <c r="D415" s="180"/>
      <c r="E415" s="180"/>
      <c r="F415" s="19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</row>
    <row r="416">
      <c r="A416" s="190"/>
      <c r="B416" s="180"/>
      <c r="C416" s="180"/>
      <c r="D416" s="180"/>
      <c r="E416" s="180"/>
      <c r="F416" s="19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</row>
    <row r="417">
      <c r="A417" s="190"/>
      <c r="B417" s="180"/>
      <c r="C417" s="180"/>
      <c r="D417" s="180"/>
      <c r="E417" s="180"/>
      <c r="F417" s="19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</row>
    <row r="418">
      <c r="A418" s="190"/>
      <c r="B418" s="180"/>
      <c r="C418" s="180"/>
      <c r="D418" s="180"/>
      <c r="E418" s="180"/>
      <c r="F418" s="19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</row>
    <row r="419">
      <c r="A419" s="190"/>
      <c r="B419" s="180"/>
      <c r="C419" s="180"/>
      <c r="D419" s="180"/>
      <c r="E419" s="180"/>
      <c r="F419" s="19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</row>
    <row r="420">
      <c r="A420" s="190"/>
      <c r="B420" s="180"/>
      <c r="C420" s="180"/>
      <c r="D420" s="180"/>
      <c r="E420" s="180"/>
      <c r="F420" s="19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</row>
    <row r="421">
      <c r="A421" s="190"/>
      <c r="B421" s="180"/>
      <c r="C421" s="180"/>
      <c r="D421" s="180"/>
      <c r="E421" s="180"/>
      <c r="F421" s="19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</row>
    <row r="422">
      <c r="A422" s="190"/>
      <c r="B422" s="180"/>
      <c r="C422" s="180"/>
      <c r="D422" s="180"/>
      <c r="E422" s="180"/>
      <c r="F422" s="19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</row>
    <row r="423">
      <c r="A423" s="190"/>
      <c r="B423" s="180"/>
      <c r="C423" s="180"/>
      <c r="D423" s="180"/>
      <c r="E423" s="180"/>
      <c r="F423" s="19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</row>
    <row r="424">
      <c r="A424" s="190"/>
      <c r="B424" s="180"/>
      <c r="C424" s="180"/>
      <c r="D424" s="180"/>
      <c r="E424" s="180"/>
      <c r="F424" s="19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</row>
    <row r="425">
      <c r="A425" s="190"/>
      <c r="B425" s="180"/>
      <c r="C425" s="180"/>
      <c r="D425" s="180"/>
      <c r="E425" s="180"/>
      <c r="F425" s="19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</row>
    <row r="426">
      <c r="A426" s="190"/>
      <c r="B426" s="180"/>
      <c r="C426" s="180"/>
      <c r="D426" s="180"/>
      <c r="E426" s="180"/>
      <c r="F426" s="19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</row>
    <row r="427">
      <c r="A427" s="190"/>
      <c r="B427" s="180"/>
      <c r="C427" s="180"/>
      <c r="D427" s="180"/>
      <c r="E427" s="180"/>
      <c r="F427" s="19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</row>
    <row r="428">
      <c r="A428" s="190"/>
      <c r="B428" s="180"/>
      <c r="C428" s="180"/>
      <c r="D428" s="180"/>
      <c r="E428" s="180"/>
      <c r="F428" s="19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</row>
    <row r="429">
      <c r="A429" s="190"/>
      <c r="B429" s="180"/>
      <c r="C429" s="180"/>
      <c r="D429" s="180"/>
      <c r="E429" s="180"/>
      <c r="F429" s="19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</row>
    <row r="430">
      <c r="A430" s="190"/>
      <c r="B430" s="180"/>
      <c r="C430" s="180"/>
      <c r="D430" s="180"/>
      <c r="E430" s="180"/>
      <c r="F430" s="19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</row>
    <row r="431">
      <c r="A431" s="190"/>
      <c r="B431" s="180"/>
      <c r="C431" s="180"/>
      <c r="D431" s="180"/>
      <c r="E431" s="180"/>
      <c r="F431" s="19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</row>
    <row r="432">
      <c r="A432" s="190"/>
      <c r="B432" s="180"/>
      <c r="C432" s="180"/>
      <c r="D432" s="180"/>
      <c r="E432" s="180"/>
      <c r="F432" s="19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</row>
    <row r="433">
      <c r="A433" s="190"/>
      <c r="B433" s="180"/>
      <c r="C433" s="180"/>
      <c r="D433" s="180"/>
      <c r="E433" s="180"/>
      <c r="F433" s="19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</row>
    <row r="434">
      <c r="A434" s="190"/>
      <c r="B434" s="180"/>
      <c r="C434" s="180"/>
      <c r="D434" s="180"/>
      <c r="E434" s="180"/>
      <c r="F434" s="19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</row>
    <row r="435">
      <c r="A435" s="190"/>
      <c r="B435" s="180"/>
      <c r="C435" s="180"/>
      <c r="D435" s="180"/>
      <c r="E435" s="180"/>
      <c r="F435" s="19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</row>
    <row r="436">
      <c r="A436" s="190"/>
      <c r="B436" s="180"/>
      <c r="C436" s="180"/>
      <c r="D436" s="180"/>
      <c r="E436" s="180"/>
      <c r="F436" s="19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</row>
    <row r="437">
      <c r="A437" s="190"/>
      <c r="B437" s="180"/>
      <c r="C437" s="180"/>
      <c r="D437" s="180"/>
      <c r="E437" s="180"/>
      <c r="F437" s="19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</row>
    <row r="438">
      <c r="A438" s="190"/>
      <c r="B438" s="180"/>
      <c r="C438" s="180"/>
      <c r="D438" s="180"/>
      <c r="E438" s="180"/>
      <c r="F438" s="19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</row>
    <row r="439">
      <c r="A439" s="190"/>
      <c r="B439" s="180"/>
      <c r="C439" s="180"/>
      <c r="D439" s="180"/>
      <c r="E439" s="180"/>
      <c r="F439" s="19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</row>
    <row r="440">
      <c r="A440" s="190"/>
      <c r="B440" s="180"/>
      <c r="C440" s="180"/>
      <c r="D440" s="180"/>
      <c r="E440" s="180"/>
      <c r="F440" s="19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</row>
    <row r="441">
      <c r="A441" s="190"/>
      <c r="B441" s="180"/>
      <c r="C441" s="180"/>
      <c r="D441" s="180"/>
      <c r="E441" s="180"/>
      <c r="F441" s="19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</row>
    <row r="442">
      <c r="A442" s="190"/>
      <c r="B442" s="180"/>
      <c r="C442" s="180"/>
      <c r="D442" s="180"/>
      <c r="E442" s="180"/>
      <c r="F442" s="19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</row>
    <row r="443">
      <c r="A443" s="190"/>
      <c r="B443" s="180"/>
      <c r="C443" s="180"/>
      <c r="D443" s="180"/>
      <c r="E443" s="180"/>
      <c r="F443" s="19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</row>
    <row r="444">
      <c r="A444" s="190"/>
      <c r="B444" s="180"/>
      <c r="C444" s="180"/>
      <c r="D444" s="180"/>
      <c r="E444" s="180"/>
      <c r="F444" s="19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</row>
    <row r="445">
      <c r="A445" s="190"/>
      <c r="B445" s="180"/>
      <c r="C445" s="180"/>
      <c r="D445" s="180"/>
      <c r="E445" s="180"/>
      <c r="F445" s="19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</row>
    <row r="446">
      <c r="A446" s="190"/>
      <c r="B446" s="180"/>
      <c r="C446" s="180"/>
      <c r="D446" s="180"/>
      <c r="E446" s="180"/>
      <c r="F446" s="19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</row>
    <row r="447">
      <c r="A447" s="190"/>
      <c r="B447" s="180"/>
      <c r="C447" s="180"/>
      <c r="D447" s="180"/>
      <c r="E447" s="180"/>
      <c r="F447" s="19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</row>
    <row r="448">
      <c r="A448" s="190"/>
      <c r="B448" s="180"/>
      <c r="C448" s="180"/>
      <c r="D448" s="180"/>
      <c r="E448" s="180"/>
      <c r="F448" s="19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</row>
    <row r="449">
      <c r="A449" s="190"/>
      <c r="B449" s="180"/>
      <c r="C449" s="180"/>
      <c r="D449" s="180"/>
      <c r="E449" s="180"/>
      <c r="F449" s="19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</row>
    <row r="450">
      <c r="A450" s="190"/>
      <c r="B450" s="180"/>
      <c r="C450" s="180"/>
      <c r="D450" s="180"/>
      <c r="E450" s="180"/>
      <c r="F450" s="19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</row>
    <row r="451">
      <c r="A451" s="190"/>
      <c r="B451" s="180"/>
      <c r="C451" s="180"/>
      <c r="D451" s="180"/>
      <c r="E451" s="180"/>
      <c r="F451" s="19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</row>
    <row r="452">
      <c r="A452" s="190"/>
      <c r="B452" s="180"/>
      <c r="C452" s="180"/>
      <c r="D452" s="180"/>
      <c r="E452" s="180"/>
      <c r="F452" s="19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</row>
    <row r="453">
      <c r="A453" s="190"/>
      <c r="B453" s="180"/>
      <c r="C453" s="180"/>
      <c r="D453" s="180"/>
      <c r="E453" s="180"/>
      <c r="F453" s="19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</row>
    <row r="454">
      <c r="A454" s="190"/>
      <c r="B454" s="180"/>
      <c r="C454" s="180"/>
      <c r="D454" s="180"/>
      <c r="E454" s="180"/>
      <c r="F454" s="19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</row>
    <row r="455">
      <c r="A455" s="190"/>
      <c r="B455" s="180"/>
      <c r="C455" s="180"/>
      <c r="D455" s="180"/>
      <c r="E455" s="180"/>
      <c r="F455" s="19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</row>
    <row r="456">
      <c r="A456" s="190"/>
      <c r="B456" s="180"/>
      <c r="C456" s="180"/>
      <c r="D456" s="180"/>
      <c r="E456" s="180"/>
      <c r="F456" s="19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</row>
    <row r="457">
      <c r="A457" s="190"/>
      <c r="B457" s="180"/>
      <c r="C457" s="180"/>
      <c r="D457" s="180"/>
      <c r="E457" s="180"/>
      <c r="F457" s="19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</row>
    <row r="458">
      <c r="A458" s="190"/>
      <c r="B458" s="180"/>
      <c r="C458" s="180"/>
      <c r="D458" s="180"/>
      <c r="E458" s="180"/>
      <c r="F458" s="19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</row>
    <row r="459">
      <c r="A459" s="190"/>
      <c r="B459" s="180"/>
      <c r="C459" s="180"/>
      <c r="D459" s="180"/>
      <c r="E459" s="180"/>
      <c r="F459" s="19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</row>
    <row r="460">
      <c r="A460" s="190"/>
      <c r="B460" s="180"/>
      <c r="C460" s="180"/>
      <c r="D460" s="180"/>
      <c r="E460" s="180"/>
      <c r="F460" s="19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</row>
    <row r="461">
      <c r="A461" s="190"/>
      <c r="B461" s="180"/>
      <c r="C461" s="180"/>
      <c r="D461" s="180"/>
      <c r="E461" s="180"/>
      <c r="F461" s="19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</row>
    <row r="462">
      <c r="A462" s="190"/>
      <c r="B462" s="180"/>
      <c r="C462" s="180"/>
      <c r="D462" s="180"/>
      <c r="E462" s="180"/>
      <c r="F462" s="19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</row>
    <row r="463">
      <c r="A463" s="190"/>
      <c r="B463" s="180"/>
      <c r="C463" s="180"/>
      <c r="D463" s="180"/>
      <c r="E463" s="180"/>
      <c r="F463" s="19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</row>
    <row r="464">
      <c r="A464" s="190"/>
      <c r="B464" s="180"/>
      <c r="C464" s="180"/>
      <c r="D464" s="180"/>
      <c r="E464" s="180"/>
      <c r="F464" s="19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</row>
    <row r="465">
      <c r="A465" s="190"/>
      <c r="B465" s="180"/>
      <c r="C465" s="180"/>
      <c r="D465" s="180"/>
      <c r="E465" s="180"/>
      <c r="F465" s="19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</row>
    <row r="466">
      <c r="A466" s="190"/>
      <c r="B466" s="180"/>
      <c r="C466" s="180"/>
      <c r="D466" s="180"/>
      <c r="E466" s="180"/>
      <c r="F466" s="19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</row>
    <row r="467">
      <c r="A467" s="190"/>
      <c r="B467" s="180"/>
      <c r="C467" s="180"/>
      <c r="D467" s="180"/>
      <c r="E467" s="180"/>
      <c r="F467" s="19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</row>
    <row r="468">
      <c r="A468" s="190"/>
      <c r="B468" s="180"/>
      <c r="C468" s="180"/>
      <c r="D468" s="180"/>
      <c r="E468" s="180"/>
      <c r="F468" s="19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</row>
    <row r="469">
      <c r="A469" s="190"/>
      <c r="B469" s="180"/>
      <c r="C469" s="180"/>
      <c r="D469" s="180"/>
      <c r="E469" s="180"/>
      <c r="F469" s="19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</row>
    <row r="470">
      <c r="A470" s="190"/>
      <c r="B470" s="180"/>
      <c r="C470" s="180"/>
      <c r="D470" s="180"/>
      <c r="E470" s="180"/>
      <c r="F470" s="19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</row>
    <row r="471">
      <c r="A471" s="190"/>
      <c r="B471" s="180"/>
      <c r="C471" s="180"/>
      <c r="D471" s="180"/>
      <c r="E471" s="180"/>
      <c r="F471" s="19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</row>
    <row r="472">
      <c r="A472" s="190"/>
      <c r="B472" s="180"/>
      <c r="C472" s="180"/>
      <c r="D472" s="180"/>
      <c r="E472" s="180"/>
      <c r="F472" s="19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</row>
    <row r="473">
      <c r="A473" s="190"/>
      <c r="B473" s="180"/>
      <c r="C473" s="180"/>
      <c r="D473" s="180"/>
      <c r="E473" s="180"/>
      <c r="F473" s="19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</row>
    <row r="474">
      <c r="A474" s="190"/>
      <c r="B474" s="180"/>
      <c r="C474" s="180"/>
      <c r="D474" s="180"/>
      <c r="E474" s="180"/>
      <c r="F474" s="19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</row>
    <row r="475">
      <c r="A475" s="190"/>
      <c r="B475" s="180"/>
      <c r="C475" s="180"/>
      <c r="D475" s="180"/>
      <c r="E475" s="180"/>
      <c r="F475" s="19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</row>
    <row r="476">
      <c r="A476" s="190"/>
      <c r="B476" s="180"/>
      <c r="C476" s="180"/>
      <c r="D476" s="180"/>
      <c r="E476" s="180"/>
      <c r="F476" s="19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</row>
    <row r="477">
      <c r="A477" s="190"/>
      <c r="B477" s="180"/>
      <c r="C477" s="180"/>
      <c r="D477" s="180"/>
      <c r="E477" s="180"/>
      <c r="F477" s="19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</row>
    <row r="478">
      <c r="A478" s="190"/>
      <c r="B478" s="180"/>
      <c r="C478" s="180"/>
      <c r="D478" s="180"/>
      <c r="E478" s="180"/>
      <c r="F478" s="19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</row>
    <row r="479">
      <c r="A479" s="190"/>
      <c r="B479" s="180"/>
      <c r="C479" s="180"/>
      <c r="D479" s="180"/>
      <c r="E479" s="180"/>
      <c r="F479" s="19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</row>
    <row r="480">
      <c r="A480" s="190"/>
      <c r="B480" s="180"/>
      <c r="C480" s="180"/>
      <c r="D480" s="180"/>
      <c r="E480" s="180"/>
      <c r="F480" s="19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</row>
    <row r="481">
      <c r="A481" s="190"/>
      <c r="B481" s="180"/>
      <c r="C481" s="180"/>
      <c r="D481" s="180"/>
      <c r="E481" s="180"/>
      <c r="F481" s="19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</row>
    <row r="482">
      <c r="A482" s="190"/>
      <c r="B482" s="180"/>
      <c r="C482" s="180"/>
      <c r="D482" s="180"/>
      <c r="E482" s="180"/>
      <c r="F482" s="19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</row>
    <row r="483">
      <c r="A483" s="190"/>
      <c r="B483" s="180"/>
      <c r="C483" s="180"/>
      <c r="D483" s="180"/>
      <c r="E483" s="180"/>
      <c r="F483" s="19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</row>
    <row r="484">
      <c r="A484" s="190"/>
      <c r="B484" s="180"/>
      <c r="C484" s="180"/>
      <c r="D484" s="180"/>
      <c r="E484" s="180"/>
      <c r="F484" s="19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</row>
    <row r="485">
      <c r="A485" s="190"/>
      <c r="B485" s="180"/>
      <c r="C485" s="180"/>
      <c r="D485" s="180"/>
      <c r="E485" s="180"/>
      <c r="F485" s="19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</row>
    <row r="486">
      <c r="A486" s="190"/>
      <c r="B486" s="180"/>
      <c r="C486" s="180"/>
      <c r="D486" s="180"/>
      <c r="E486" s="180"/>
      <c r="F486" s="19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</row>
    <row r="487">
      <c r="A487" s="190"/>
      <c r="B487" s="180"/>
      <c r="C487" s="180"/>
      <c r="D487" s="180"/>
      <c r="E487" s="180"/>
      <c r="F487" s="19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</row>
    <row r="488">
      <c r="A488" s="190"/>
      <c r="B488" s="180"/>
      <c r="C488" s="180"/>
      <c r="D488" s="180"/>
      <c r="E488" s="180"/>
      <c r="F488" s="19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</row>
    <row r="489">
      <c r="A489" s="190"/>
      <c r="B489" s="180"/>
      <c r="C489" s="180"/>
      <c r="D489" s="180"/>
      <c r="E489" s="180"/>
      <c r="F489" s="19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</row>
    <row r="490">
      <c r="A490" s="190"/>
      <c r="B490" s="180"/>
      <c r="C490" s="180"/>
      <c r="D490" s="180"/>
      <c r="E490" s="180"/>
      <c r="F490" s="19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</row>
    <row r="491">
      <c r="A491" s="190"/>
      <c r="B491" s="180"/>
      <c r="C491" s="180"/>
      <c r="D491" s="180"/>
      <c r="E491" s="180"/>
      <c r="F491" s="19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</row>
    <row r="492">
      <c r="A492" s="190"/>
      <c r="B492" s="180"/>
      <c r="C492" s="180"/>
      <c r="D492" s="180"/>
      <c r="E492" s="180"/>
      <c r="F492" s="19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</row>
    <row r="493">
      <c r="A493" s="190"/>
      <c r="B493" s="180"/>
      <c r="C493" s="180"/>
      <c r="D493" s="180"/>
      <c r="E493" s="180"/>
      <c r="F493" s="19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</row>
    <row r="494">
      <c r="A494" s="190"/>
      <c r="B494" s="180"/>
      <c r="C494" s="180"/>
      <c r="D494" s="180"/>
      <c r="E494" s="180"/>
      <c r="F494" s="19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</row>
    <row r="495">
      <c r="A495" s="190"/>
      <c r="B495" s="180"/>
      <c r="C495" s="180"/>
      <c r="D495" s="180"/>
      <c r="E495" s="180"/>
      <c r="F495" s="19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</row>
    <row r="496">
      <c r="A496" s="190"/>
      <c r="B496" s="180"/>
      <c r="C496" s="180"/>
      <c r="D496" s="180"/>
      <c r="E496" s="180"/>
      <c r="F496" s="19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</row>
    <row r="497">
      <c r="A497" s="190"/>
      <c r="B497" s="180"/>
      <c r="C497" s="180"/>
      <c r="D497" s="180"/>
      <c r="E497" s="180"/>
      <c r="F497" s="19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</row>
    <row r="498">
      <c r="A498" s="190"/>
      <c r="B498" s="180"/>
      <c r="C498" s="180"/>
      <c r="D498" s="180"/>
      <c r="E498" s="180"/>
      <c r="F498" s="19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</row>
    <row r="499">
      <c r="A499" s="190"/>
      <c r="B499" s="180"/>
      <c r="C499" s="180"/>
      <c r="D499" s="180"/>
      <c r="E499" s="180"/>
      <c r="F499" s="19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</row>
    <row r="500">
      <c r="A500" s="190"/>
      <c r="B500" s="180"/>
      <c r="C500" s="180"/>
      <c r="D500" s="180"/>
      <c r="E500" s="180"/>
      <c r="F500" s="19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</row>
    <row r="501">
      <c r="A501" s="190"/>
      <c r="B501" s="180"/>
      <c r="C501" s="180"/>
      <c r="D501" s="180"/>
      <c r="E501" s="180"/>
      <c r="F501" s="19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</row>
    <row r="502">
      <c r="A502" s="190"/>
      <c r="B502" s="180"/>
      <c r="C502" s="180"/>
      <c r="D502" s="180"/>
      <c r="E502" s="180"/>
      <c r="F502" s="19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</row>
    <row r="503">
      <c r="A503" s="190"/>
      <c r="B503" s="180"/>
      <c r="C503" s="180"/>
      <c r="D503" s="180"/>
      <c r="E503" s="180"/>
      <c r="F503" s="19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</row>
    <row r="504">
      <c r="A504" s="190"/>
      <c r="B504" s="180"/>
      <c r="C504" s="180"/>
      <c r="D504" s="180"/>
      <c r="E504" s="180"/>
      <c r="F504" s="19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</row>
    <row r="505">
      <c r="A505" s="190"/>
      <c r="B505" s="180"/>
      <c r="C505" s="180"/>
      <c r="D505" s="180"/>
      <c r="E505" s="180"/>
      <c r="F505" s="19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</row>
    <row r="506">
      <c r="A506" s="190"/>
      <c r="B506" s="180"/>
      <c r="C506" s="180"/>
      <c r="D506" s="180"/>
      <c r="E506" s="180"/>
      <c r="F506" s="19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</row>
    <row r="507">
      <c r="A507" s="190"/>
      <c r="B507" s="180"/>
      <c r="C507" s="180"/>
      <c r="D507" s="180"/>
      <c r="E507" s="180"/>
      <c r="F507" s="19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</row>
    <row r="508">
      <c r="A508" s="190"/>
      <c r="B508" s="180"/>
      <c r="C508" s="180"/>
      <c r="D508" s="180"/>
      <c r="E508" s="180"/>
      <c r="F508" s="19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</row>
    <row r="509">
      <c r="A509" s="190"/>
      <c r="B509" s="180"/>
      <c r="C509" s="180"/>
      <c r="D509" s="180"/>
      <c r="E509" s="180"/>
      <c r="F509" s="19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</row>
    <row r="510">
      <c r="A510" s="190"/>
      <c r="B510" s="180"/>
      <c r="C510" s="180"/>
      <c r="D510" s="180"/>
      <c r="E510" s="180"/>
      <c r="F510" s="19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</row>
    <row r="511">
      <c r="A511" s="190"/>
      <c r="B511" s="180"/>
      <c r="C511" s="180"/>
      <c r="D511" s="180"/>
      <c r="E511" s="180"/>
      <c r="F511" s="19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</row>
    <row r="512">
      <c r="A512" s="190"/>
      <c r="B512" s="180"/>
      <c r="C512" s="180"/>
      <c r="D512" s="180"/>
      <c r="E512" s="180"/>
      <c r="F512" s="19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</row>
    <row r="513">
      <c r="A513" s="190"/>
      <c r="B513" s="180"/>
      <c r="C513" s="180"/>
      <c r="D513" s="180"/>
      <c r="E513" s="180"/>
      <c r="F513" s="19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</row>
    <row r="514">
      <c r="A514" s="190"/>
      <c r="B514" s="180"/>
      <c r="C514" s="180"/>
      <c r="D514" s="180"/>
      <c r="E514" s="180"/>
      <c r="F514" s="19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</row>
    <row r="515">
      <c r="A515" s="190"/>
      <c r="B515" s="180"/>
      <c r="C515" s="180"/>
      <c r="D515" s="180"/>
      <c r="E515" s="180"/>
      <c r="F515" s="19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</row>
    <row r="516">
      <c r="A516" s="190"/>
      <c r="B516" s="180"/>
      <c r="C516" s="180"/>
      <c r="D516" s="180"/>
      <c r="E516" s="180"/>
      <c r="F516" s="19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</row>
    <row r="517">
      <c r="A517" s="190"/>
      <c r="B517" s="180"/>
      <c r="C517" s="180"/>
      <c r="D517" s="180"/>
      <c r="E517" s="180"/>
      <c r="F517" s="19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</row>
    <row r="518">
      <c r="A518" s="190"/>
      <c r="B518" s="180"/>
      <c r="C518" s="180"/>
      <c r="D518" s="180"/>
      <c r="E518" s="180"/>
      <c r="F518" s="19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</row>
    <row r="519">
      <c r="A519" s="190"/>
      <c r="B519" s="180"/>
      <c r="C519" s="180"/>
      <c r="D519" s="180"/>
      <c r="E519" s="180"/>
      <c r="F519" s="19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</row>
    <row r="520">
      <c r="A520" s="190"/>
      <c r="B520" s="180"/>
      <c r="C520" s="180"/>
      <c r="D520" s="180"/>
      <c r="E520" s="180"/>
      <c r="F520" s="19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</row>
    <row r="521">
      <c r="A521" s="190"/>
      <c r="B521" s="180"/>
      <c r="C521" s="180"/>
      <c r="D521" s="180"/>
      <c r="E521" s="180"/>
      <c r="F521" s="19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</row>
    <row r="522">
      <c r="A522" s="190"/>
      <c r="B522" s="180"/>
      <c r="C522" s="180"/>
      <c r="D522" s="180"/>
      <c r="E522" s="180"/>
      <c r="F522" s="19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</row>
    <row r="523">
      <c r="A523" s="190"/>
      <c r="B523" s="180"/>
      <c r="C523" s="180"/>
      <c r="D523" s="180"/>
      <c r="E523" s="180"/>
      <c r="F523" s="19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</row>
    <row r="524">
      <c r="A524" s="190"/>
      <c r="B524" s="180"/>
      <c r="C524" s="180"/>
      <c r="D524" s="180"/>
      <c r="E524" s="180"/>
      <c r="F524" s="19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</row>
    <row r="525">
      <c r="A525" s="190"/>
      <c r="B525" s="180"/>
      <c r="C525" s="180"/>
      <c r="D525" s="180"/>
      <c r="E525" s="180"/>
      <c r="F525" s="19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</row>
    <row r="526">
      <c r="A526" s="190"/>
      <c r="B526" s="180"/>
      <c r="C526" s="180"/>
      <c r="D526" s="180"/>
      <c r="E526" s="180"/>
      <c r="F526" s="19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</row>
    <row r="527">
      <c r="A527" s="190"/>
      <c r="B527" s="180"/>
      <c r="C527" s="180"/>
      <c r="D527" s="180"/>
      <c r="E527" s="180"/>
      <c r="F527" s="19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</row>
    <row r="528">
      <c r="A528" s="190"/>
      <c r="B528" s="180"/>
      <c r="C528" s="180"/>
      <c r="D528" s="180"/>
      <c r="E528" s="180"/>
      <c r="F528" s="19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</row>
    <row r="529">
      <c r="A529" s="190"/>
      <c r="B529" s="180"/>
      <c r="C529" s="180"/>
      <c r="D529" s="180"/>
      <c r="E529" s="180"/>
      <c r="F529" s="19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</row>
    <row r="530">
      <c r="A530" s="190"/>
      <c r="B530" s="180"/>
      <c r="C530" s="180"/>
      <c r="D530" s="180"/>
      <c r="E530" s="180"/>
      <c r="F530" s="19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</row>
    <row r="531">
      <c r="A531" s="190"/>
      <c r="B531" s="180"/>
      <c r="C531" s="180"/>
      <c r="D531" s="180"/>
      <c r="E531" s="180"/>
      <c r="F531" s="19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</row>
    <row r="532">
      <c r="A532" s="190"/>
      <c r="B532" s="180"/>
      <c r="C532" s="180"/>
      <c r="D532" s="180"/>
      <c r="E532" s="180"/>
      <c r="F532" s="19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</row>
    <row r="533">
      <c r="A533" s="190"/>
      <c r="B533" s="180"/>
      <c r="C533" s="180"/>
      <c r="D533" s="180"/>
      <c r="E533" s="180"/>
      <c r="F533" s="19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</row>
    <row r="534">
      <c r="A534" s="190"/>
      <c r="B534" s="180"/>
      <c r="C534" s="180"/>
      <c r="D534" s="180"/>
      <c r="E534" s="180"/>
      <c r="F534" s="19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</row>
    <row r="535">
      <c r="A535" s="190"/>
      <c r="B535" s="180"/>
      <c r="C535" s="180"/>
      <c r="D535" s="180"/>
      <c r="E535" s="180"/>
      <c r="F535" s="19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</row>
    <row r="536">
      <c r="A536" s="190"/>
      <c r="B536" s="180"/>
      <c r="C536" s="180"/>
      <c r="D536" s="180"/>
      <c r="E536" s="180"/>
      <c r="F536" s="19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</row>
    <row r="537">
      <c r="A537" s="190"/>
      <c r="B537" s="180"/>
      <c r="C537" s="180"/>
      <c r="D537" s="180"/>
      <c r="E537" s="180"/>
      <c r="F537" s="19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</row>
    <row r="538">
      <c r="A538" s="190"/>
      <c r="B538" s="180"/>
      <c r="C538" s="180"/>
      <c r="D538" s="180"/>
      <c r="E538" s="180"/>
      <c r="F538" s="19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</row>
    <row r="539">
      <c r="A539" s="190"/>
      <c r="B539" s="180"/>
      <c r="C539" s="180"/>
      <c r="D539" s="180"/>
      <c r="E539" s="180"/>
      <c r="F539" s="19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</row>
    <row r="540">
      <c r="A540" s="190"/>
      <c r="B540" s="180"/>
      <c r="C540" s="180"/>
      <c r="D540" s="180"/>
      <c r="E540" s="180"/>
      <c r="F540" s="19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</row>
    <row r="541">
      <c r="A541" s="190"/>
      <c r="B541" s="180"/>
      <c r="C541" s="180"/>
      <c r="D541" s="180"/>
      <c r="E541" s="180"/>
      <c r="F541" s="19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</row>
    <row r="542">
      <c r="A542" s="190"/>
      <c r="B542" s="180"/>
      <c r="C542" s="180"/>
      <c r="D542" s="180"/>
      <c r="E542" s="180"/>
      <c r="F542" s="19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</row>
    <row r="543">
      <c r="A543" s="190"/>
      <c r="B543" s="180"/>
      <c r="C543" s="180"/>
      <c r="D543" s="180"/>
      <c r="E543" s="180"/>
      <c r="F543" s="19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</row>
    <row r="544">
      <c r="A544" s="190"/>
      <c r="B544" s="180"/>
      <c r="C544" s="180"/>
      <c r="D544" s="180"/>
      <c r="E544" s="180"/>
      <c r="F544" s="19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</row>
    <row r="545">
      <c r="A545" s="190"/>
      <c r="B545" s="180"/>
      <c r="C545" s="180"/>
      <c r="D545" s="180"/>
      <c r="E545" s="180"/>
      <c r="F545" s="19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</row>
    <row r="546">
      <c r="A546" s="190"/>
      <c r="B546" s="180"/>
      <c r="C546" s="180"/>
      <c r="D546" s="180"/>
      <c r="E546" s="180"/>
      <c r="F546" s="19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</row>
    <row r="547">
      <c r="A547" s="190"/>
      <c r="B547" s="180"/>
      <c r="C547" s="180"/>
      <c r="D547" s="180"/>
      <c r="E547" s="180"/>
      <c r="F547" s="19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</row>
    <row r="548">
      <c r="A548" s="190"/>
      <c r="B548" s="180"/>
      <c r="C548" s="180"/>
      <c r="D548" s="180"/>
      <c r="E548" s="180"/>
      <c r="F548" s="19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</row>
    <row r="549">
      <c r="A549" s="190"/>
      <c r="B549" s="180"/>
      <c r="C549" s="180"/>
      <c r="D549" s="180"/>
      <c r="E549" s="180"/>
      <c r="F549" s="19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</row>
    <row r="550">
      <c r="A550" s="190"/>
      <c r="B550" s="180"/>
      <c r="C550" s="180"/>
      <c r="D550" s="180"/>
      <c r="E550" s="180"/>
      <c r="F550" s="19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</row>
    <row r="551">
      <c r="A551" s="190"/>
      <c r="B551" s="180"/>
      <c r="C551" s="180"/>
      <c r="D551" s="180"/>
      <c r="E551" s="180"/>
      <c r="F551" s="19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</row>
    <row r="552">
      <c r="A552" s="190"/>
      <c r="B552" s="180"/>
      <c r="C552" s="180"/>
      <c r="D552" s="180"/>
      <c r="E552" s="180"/>
      <c r="F552" s="19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</row>
    <row r="553">
      <c r="A553" s="190"/>
      <c r="B553" s="180"/>
      <c r="C553" s="180"/>
      <c r="D553" s="180"/>
      <c r="E553" s="180"/>
      <c r="F553" s="19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</row>
    <row r="554">
      <c r="A554" s="190"/>
      <c r="B554" s="180"/>
      <c r="C554" s="180"/>
      <c r="D554" s="180"/>
      <c r="E554" s="180"/>
      <c r="F554" s="19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</row>
    <row r="555">
      <c r="A555" s="190"/>
      <c r="B555" s="180"/>
      <c r="C555" s="180"/>
      <c r="D555" s="180"/>
      <c r="E555" s="180"/>
      <c r="F555" s="19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</row>
    <row r="556">
      <c r="A556" s="190"/>
      <c r="B556" s="180"/>
      <c r="C556" s="180"/>
      <c r="D556" s="180"/>
      <c r="E556" s="180"/>
      <c r="F556" s="19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</row>
    <row r="557">
      <c r="A557" s="190"/>
      <c r="B557" s="180"/>
      <c r="C557" s="180"/>
      <c r="D557" s="180"/>
      <c r="E557" s="180"/>
      <c r="F557" s="19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</row>
    <row r="558">
      <c r="A558" s="190"/>
      <c r="B558" s="180"/>
      <c r="C558" s="180"/>
      <c r="D558" s="180"/>
      <c r="E558" s="180"/>
      <c r="F558" s="19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</row>
    <row r="559">
      <c r="A559" s="190"/>
      <c r="B559" s="180"/>
      <c r="C559" s="180"/>
      <c r="D559" s="180"/>
      <c r="E559" s="180"/>
      <c r="F559" s="19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</row>
    <row r="560">
      <c r="A560" s="190"/>
      <c r="B560" s="180"/>
      <c r="C560" s="180"/>
      <c r="D560" s="180"/>
      <c r="E560" s="180"/>
      <c r="F560" s="19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</row>
    <row r="561">
      <c r="A561" s="190"/>
      <c r="B561" s="180"/>
      <c r="C561" s="180"/>
      <c r="D561" s="180"/>
      <c r="E561" s="180"/>
      <c r="F561" s="19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</row>
    <row r="562">
      <c r="A562" s="190"/>
      <c r="B562" s="180"/>
      <c r="C562" s="180"/>
      <c r="D562" s="180"/>
      <c r="E562" s="180"/>
      <c r="F562" s="19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</row>
    <row r="563">
      <c r="A563" s="190"/>
      <c r="B563" s="180"/>
      <c r="C563" s="180"/>
      <c r="D563" s="180"/>
      <c r="E563" s="180"/>
      <c r="F563" s="19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</row>
    <row r="564">
      <c r="A564" s="190"/>
      <c r="B564" s="180"/>
      <c r="C564" s="180"/>
      <c r="D564" s="180"/>
      <c r="E564" s="180"/>
      <c r="F564" s="19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</row>
    <row r="565">
      <c r="A565" s="190"/>
      <c r="B565" s="180"/>
      <c r="C565" s="180"/>
      <c r="D565" s="180"/>
      <c r="E565" s="180"/>
      <c r="F565" s="19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</row>
    <row r="566">
      <c r="A566" s="190"/>
      <c r="B566" s="180"/>
      <c r="C566" s="180"/>
      <c r="D566" s="180"/>
      <c r="E566" s="180"/>
      <c r="F566" s="19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</row>
    <row r="567">
      <c r="A567" s="190"/>
      <c r="B567" s="180"/>
      <c r="C567" s="180"/>
      <c r="D567" s="180"/>
      <c r="E567" s="180"/>
      <c r="F567" s="19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</row>
    <row r="568">
      <c r="A568" s="190"/>
      <c r="B568" s="180"/>
      <c r="C568" s="180"/>
      <c r="D568" s="180"/>
      <c r="E568" s="180"/>
      <c r="F568" s="19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</row>
    <row r="569">
      <c r="A569" s="190"/>
      <c r="B569" s="180"/>
      <c r="C569" s="180"/>
      <c r="D569" s="180"/>
      <c r="E569" s="180"/>
      <c r="F569" s="19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</row>
    <row r="570">
      <c r="A570" s="190"/>
      <c r="B570" s="180"/>
      <c r="C570" s="180"/>
      <c r="D570" s="180"/>
      <c r="E570" s="180"/>
      <c r="F570" s="19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</row>
    <row r="571">
      <c r="A571" s="190"/>
      <c r="B571" s="180"/>
      <c r="C571" s="180"/>
      <c r="D571" s="180"/>
      <c r="E571" s="180"/>
      <c r="F571" s="19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</row>
    <row r="572">
      <c r="A572" s="190"/>
      <c r="B572" s="180"/>
      <c r="C572" s="180"/>
      <c r="D572" s="180"/>
      <c r="E572" s="180"/>
      <c r="F572" s="19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</row>
    <row r="573">
      <c r="A573" s="190"/>
      <c r="B573" s="180"/>
      <c r="C573" s="180"/>
      <c r="D573" s="180"/>
      <c r="E573" s="180"/>
      <c r="F573" s="19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</row>
    <row r="574">
      <c r="A574" s="190"/>
      <c r="B574" s="180"/>
      <c r="C574" s="180"/>
      <c r="D574" s="180"/>
      <c r="E574" s="180"/>
      <c r="F574" s="19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</row>
    <row r="575">
      <c r="A575" s="190"/>
      <c r="B575" s="180"/>
      <c r="C575" s="180"/>
      <c r="D575" s="180"/>
      <c r="E575" s="180"/>
      <c r="F575" s="19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</row>
    <row r="576">
      <c r="A576" s="190"/>
      <c r="B576" s="180"/>
      <c r="C576" s="180"/>
      <c r="D576" s="180"/>
      <c r="E576" s="180"/>
      <c r="F576" s="19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</row>
    <row r="577">
      <c r="A577" s="190"/>
      <c r="B577" s="180"/>
      <c r="C577" s="180"/>
      <c r="D577" s="180"/>
      <c r="E577" s="180"/>
      <c r="F577" s="19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</row>
    <row r="578">
      <c r="A578" s="190"/>
      <c r="B578" s="180"/>
      <c r="C578" s="180"/>
      <c r="D578" s="180"/>
      <c r="E578" s="180"/>
      <c r="F578" s="19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</row>
    <row r="579">
      <c r="A579" s="190"/>
      <c r="B579" s="180"/>
      <c r="C579" s="180"/>
      <c r="D579" s="180"/>
      <c r="E579" s="180"/>
      <c r="F579" s="19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</row>
    <row r="580">
      <c r="A580" s="190"/>
      <c r="B580" s="180"/>
      <c r="C580" s="180"/>
      <c r="D580" s="180"/>
      <c r="E580" s="180"/>
      <c r="F580" s="19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</row>
    <row r="581">
      <c r="A581" s="190"/>
      <c r="B581" s="180"/>
      <c r="C581" s="180"/>
      <c r="D581" s="180"/>
      <c r="E581" s="180"/>
      <c r="F581" s="19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</row>
    <row r="582">
      <c r="A582" s="190"/>
      <c r="B582" s="180"/>
      <c r="C582" s="180"/>
      <c r="D582" s="180"/>
      <c r="E582" s="180"/>
      <c r="F582" s="19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</row>
    <row r="583">
      <c r="A583" s="190"/>
      <c r="B583" s="180"/>
      <c r="C583" s="180"/>
      <c r="D583" s="180"/>
      <c r="E583" s="180"/>
      <c r="F583" s="19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</row>
    <row r="584">
      <c r="A584" s="190"/>
      <c r="B584" s="180"/>
      <c r="C584" s="180"/>
      <c r="D584" s="180"/>
      <c r="E584" s="180"/>
      <c r="F584" s="19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</row>
    <row r="585">
      <c r="A585" s="190"/>
      <c r="B585" s="180"/>
      <c r="C585" s="180"/>
      <c r="D585" s="180"/>
      <c r="E585" s="180"/>
      <c r="F585" s="19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</row>
    <row r="586">
      <c r="A586" s="190"/>
      <c r="B586" s="180"/>
      <c r="C586" s="180"/>
      <c r="D586" s="180"/>
      <c r="E586" s="180"/>
      <c r="F586" s="19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</row>
    <row r="587">
      <c r="A587" s="190"/>
      <c r="B587" s="180"/>
      <c r="C587" s="180"/>
      <c r="D587" s="180"/>
      <c r="E587" s="180"/>
      <c r="F587" s="19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</row>
    <row r="588">
      <c r="A588" s="190"/>
      <c r="B588" s="180"/>
      <c r="C588" s="180"/>
      <c r="D588" s="180"/>
      <c r="E588" s="180"/>
      <c r="F588" s="19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</row>
    <row r="589">
      <c r="A589" s="190"/>
      <c r="B589" s="180"/>
      <c r="C589" s="180"/>
      <c r="D589" s="180"/>
      <c r="E589" s="180"/>
      <c r="F589" s="19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</row>
    <row r="590">
      <c r="A590" s="190"/>
      <c r="B590" s="180"/>
      <c r="C590" s="180"/>
      <c r="D590" s="180"/>
      <c r="E590" s="180"/>
      <c r="F590" s="19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</row>
    <row r="591">
      <c r="A591" s="190"/>
      <c r="B591" s="180"/>
      <c r="C591" s="180"/>
      <c r="D591" s="180"/>
      <c r="E591" s="180"/>
      <c r="F591" s="19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</row>
    <row r="592">
      <c r="A592" s="190"/>
      <c r="B592" s="180"/>
      <c r="C592" s="180"/>
      <c r="D592" s="180"/>
      <c r="E592" s="180"/>
      <c r="F592" s="19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</row>
    <row r="593">
      <c r="A593" s="190"/>
      <c r="B593" s="180"/>
      <c r="C593" s="180"/>
      <c r="D593" s="180"/>
      <c r="E593" s="180"/>
      <c r="F593" s="19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</row>
    <row r="594">
      <c r="A594" s="190"/>
      <c r="B594" s="180"/>
      <c r="C594" s="180"/>
      <c r="D594" s="180"/>
      <c r="E594" s="180"/>
      <c r="F594" s="19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</row>
    <row r="595">
      <c r="A595" s="190"/>
      <c r="B595" s="180"/>
      <c r="C595" s="180"/>
      <c r="D595" s="180"/>
      <c r="E595" s="180"/>
      <c r="F595" s="19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</row>
    <row r="596">
      <c r="A596" s="190"/>
      <c r="B596" s="180"/>
      <c r="C596" s="180"/>
      <c r="D596" s="180"/>
      <c r="E596" s="180"/>
      <c r="F596" s="19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</row>
    <row r="597">
      <c r="A597" s="190"/>
      <c r="B597" s="180"/>
      <c r="C597" s="180"/>
      <c r="D597" s="180"/>
      <c r="E597" s="180"/>
      <c r="F597" s="19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</row>
    <row r="598">
      <c r="A598" s="190"/>
      <c r="B598" s="180"/>
      <c r="C598" s="180"/>
      <c r="D598" s="180"/>
      <c r="E598" s="180"/>
      <c r="F598" s="19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</row>
    <row r="599">
      <c r="A599" s="190"/>
      <c r="B599" s="180"/>
      <c r="C599" s="180"/>
      <c r="D599" s="180"/>
      <c r="E599" s="180"/>
      <c r="F599" s="19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</row>
    <row r="600">
      <c r="A600" s="190"/>
      <c r="B600" s="180"/>
      <c r="C600" s="180"/>
      <c r="D600" s="180"/>
      <c r="E600" s="180"/>
      <c r="F600" s="19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</row>
    <row r="601">
      <c r="A601" s="190"/>
      <c r="B601" s="180"/>
      <c r="C601" s="180"/>
      <c r="D601" s="180"/>
      <c r="E601" s="180"/>
      <c r="F601" s="19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</row>
    <row r="602">
      <c r="A602" s="190"/>
      <c r="B602" s="180"/>
      <c r="C602" s="180"/>
      <c r="D602" s="180"/>
      <c r="E602" s="180"/>
      <c r="F602" s="19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</row>
    <row r="603">
      <c r="A603" s="190"/>
      <c r="B603" s="180"/>
      <c r="C603" s="180"/>
      <c r="D603" s="180"/>
      <c r="E603" s="180"/>
      <c r="F603" s="19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</row>
    <row r="604">
      <c r="A604" s="190"/>
      <c r="B604" s="180"/>
      <c r="C604" s="180"/>
      <c r="D604" s="180"/>
      <c r="E604" s="180"/>
      <c r="F604" s="19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</row>
    <row r="605">
      <c r="A605" s="190"/>
      <c r="B605" s="180"/>
      <c r="C605" s="180"/>
      <c r="D605" s="180"/>
      <c r="E605" s="180"/>
      <c r="F605" s="19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</row>
    <row r="606">
      <c r="A606" s="190"/>
      <c r="B606" s="180"/>
      <c r="C606" s="180"/>
      <c r="D606" s="180"/>
      <c r="E606" s="180"/>
      <c r="F606" s="19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</row>
    <row r="607">
      <c r="A607" s="190"/>
      <c r="B607" s="180"/>
      <c r="C607" s="180"/>
      <c r="D607" s="180"/>
      <c r="E607" s="180"/>
      <c r="F607" s="19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</row>
    <row r="608">
      <c r="A608" s="190"/>
      <c r="B608" s="180"/>
      <c r="C608" s="180"/>
      <c r="D608" s="180"/>
      <c r="E608" s="180"/>
      <c r="F608" s="19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</row>
    <row r="609">
      <c r="A609" s="190"/>
      <c r="B609" s="180"/>
      <c r="C609" s="180"/>
      <c r="D609" s="180"/>
      <c r="E609" s="180"/>
      <c r="F609" s="19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</row>
    <row r="610">
      <c r="A610" s="190"/>
      <c r="B610" s="180"/>
      <c r="C610" s="180"/>
      <c r="D610" s="180"/>
      <c r="E610" s="180"/>
      <c r="F610" s="19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</row>
    <row r="611">
      <c r="A611" s="190"/>
      <c r="B611" s="180"/>
      <c r="C611" s="180"/>
      <c r="D611" s="180"/>
      <c r="E611" s="180"/>
      <c r="F611" s="19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</row>
    <row r="612">
      <c r="A612" s="190"/>
      <c r="B612" s="180"/>
      <c r="C612" s="180"/>
      <c r="D612" s="180"/>
      <c r="E612" s="180"/>
      <c r="F612" s="19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</row>
    <row r="613">
      <c r="A613" s="190"/>
      <c r="B613" s="180"/>
      <c r="C613" s="180"/>
      <c r="D613" s="180"/>
      <c r="E613" s="180"/>
      <c r="F613" s="19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</row>
    <row r="614">
      <c r="A614" s="190"/>
      <c r="B614" s="180"/>
      <c r="C614" s="180"/>
      <c r="D614" s="180"/>
      <c r="E614" s="180"/>
      <c r="F614" s="19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</row>
    <row r="615">
      <c r="A615" s="190"/>
      <c r="B615" s="180"/>
      <c r="C615" s="180"/>
      <c r="D615" s="180"/>
      <c r="E615" s="180"/>
      <c r="F615" s="19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</row>
    <row r="616">
      <c r="A616" s="190"/>
      <c r="B616" s="180"/>
      <c r="C616" s="180"/>
      <c r="D616" s="180"/>
      <c r="E616" s="180"/>
      <c r="F616" s="19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</row>
    <row r="617">
      <c r="A617" s="190"/>
      <c r="B617" s="180"/>
      <c r="C617" s="180"/>
      <c r="D617" s="180"/>
      <c r="E617" s="180"/>
      <c r="F617" s="19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</row>
    <row r="618">
      <c r="A618" s="190"/>
      <c r="B618" s="180"/>
      <c r="C618" s="180"/>
      <c r="D618" s="180"/>
      <c r="E618" s="180"/>
      <c r="F618" s="19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</row>
    <row r="619">
      <c r="A619" s="190"/>
      <c r="B619" s="180"/>
      <c r="C619" s="180"/>
      <c r="D619" s="180"/>
      <c r="E619" s="180"/>
      <c r="F619" s="19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</row>
    <row r="620">
      <c r="A620" s="190"/>
      <c r="B620" s="180"/>
      <c r="C620" s="180"/>
      <c r="D620" s="180"/>
      <c r="E620" s="180"/>
      <c r="F620" s="19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</row>
    <row r="621">
      <c r="A621" s="190"/>
      <c r="B621" s="180"/>
      <c r="C621" s="180"/>
      <c r="D621" s="180"/>
      <c r="E621" s="180"/>
      <c r="F621" s="19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</row>
    <row r="622">
      <c r="A622" s="190"/>
      <c r="B622" s="180"/>
      <c r="C622" s="180"/>
      <c r="D622" s="180"/>
      <c r="E622" s="180"/>
      <c r="F622" s="19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</row>
    <row r="623">
      <c r="A623" s="190"/>
      <c r="B623" s="180"/>
      <c r="C623" s="180"/>
      <c r="D623" s="180"/>
      <c r="E623" s="180"/>
      <c r="F623" s="19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</row>
    <row r="624">
      <c r="A624" s="190"/>
      <c r="B624" s="180"/>
      <c r="C624" s="180"/>
      <c r="D624" s="180"/>
      <c r="E624" s="180"/>
      <c r="F624" s="19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</row>
    <row r="625">
      <c r="A625" s="190"/>
      <c r="B625" s="180"/>
      <c r="C625" s="180"/>
      <c r="D625" s="180"/>
      <c r="E625" s="180"/>
      <c r="F625" s="19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</row>
    <row r="626">
      <c r="A626" s="190"/>
      <c r="B626" s="180"/>
      <c r="C626" s="180"/>
      <c r="D626" s="180"/>
      <c r="E626" s="180"/>
      <c r="F626" s="19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</row>
    <row r="627">
      <c r="A627" s="190"/>
      <c r="B627" s="180"/>
      <c r="C627" s="180"/>
      <c r="D627" s="180"/>
      <c r="E627" s="180"/>
      <c r="F627" s="19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</row>
    <row r="628">
      <c r="A628" s="190"/>
      <c r="B628" s="180"/>
      <c r="C628" s="180"/>
      <c r="D628" s="180"/>
      <c r="E628" s="180"/>
      <c r="F628" s="19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</row>
    <row r="629">
      <c r="A629" s="190"/>
      <c r="B629" s="180"/>
      <c r="C629" s="180"/>
      <c r="D629" s="180"/>
      <c r="E629" s="180"/>
      <c r="F629" s="19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</row>
    <row r="630">
      <c r="A630" s="190"/>
      <c r="B630" s="180"/>
      <c r="C630" s="180"/>
      <c r="D630" s="180"/>
      <c r="E630" s="180"/>
      <c r="F630" s="19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</row>
    <row r="631">
      <c r="A631" s="190"/>
      <c r="B631" s="180"/>
      <c r="C631" s="180"/>
      <c r="D631" s="180"/>
      <c r="E631" s="180"/>
      <c r="F631" s="19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</row>
    <row r="632">
      <c r="A632" s="190"/>
      <c r="B632" s="180"/>
      <c r="C632" s="180"/>
      <c r="D632" s="180"/>
      <c r="E632" s="180"/>
      <c r="F632" s="19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</row>
    <row r="633">
      <c r="A633" s="190"/>
      <c r="B633" s="180"/>
      <c r="C633" s="180"/>
      <c r="D633" s="180"/>
      <c r="E633" s="180"/>
      <c r="F633" s="19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</row>
    <row r="634">
      <c r="A634" s="190"/>
      <c r="B634" s="180"/>
      <c r="C634" s="180"/>
      <c r="D634" s="180"/>
      <c r="E634" s="180"/>
      <c r="F634" s="19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</row>
    <row r="635">
      <c r="A635" s="190"/>
      <c r="B635" s="180"/>
      <c r="C635" s="180"/>
      <c r="D635" s="180"/>
      <c r="E635" s="180"/>
      <c r="F635" s="19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</row>
    <row r="636">
      <c r="A636" s="190"/>
      <c r="B636" s="180"/>
      <c r="C636" s="180"/>
      <c r="D636" s="180"/>
      <c r="E636" s="180"/>
      <c r="F636" s="19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</row>
    <row r="637">
      <c r="A637" s="190"/>
      <c r="B637" s="180"/>
      <c r="C637" s="180"/>
      <c r="D637" s="180"/>
      <c r="E637" s="180"/>
      <c r="F637" s="19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</row>
    <row r="638">
      <c r="A638" s="190"/>
      <c r="B638" s="180"/>
      <c r="C638" s="180"/>
      <c r="D638" s="180"/>
      <c r="E638" s="180"/>
      <c r="F638" s="19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</row>
    <row r="639">
      <c r="A639" s="190"/>
      <c r="B639" s="180"/>
      <c r="C639" s="180"/>
      <c r="D639" s="180"/>
      <c r="E639" s="180"/>
      <c r="F639" s="19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</row>
    <row r="640">
      <c r="A640" s="190"/>
      <c r="B640" s="180"/>
      <c r="C640" s="180"/>
      <c r="D640" s="180"/>
      <c r="E640" s="180"/>
      <c r="F640" s="19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</row>
    <row r="641">
      <c r="A641" s="190"/>
      <c r="B641" s="180"/>
      <c r="C641" s="180"/>
      <c r="D641" s="180"/>
      <c r="E641" s="180"/>
      <c r="F641" s="19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</row>
    <row r="642">
      <c r="A642" s="190"/>
      <c r="B642" s="180"/>
      <c r="C642" s="180"/>
      <c r="D642" s="180"/>
      <c r="E642" s="180"/>
      <c r="F642" s="19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</row>
    <row r="643">
      <c r="A643" s="190"/>
      <c r="B643" s="180"/>
      <c r="C643" s="180"/>
      <c r="D643" s="180"/>
      <c r="E643" s="180"/>
      <c r="F643" s="19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</row>
    <row r="644">
      <c r="A644" s="190"/>
      <c r="B644" s="180"/>
      <c r="C644" s="180"/>
      <c r="D644" s="180"/>
      <c r="E644" s="180"/>
      <c r="F644" s="19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</row>
    <row r="645">
      <c r="A645" s="190"/>
      <c r="B645" s="180"/>
      <c r="C645" s="180"/>
      <c r="D645" s="180"/>
      <c r="E645" s="180"/>
      <c r="F645" s="19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</row>
    <row r="646">
      <c r="A646" s="190"/>
      <c r="B646" s="180"/>
      <c r="C646" s="180"/>
      <c r="D646" s="180"/>
      <c r="E646" s="180"/>
      <c r="F646" s="19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</row>
    <row r="647">
      <c r="A647" s="190"/>
      <c r="B647" s="180"/>
      <c r="C647" s="180"/>
      <c r="D647" s="180"/>
      <c r="E647" s="180"/>
      <c r="F647" s="19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</row>
    <row r="648">
      <c r="A648" s="190"/>
      <c r="B648" s="180"/>
      <c r="C648" s="180"/>
      <c r="D648" s="180"/>
      <c r="E648" s="180"/>
      <c r="F648" s="19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</row>
    <row r="649">
      <c r="A649" s="190"/>
      <c r="B649" s="180"/>
      <c r="C649" s="180"/>
      <c r="D649" s="180"/>
      <c r="E649" s="180"/>
      <c r="F649" s="19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</row>
    <row r="650">
      <c r="A650" s="190"/>
      <c r="B650" s="180"/>
      <c r="C650" s="180"/>
      <c r="D650" s="180"/>
      <c r="E650" s="180"/>
      <c r="F650" s="19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</row>
    <row r="651">
      <c r="A651" s="190"/>
      <c r="B651" s="180"/>
      <c r="C651" s="180"/>
      <c r="D651" s="180"/>
      <c r="E651" s="180"/>
      <c r="F651" s="19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</row>
    <row r="652">
      <c r="A652" s="190"/>
      <c r="B652" s="180"/>
      <c r="C652" s="180"/>
      <c r="D652" s="180"/>
      <c r="E652" s="180"/>
      <c r="F652" s="19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</row>
    <row r="653">
      <c r="A653" s="190"/>
      <c r="B653" s="180"/>
      <c r="C653" s="180"/>
      <c r="D653" s="180"/>
      <c r="E653" s="180"/>
      <c r="F653" s="19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</row>
    <row r="654">
      <c r="A654" s="190"/>
      <c r="B654" s="180"/>
      <c r="C654" s="180"/>
      <c r="D654" s="180"/>
      <c r="E654" s="180"/>
      <c r="F654" s="19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</row>
    <row r="655">
      <c r="A655" s="190"/>
      <c r="B655" s="180"/>
      <c r="C655" s="180"/>
      <c r="D655" s="180"/>
      <c r="E655" s="180"/>
      <c r="F655" s="19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</row>
    <row r="656">
      <c r="A656" s="190"/>
      <c r="B656" s="180"/>
      <c r="C656" s="180"/>
      <c r="D656" s="180"/>
      <c r="E656" s="180"/>
      <c r="F656" s="19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</row>
    <row r="657">
      <c r="A657" s="190"/>
      <c r="B657" s="180"/>
      <c r="C657" s="180"/>
      <c r="D657" s="180"/>
      <c r="E657" s="180"/>
      <c r="F657" s="19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</row>
    <row r="658">
      <c r="A658" s="190"/>
      <c r="B658" s="180"/>
      <c r="C658" s="180"/>
      <c r="D658" s="180"/>
      <c r="E658" s="180"/>
      <c r="F658" s="19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</row>
    <row r="659">
      <c r="A659" s="190"/>
      <c r="B659" s="180"/>
      <c r="C659" s="180"/>
      <c r="D659" s="180"/>
      <c r="E659" s="180"/>
      <c r="F659" s="19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</row>
    <row r="660">
      <c r="A660" s="190"/>
      <c r="B660" s="180"/>
      <c r="C660" s="180"/>
      <c r="D660" s="180"/>
      <c r="E660" s="180"/>
      <c r="F660" s="19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</row>
    <row r="661">
      <c r="A661" s="190"/>
      <c r="B661" s="180"/>
      <c r="C661" s="180"/>
      <c r="D661" s="180"/>
      <c r="E661" s="180"/>
      <c r="F661" s="19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</row>
    <row r="662">
      <c r="A662" s="190"/>
      <c r="B662" s="180"/>
      <c r="C662" s="180"/>
      <c r="D662" s="180"/>
      <c r="E662" s="180"/>
      <c r="F662" s="19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</row>
    <row r="663">
      <c r="A663" s="190"/>
      <c r="B663" s="180"/>
      <c r="C663" s="180"/>
      <c r="D663" s="180"/>
      <c r="E663" s="180"/>
      <c r="F663" s="19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</row>
    <row r="664">
      <c r="A664" s="190"/>
      <c r="B664" s="180"/>
      <c r="C664" s="180"/>
      <c r="D664" s="180"/>
      <c r="E664" s="180"/>
      <c r="F664" s="19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</row>
    <row r="665">
      <c r="A665" s="190"/>
      <c r="B665" s="180"/>
      <c r="C665" s="180"/>
      <c r="D665" s="180"/>
      <c r="E665" s="180"/>
      <c r="F665" s="19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</row>
    <row r="666">
      <c r="A666" s="190"/>
      <c r="B666" s="180"/>
      <c r="C666" s="180"/>
      <c r="D666" s="180"/>
      <c r="E666" s="180"/>
      <c r="F666" s="19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</row>
    <row r="667">
      <c r="A667" s="190"/>
      <c r="B667" s="180"/>
      <c r="C667" s="180"/>
      <c r="D667" s="180"/>
      <c r="E667" s="180"/>
      <c r="F667" s="19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</row>
    <row r="668">
      <c r="A668" s="190"/>
      <c r="B668" s="180"/>
      <c r="C668" s="180"/>
      <c r="D668" s="180"/>
      <c r="E668" s="180"/>
      <c r="F668" s="19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</row>
    <row r="669">
      <c r="A669" s="190"/>
      <c r="B669" s="180"/>
      <c r="C669" s="180"/>
      <c r="D669" s="180"/>
      <c r="E669" s="180"/>
      <c r="F669" s="19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</row>
    <row r="670">
      <c r="A670" s="190"/>
      <c r="B670" s="180"/>
      <c r="C670" s="180"/>
      <c r="D670" s="180"/>
      <c r="E670" s="180"/>
      <c r="F670" s="19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</row>
    <row r="671">
      <c r="A671" s="190"/>
      <c r="B671" s="180"/>
      <c r="C671" s="180"/>
      <c r="D671" s="180"/>
      <c r="E671" s="180"/>
      <c r="F671" s="19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</row>
    <row r="672">
      <c r="A672" s="190"/>
      <c r="B672" s="180"/>
      <c r="C672" s="180"/>
      <c r="D672" s="180"/>
      <c r="E672" s="180"/>
      <c r="F672" s="19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</row>
    <row r="673">
      <c r="A673" s="190"/>
      <c r="B673" s="180"/>
      <c r="C673" s="180"/>
      <c r="D673" s="180"/>
      <c r="E673" s="180"/>
      <c r="F673" s="19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</row>
    <row r="674">
      <c r="A674" s="190"/>
      <c r="B674" s="180"/>
      <c r="C674" s="180"/>
      <c r="D674" s="180"/>
      <c r="E674" s="180"/>
      <c r="F674" s="19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</row>
    <row r="675">
      <c r="A675" s="190"/>
      <c r="B675" s="180"/>
      <c r="C675" s="180"/>
      <c r="D675" s="180"/>
      <c r="E675" s="180"/>
      <c r="F675" s="19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</row>
    <row r="676">
      <c r="A676" s="190"/>
      <c r="B676" s="180"/>
      <c r="C676" s="180"/>
      <c r="D676" s="180"/>
      <c r="E676" s="180"/>
      <c r="F676" s="19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</row>
    <row r="677">
      <c r="A677" s="190"/>
      <c r="B677" s="180"/>
      <c r="C677" s="180"/>
      <c r="D677" s="180"/>
      <c r="E677" s="180"/>
      <c r="F677" s="19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</row>
    <row r="678">
      <c r="A678" s="190"/>
      <c r="B678" s="180"/>
      <c r="C678" s="180"/>
      <c r="D678" s="180"/>
      <c r="E678" s="180"/>
      <c r="F678" s="19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</row>
    <row r="679">
      <c r="A679" s="190"/>
      <c r="B679" s="180"/>
      <c r="C679" s="180"/>
      <c r="D679" s="180"/>
      <c r="E679" s="180"/>
      <c r="F679" s="19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</row>
    <row r="680">
      <c r="A680" s="190"/>
      <c r="B680" s="180"/>
      <c r="C680" s="180"/>
      <c r="D680" s="180"/>
      <c r="E680" s="180"/>
      <c r="F680" s="19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</row>
    <row r="681">
      <c r="A681" s="190"/>
      <c r="B681" s="180"/>
      <c r="C681" s="180"/>
      <c r="D681" s="180"/>
      <c r="E681" s="180"/>
      <c r="F681" s="19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</row>
    <row r="682">
      <c r="A682" s="190"/>
      <c r="B682" s="180"/>
      <c r="C682" s="180"/>
      <c r="D682" s="180"/>
      <c r="E682" s="180"/>
      <c r="F682" s="19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</row>
    <row r="683">
      <c r="A683" s="190"/>
      <c r="B683" s="180"/>
      <c r="C683" s="180"/>
      <c r="D683" s="180"/>
      <c r="E683" s="180"/>
      <c r="F683" s="19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</row>
    <row r="684">
      <c r="A684" s="190"/>
      <c r="B684" s="180"/>
      <c r="C684" s="180"/>
      <c r="D684" s="180"/>
      <c r="E684" s="180"/>
      <c r="F684" s="19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</row>
    <row r="685">
      <c r="A685" s="190"/>
      <c r="B685" s="180"/>
      <c r="C685" s="180"/>
      <c r="D685" s="180"/>
      <c r="E685" s="180"/>
      <c r="F685" s="19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</row>
    <row r="686">
      <c r="A686" s="190"/>
      <c r="B686" s="180"/>
      <c r="C686" s="180"/>
      <c r="D686" s="180"/>
      <c r="E686" s="180"/>
      <c r="F686" s="19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</row>
    <row r="687">
      <c r="A687" s="190"/>
      <c r="B687" s="180"/>
      <c r="C687" s="180"/>
      <c r="D687" s="180"/>
      <c r="E687" s="180"/>
      <c r="F687" s="19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</row>
    <row r="688">
      <c r="A688" s="190"/>
      <c r="B688" s="180"/>
      <c r="C688" s="180"/>
      <c r="D688" s="180"/>
      <c r="E688" s="180"/>
      <c r="F688" s="19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</row>
    <row r="689">
      <c r="A689" s="190"/>
      <c r="B689" s="180"/>
      <c r="C689" s="180"/>
      <c r="D689" s="180"/>
      <c r="E689" s="180"/>
      <c r="F689" s="19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</row>
    <row r="690">
      <c r="A690" s="190"/>
      <c r="B690" s="180"/>
      <c r="C690" s="180"/>
      <c r="D690" s="180"/>
      <c r="E690" s="180"/>
      <c r="F690" s="19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</row>
    <row r="691">
      <c r="A691" s="190"/>
      <c r="B691" s="180"/>
      <c r="C691" s="180"/>
      <c r="D691" s="180"/>
      <c r="E691" s="180"/>
      <c r="F691" s="19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</row>
    <row r="692">
      <c r="A692" s="190"/>
      <c r="B692" s="180"/>
      <c r="C692" s="180"/>
      <c r="D692" s="180"/>
      <c r="E692" s="180"/>
      <c r="F692" s="19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</row>
    <row r="693">
      <c r="A693" s="190"/>
      <c r="B693" s="180"/>
      <c r="C693" s="180"/>
      <c r="D693" s="180"/>
      <c r="E693" s="180"/>
      <c r="F693" s="19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</row>
    <row r="694">
      <c r="A694" s="190"/>
      <c r="B694" s="180"/>
      <c r="C694" s="180"/>
      <c r="D694" s="180"/>
      <c r="E694" s="180"/>
      <c r="F694" s="19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</row>
    <row r="695">
      <c r="A695" s="190"/>
      <c r="B695" s="180"/>
      <c r="C695" s="180"/>
      <c r="D695" s="180"/>
      <c r="E695" s="180"/>
      <c r="F695" s="19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</row>
    <row r="696">
      <c r="A696" s="190"/>
      <c r="B696" s="180"/>
      <c r="C696" s="180"/>
      <c r="D696" s="180"/>
      <c r="E696" s="180"/>
      <c r="F696" s="19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</row>
    <row r="697">
      <c r="A697" s="190"/>
      <c r="B697" s="180"/>
      <c r="C697" s="180"/>
      <c r="D697" s="180"/>
      <c r="E697" s="180"/>
      <c r="F697" s="19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</row>
    <row r="698">
      <c r="A698" s="190"/>
      <c r="B698" s="180"/>
      <c r="C698" s="180"/>
      <c r="D698" s="180"/>
      <c r="E698" s="180"/>
      <c r="F698" s="19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</row>
    <row r="699">
      <c r="A699" s="190"/>
      <c r="B699" s="180"/>
      <c r="C699" s="180"/>
      <c r="D699" s="180"/>
      <c r="E699" s="180"/>
      <c r="F699" s="19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</row>
    <row r="700">
      <c r="A700" s="190"/>
      <c r="B700" s="180"/>
      <c r="C700" s="180"/>
      <c r="D700" s="180"/>
      <c r="E700" s="180"/>
      <c r="F700" s="19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</row>
    <row r="701">
      <c r="A701" s="190"/>
      <c r="B701" s="180"/>
      <c r="C701" s="180"/>
      <c r="D701" s="180"/>
      <c r="E701" s="180"/>
      <c r="F701" s="19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</row>
    <row r="702">
      <c r="A702" s="190"/>
      <c r="B702" s="180"/>
      <c r="C702" s="180"/>
      <c r="D702" s="180"/>
      <c r="E702" s="180"/>
      <c r="F702" s="19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</row>
    <row r="703">
      <c r="A703" s="190"/>
      <c r="B703" s="180"/>
      <c r="C703" s="180"/>
      <c r="D703" s="180"/>
      <c r="E703" s="180"/>
      <c r="F703" s="19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</row>
    <row r="704">
      <c r="A704" s="190"/>
      <c r="B704" s="180"/>
      <c r="C704" s="180"/>
      <c r="D704" s="180"/>
      <c r="E704" s="180"/>
      <c r="F704" s="19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</row>
    <row r="705">
      <c r="A705" s="190"/>
      <c r="B705" s="180"/>
      <c r="C705" s="180"/>
      <c r="D705" s="180"/>
      <c r="E705" s="180"/>
      <c r="F705" s="19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</row>
    <row r="706">
      <c r="A706" s="190"/>
      <c r="B706" s="180"/>
      <c r="C706" s="180"/>
      <c r="D706" s="180"/>
      <c r="E706" s="180"/>
      <c r="F706" s="19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</row>
    <row r="707">
      <c r="A707" s="190"/>
      <c r="B707" s="180"/>
      <c r="C707" s="180"/>
      <c r="D707" s="180"/>
      <c r="E707" s="180"/>
      <c r="F707" s="19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</row>
    <row r="708">
      <c r="A708" s="190"/>
      <c r="B708" s="180"/>
      <c r="C708" s="180"/>
      <c r="D708" s="180"/>
      <c r="E708" s="180"/>
      <c r="F708" s="19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</row>
    <row r="709">
      <c r="A709" s="190"/>
      <c r="B709" s="180"/>
      <c r="C709" s="180"/>
      <c r="D709" s="180"/>
      <c r="E709" s="180"/>
      <c r="F709" s="19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</row>
    <row r="710">
      <c r="A710" s="190"/>
      <c r="B710" s="180"/>
      <c r="C710" s="180"/>
      <c r="D710" s="180"/>
      <c r="E710" s="180"/>
      <c r="F710" s="19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</row>
    <row r="711">
      <c r="A711" s="190"/>
      <c r="B711" s="180"/>
      <c r="C711" s="180"/>
      <c r="D711" s="180"/>
      <c r="E711" s="180"/>
      <c r="F711" s="19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</row>
    <row r="712">
      <c r="A712" s="190"/>
      <c r="B712" s="180"/>
      <c r="C712" s="180"/>
      <c r="D712" s="180"/>
      <c r="E712" s="180"/>
      <c r="F712" s="19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</row>
    <row r="713">
      <c r="A713" s="190"/>
      <c r="B713" s="180"/>
      <c r="C713" s="180"/>
      <c r="D713" s="180"/>
      <c r="E713" s="180"/>
      <c r="F713" s="19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</row>
    <row r="714">
      <c r="A714" s="190"/>
      <c r="B714" s="180"/>
      <c r="C714" s="180"/>
      <c r="D714" s="180"/>
      <c r="E714" s="180"/>
      <c r="F714" s="19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</row>
    <row r="715">
      <c r="A715" s="190"/>
      <c r="B715" s="180"/>
      <c r="C715" s="180"/>
      <c r="D715" s="180"/>
      <c r="E715" s="180"/>
      <c r="F715" s="19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</row>
    <row r="716">
      <c r="A716" s="190"/>
      <c r="B716" s="180"/>
      <c r="C716" s="180"/>
      <c r="D716" s="180"/>
      <c r="E716" s="180"/>
      <c r="F716" s="19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</row>
    <row r="717">
      <c r="A717" s="190"/>
      <c r="B717" s="180"/>
      <c r="C717" s="180"/>
      <c r="D717" s="180"/>
      <c r="E717" s="180"/>
      <c r="F717" s="19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</row>
    <row r="718">
      <c r="A718" s="190"/>
      <c r="B718" s="180"/>
      <c r="C718" s="180"/>
      <c r="D718" s="180"/>
      <c r="E718" s="180"/>
      <c r="F718" s="19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</row>
    <row r="719">
      <c r="A719" s="190"/>
      <c r="B719" s="180"/>
      <c r="C719" s="180"/>
      <c r="D719" s="180"/>
      <c r="E719" s="180"/>
      <c r="F719" s="19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</row>
    <row r="720">
      <c r="A720" s="190"/>
      <c r="B720" s="180"/>
      <c r="C720" s="180"/>
      <c r="D720" s="180"/>
      <c r="E720" s="180"/>
      <c r="F720" s="19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</row>
    <row r="721">
      <c r="A721" s="190"/>
      <c r="B721" s="180"/>
      <c r="C721" s="180"/>
      <c r="D721" s="180"/>
      <c r="E721" s="180"/>
      <c r="F721" s="19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</row>
    <row r="722">
      <c r="A722" s="190"/>
      <c r="B722" s="180"/>
      <c r="C722" s="180"/>
      <c r="D722" s="180"/>
      <c r="E722" s="180"/>
      <c r="F722" s="19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</row>
    <row r="723">
      <c r="A723" s="190"/>
      <c r="B723" s="180"/>
      <c r="C723" s="180"/>
      <c r="D723" s="180"/>
      <c r="E723" s="180"/>
      <c r="F723" s="19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</row>
    <row r="724">
      <c r="A724" s="190"/>
      <c r="B724" s="180"/>
      <c r="C724" s="180"/>
      <c r="D724" s="180"/>
      <c r="E724" s="180"/>
      <c r="F724" s="19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</row>
    <row r="725">
      <c r="A725" s="190"/>
      <c r="B725" s="180"/>
      <c r="C725" s="180"/>
      <c r="D725" s="180"/>
      <c r="E725" s="180"/>
      <c r="F725" s="19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</row>
    <row r="726">
      <c r="A726" s="190"/>
      <c r="B726" s="180"/>
      <c r="C726" s="180"/>
      <c r="D726" s="180"/>
      <c r="E726" s="180"/>
      <c r="F726" s="19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</row>
    <row r="727">
      <c r="A727" s="190"/>
      <c r="B727" s="180"/>
      <c r="C727" s="180"/>
      <c r="D727" s="180"/>
      <c r="E727" s="180"/>
      <c r="F727" s="19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</row>
    <row r="728">
      <c r="A728" s="190"/>
      <c r="B728" s="180"/>
      <c r="C728" s="180"/>
      <c r="D728" s="180"/>
      <c r="E728" s="180"/>
      <c r="F728" s="19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</row>
    <row r="729">
      <c r="A729" s="190"/>
      <c r="B729" s="180"/>
      <c r="C729" s="180"/>
      <c r="D729" s="180"/>
      <c r="E729" s="180"/>
      <c r="F729" s="19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</row>
    <row r="730">
      <c r="A730" s="190"/>
      <c r="B730" s="180"/>
      <c r="C730" s="180"/>
      <c r="D730" s="180"/>
      <c r="E730" s="180"/>
      <c r="F730" s="19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</row>
    <row r="731">
      <c r="A731" s="190"/>
      <c r="B731" s="180"/>
      <c r="C731" s="180"/>
      <c r="D731" s="180"/>
      <c r="E731" s="180"/>
      <c r="F731" s="19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</row>
    <row r="732">
      <c r="A732" s="190"/>
      <c r="B732" s="180"/>
      <c r="C732" s="180"/>
      <c r="D732" s="180"/>
      <c r="E732" s="180"/>
      <c r="F732" s="19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</row>
    <row r="733">
      <c r="A733" s="190"/>
      <c r="B733" s="180"/>
      <c r="C733" s="180"/>
      <c r="D733" s="180"/>
      <c r="E733" s="180"/>
      <c r="F733" s="19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</row>
    <row r="734">
      <c r="A734" s="190"/>
      <c r="B734" s="180"/>
      <c r="C734" s="180"/>
      <c r="D734" s="180"/>
      <c r="E734" s="180"/>
      <c r="F734" s="19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</row>
    <row r="735">
      <c r="A735" s="190"/>
      <c r="B735" s="180"/>
      <c r="C735" s="180"/>
      <c r="D735" s="180"/>
      <c r="E735" s="180"/>
      <c r="F735" s="19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</row>
    <row r="736">
      <c r="A736" s="190"/>
      <c r="B736" s="180"/>
      <c r="C736" s="180"/>
      <c r="D736" s="180"/>
      <c r="E736" s="180"/>
      <c r="F736" s="19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</row>
    <row r="737">
      <c r="A737" s="190"/>
      <c r="B737" s="180"/>
      <c r="C737" s="180"/>
      <c r="D737" s="180"/>
      <c r="E737" s="180"/>
      <c r="F737" s="19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</row>
    <row r="738">
      <c r="A738" s="190"/>
      <c r="B738" s="180"/>
      <c r="C738" s="180"/>
      <c r="D738" s="180"/>
      <c r="E738" s="180"/>
      <c r="F738" s="19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</row>
    <row r="739">
      <c r="A739" s="190"/>
      <c r="B739" s="180"/>
      <c r="C739" s="180"/>
      <c r="D739" s="180"/>
      <c r="E739" s="180"/>
      <c r="F739" s="19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</row>
    <row r="740">
      <c r="A740" s="190"/>
      <c r="B740" s="180"/>
      <c r="C740" s="180"/>
      <c r="D740" s="180"/>
      <c r="E740" s="180"/>
      <c r="F740" s="19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</row>
    <row r="741">
      <c r="A741" s="190"/>
      <c r="B741" s="180"/>
      <c r="C741" s="180"/>
      <c r="D741" s="180"/>
      <c r="E741" s="180"/>
      <c r="F741" s="19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</row>
    <row r="742">
      <c r="A742" s="190"/>
      <c r="B742" s="180"/>
      <c r="C742" s="180"/>
      <c r="D742" s="180"/>
      <c r="E742" s="180"/>
      <c r="F742" s="19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</row>
    <row r="743">
      <c r="A743" s="190"/>
      <c r="B743" s="180"/>
      <c r="C743" s="180"/>
      <c r="D743" s="180"/>
      <c r="E743" s="180"/>
      <c r="F743" s="19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</row>
    <row r="744">
      <c r="A744" s="190"/>
      <c r="B744" s="180"/>
      <c r="C744" s="180"/>
      <c r="D744" s="180"/>
      <c r="E744" s="180"/>
      <c r="F744" s="19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</row>
    <row r="745">
      <c r="A745" s="190"/>
      <c r="B745" s="180"/>
      <c r="C745" s="180"/>
      <c r="D745" s="180"/>
      <c r="E745" s="180"/>
      <c r="F745" s="19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</row>
    <row r="746">
      <c r="A746" s="190"/>
      <c r="B746" s="180"/>
      <c r="C746" s="180"/>
      <c r="D746" s="180"/>
      <c r="E746" s="180"/>
      <c r="F746" s="19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</row>
    <row r="747">
      <c r="A747" s="190"/>
      <c r="B747" s="180"/>
      <c r="C747" s="180"/>
      <c r="D747" s="180"/>
      <c r="E747" s="180"/>
      <c r="F747" s="19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</row>
    <row r="748">
      <c r="A748" s="190"/>
      <c r="B748" s="180"/>
      <c r="C748" s="180"/>
      <c r="D748" s="180"/>
      <c r="E748" s="180"/>
      <c r="F748" s="19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</row>
    <row r="749">
      <c r="A749" s="190"/>
      <c r="B749" s="180"/>
      <c r="C749" s="180"/>
      <c r="D749" s="180"/>
      <c r="E749" s="180"/>
      <c r="F749" s="19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</row>
    <row r="750">
      <c r="A750" s="190"/>
      <c r="B750" s="180"/>
      <c r="C750" s="180"/>
      <c r="D750" s="180"/>
      <c r="E750" s="180"/>
      <c r="F750" s="19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</row>
    <row r="751">
      <c r="A751" s="190"/>
      <c r="B751" s="180"/>
      <c r="C751" s="180"/>
      <c r="D751" s="180"/>
      <c r="E751" s="180"/>
      <c r="F751" s="19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</row>
    <row r="752">
      <c r="A752" s="190"/>
      <c r="B752" s="180"/>
      <c r="C752" s="180"/>
      <c r="D752" s="180"/>
      <c r="E752" s="180"/>
      <c r="F752" s="19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</row>
    <row r="753">
      <c r="A753" s="190"/>
      <c r="B753" s="180"/>
      <c r="C753" s="180"/>
      <c r="D753" s="180"/>
      <c r="E753" s="180"/>
      <c r="F753" s="19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</row>
    <row r="754">
      <c r="A754" s="190"/>
      <c r="B754" s="180"/>
      <c r="C754" s="180"/>
      <c r="D754" s="180"/>
      <c r="E754" s="180"/>
      <c r="F754" s="19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</row>
    <row r="755">
      <c r="A755" s="190"/>
      <c r="B755" s="180"/>
      <c r="C755" s="180"/>
      <c r="D755" s="180"/>
      <c r="E755" s="180"/>
      <c r="F755" s="19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</row>
    <row r="756">
      <c r="A756" s="190"/>
      <c r="B756" s="180"/>
      <c r="C756" s="180"/>
      <c r="D756" s="180"/>
      <c r="E756" s="180"/>
      <c r="F756" s="19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</row>
    <row r="757">
      <c r="A757" s="190"/>
      <c r="B757" s="180"/>
      <c r="C757" s="180"/>
      <c r="D757" s="180"/>
      <c r="E757" s="180"/>
      <c r="F757" s="19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</row>
    <row r="758">
      <c r="A758" s="190"/>
      <c r="B758" s="180"/>
      <c r="C758" s="180"/>
      <c r="D758" s="180"/>
      <c r="E758" s="180"/>
      <c r="F758" s="19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</row>
    <row r="759">
      <c r="A759" s="190"/>
      <c r="B759" s="180"/>
      <c r="C759" s="180"/>
      <c r="D759" s="180"/>
      <c r="E759" s="180"/>
      <c r="F759" s="19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</row>
    <row r="760">
      <c r="A760" s="190"/>
      <c r="B760" s="180"/>
      <c r="C760" s="180"/>
      <c r="D760" s="180"/>
      <c r="E760" s="180"/>
      <c r="F760" s="19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</row>
    <row r="761">
      <c r="A761" s="190"/>
      <c r="B761" s="180"/>
      <c r="C761" s="180"/>
      <c r="D761" s="180"/>
      <c r="E761" s="180"/>
      <c r="F761" s="19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</row>
    <row r="762">
      <c r="A762" s="190"/>
      <c r="B762" s="180"/>
      <c r="C762" s="180"/>
      <c r="D762" s="180"/>
      <c r="E762" s="180"/>
      <c r="F762" s="19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</row>
    <row r="763">
      <c r="A763" s="190"/>
      <c r="B763" s="180"/>
      <c r="C763" s="180"/>
      <c r="D763" s="180"/>
      <c r="E763" s="180"/>
      <c r="F763" s="19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</row>
    <row r="764">
      <c r="A764" s="190"/>
      <c r="B764" s="180"/>
      <c r="C764" s="180"/>
      <c r="D764" s="180"/>
      <c r="E764" s="180"/>
      <c r="F764" s="19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</row>
    <row r="765">
      <c r="A765" s="190"/>
      <c r="B765" s="180"/>
      <c r="C765" s="180"/>
      <c r="D765" s="180"/>
      <c r="E765" s="180"/>
      <c r="F765" s="19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</row>
    <row r="766">
      <c r="A766" s="190"/>
      <c r="B766" s="180"/>
      <c r="C766" s="180"/>
      <c r="D766" s="180"/>
      <c r="E766" s="180"/>
      <c r="F766" s="19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</row>
    <row r="767">
      <c r="A767" s="190"/>
      <c r="B767" s="180"/>
      <c r="C767" s="180"/>
      <c r="D767" s="180"/>
      <c r="E767" s="180"/>
      <c r="F767" s="19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</row>
    <row r="768">
      <c r="A768" s="190"/>
      <c r="B768" s="180"/>
      <c r="C768" s="180"/>
      <c r="D768" s="180"/>
      <c r="E768" s="180"/>
      <c r="F768" s="19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</row>
    <row r="769">
      <c r="A769" s="190"/>
      <c r="B769" s="180"/>
      <c r="C769" s="180"/>
      <c r="D769" s="180"/>
      <c r="E769" s="180"/>
      <c r="F769" s="19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</row>
    <row r="770">
      <c r="A770" s="190"/>
      <c r="B770" s="180"/>
      <c r="C770" s="180"/>
      <c r="D770" s="180"/>
      <c r="E770" s="180"/>
      <c r="F770" s="19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</row>
    <row r="771">
      <c r="A771" s="190"/>
      <c r="B771" s="180"/>
      <c r="C771" s="180"/>
      <c r="D771" s="180"/>
      <c r="E771" s="180"/>
      <c r="F771" s="19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</row>
    <row r="772">
      <c r="A772" s="190"/>
      <c r="B772" s="180"/>
      <c r="C772" s="180"/>
      <c r="D772" s="180"/>
      <c r="E772" s="180"/>
      <c r="F772" s="19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</row>
    <row r="773">
      <c r="A773" s="190"/>
      <c r="B773" s="180"/>
      <c r="C773" s="180"/>
      <c r="D773" s="180"/>
      <c r="E773" s="180"/>
      <c r="F773" s="19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</row>
    <row r="774">
      <c r="A774" s="190"/>
      <c r="B774" s="180"/>
      <c r="C774" s="180"/>
      <c r="D774" s="180"/>
      <c r="E774" s="180"/>
      <c r="F774" s="19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</row>
    <row r="775">
      <c r="A775" s="190"/>
      <c r="B775" s="180"/>
      <c r="C775" s="180"/>
      <c r="D775" s="180"/>
      <c r="E775" s="180"/>
      <c r="F775" s="19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</row>
    <row r="776">
      <c r="A776" s="190"/>
      <c r="B776" s="180"/>
      <c r="C776" s="180"/>
      <c r="D776" s="180"/>
      <c r="E776" s="180"/>
      <c r="F776" s="19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</row>
    <row r="777">
      <c r="A777" s="190"/>
      <c r="B777" s="180"/>
      <c r="C777" s="180"/>
      <c r="D777" s="180"/>
      <c r="E777" s="180"/>
      <c r="F777" s="19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</row>
    <row r="778">
      <c r="A778" s="190"/>
      <c r="B778" s="180"/>
      <c r="C778" s="180"/>
      <c r="D778" s="180"/>
      <c r="E778" s="180"/>
      <c r="F778" s="19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</row>
    <row r="779">
      <c r="A779" s="190"/>
      <c r="B779" s="180"/>
      <c r="C779" s="180"/>
      <c r="D779" s="180"/>
      <c r="E779" s="180"/>
      <c r="F779" s="19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</row>
    <row r="780">
      <c r="A780" s="190"/>
      <c r="B780" s="180"/>
      <c r="C780" s="180"/>
      <c r="D780" s="180"/>
      <c r="E780" s="180"/>
      <c r="F780" s="19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</row>
    <row r="781">
      <c r="A781" s="190"/>
      <c r="B781" s="180"/>
      <c r="C781" s="180"/>
      <c r="D781" s="180"/>
      <c r="E781" s="180"/>
      <c r="F781" s="19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</row>
    <row r="782">
      <c r="A782" s="190"/>
      <c r="B782" s="180"/>
      <c r="C782" s="180"/>
      <c r="D782" s="180"/>
      <c r="E782" s="180"/>
      <c r="F782" s="19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</row>
    <row r="783">
      <c r="A783" s="190"/>
      <c r="B783" s="180"/>
      <c r="C783" s="180"/>
      <c r="D783" s="180"/>
      <c r="E783" s="180"/>
      <c r="F783" s="19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</row>
    <row r="784">
      <c r="A784" s="190"/>
      <c r="B784" s="180"/>
      <c r="C784" s="180"/>
      <c r="D784" s="180"/>
      <c r="E784" s="180"/>
      <c r="F784" s="19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</row>
    <row r="785">
      <c r="A785" s="190"/>
      <c r="B785" s="180"/>
      <c r="C785" s="180"/>
      <c r="D785" s="180"/>
      <c r="E785" s="180"/>
      <c r="F785" s="19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</row>
    <row r="786">
      <c r="A786" s="190"/>
      <c r="B786" s="180"/>
      <c r="C786" s="180"/>
      <c r="D786" s="180"/>
      <c r="E786" s="180"/>
      <c r="F786" s="19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</row>
    <row r="787">
      <c r="A787" s="190"/>
      <c r="B787" s="180"/>
      <c r="C787" s="180"/>
      <c r="D787" s="180"/>
      <c r="E787" s="180"/>
      <c r="F787" s="19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</row>
    <row r="788">
      <c r="A788" s="190"/>
      <c r="B788" s="180"/>
      <c r="C788" s="180"/>
      <c r="D788" s="180"/>
      <c r="E788" s="180"/>
      <c r="F788" s="19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</row>
    <row r="789">
      <c r="A789" s="190"/>
      <c r="B789" s="180"/>
      <c r="C789" s="180"/>
      <c r="D789" s="180"/>
      <c r="E789" s="180"/>
      <c r="F789" s="19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</row>
    <row r="790">
      <c r="A790" s="190"/>
      <c r="B790" s="180"/>
      <c r="C790" s="180"/>
      <c r="D790" s="180"/>
      <c r="E790" s="180"/>
      <c r="F790" s="19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</row>
    <row r="791">
      <c r="A791" s="190"/>
      <c r="B791" s="180"/>
      <c r="C791" s="180"/>
      <c r="D791" s="180"/>
      <c r="E791" s="180"/>
      <c r="F791" s="19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</row>
    <row r="792">
      <c r="A792" s="190"/>
      <c r="B792" s="180"/>
      <c r="C792" s="180"/>
      <c r="D792" s="180"/>
      <c r="E792" s="180"/>
      <c r="F792" s="19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</row>
    <row r="793">
      <c r="A793" s="190"/>
      <c r="B793" s="180"/>
      <c r="C793" s="180"/>
      <c r="D793" s="180"/>
      <c r="E793" s="180"/>
      <c r="F793" s="19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</row>
    <row r="794">
      <c r="A794" s="190"/>
      <c r="B794" s="180"/>
      <c r="C794" s="180"/>
      <c r="D794" s="180"/>
      <c r="E794" s="180"/>
      <c r="F794" s="19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</row>
    <row r="795">
      <c r="A795" s="190"/>
      <c r="B795" s="180"/>
      <c r="C795" s="180"/>
      <c r="D795" s="180"/>
      <c r="E795" s="180"/>
      <c r="F795" s="19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</row>
    <row r="796">
      <c r="A796" s="190"/>
      <c r="B796" s="180"/>
      <c r="C796" s="180"/>
      <c r="D796" s="180"/>
      <c r="E796" s="180"/>
      <c r="F796" s="19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</row>
    <row r="797">
      <c r="A797" s="190"/>
      <c r="B797" s="180"/>
      <c r="C797" s="180"/>
      <c r="D797" s="180"/>
      <c r="E797" s="180"/>
      <c r="F797" s="19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</row>
    <row r="798">
      <c r="A798" s="190"/>
      <c r="B798" s="180"/>
      <c r="C798" s="180"/>
      <c r="D798" s="180"/>
      <c r="E798" s="180"/>
      <c r="F798" s="19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</row>
    <row r="799">
      <c r="A799" s="190"/>
      <c r="B799" s="180"/>
      <c r="C799" s="180"/>
      <c r="D799" s="180"/>
      <c r="E799" s="180"/>
      <c r="F799" s="19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</row>
    <row r="800">
      <c r="A800" s="190"/>
      <c r="B800" s="180"/>
      <c r="C800" s="180"/>
      <c r="D800" s="180"/>
      <c r="E800" s="180"/>
      <c r="F800" s="19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</row>
    <row r="801">
      <c r="A801" s="190"/>
      <c r="B801" s="180"/>
      <c r="C801" s="180"/>
      <c r="D801" s="180"/>
      <c r="E801" s="180"/>
      <c r="F801" s="19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</row>
    <row r="802">
      <c r="A802" s="190"/>
      <c r="B802" s="180"/>
      <c r="C802" s="180"/>
      <c r="D802" s="180"/>
      <c r="E802" s="180"/>
      <c r="F802" s="19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</row>
    <row r="803">
      <c r="A803" s="190"/>
      <c r="B803" s="180"/>
      <c r="C803" s="180"/>
      <c r="D803" s="180"/>
      <c r="E803" s="180"/>
      <c r="F803" s="19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</row>
    <row r="804">
      <c r="A804" s="190"/>
      <c r="B804" s="180"/>
      <c r="C804" s="180"/>
      <c r="D804" s="180"/>
      <c r="E804" s="180"/>
      <c r="F804" s="19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</row>
    <row r="805">
      <c r="A805" s="190"/>
      <c r="B805" s="180"/>
      <c r="C805" s="180"/>
      <c r="D805" s="180"/>
      <c r="E805" s="180"/>
      <c r="F805" s="19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</row>
    <row r="806">
      <c r="A806" s="190"/>
      <c r="B806" s="180"/>
      <c r="C806" s="180"/>
      <c r="D806" s="180"/>
      <c r="E806" s="180"/>
      <c r="F806" s="19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</row>
    <row r="807">
      <c r="A807" s="190"/>
      <c r="B807" s="180"/>
      <c r="C807" s="180"/>
      <c r="D807" s="180"/>
      <c r="E807" s="180"/>
      <c r="F807" s="19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</row>
    <row r="808">
      <c r="A808" s="190"/>
      <c r="B808" s="180"/>
      <c r="C808" s="180"/>
      <c r="D808" s="180"/>
      <c r="E808" s="180"/>
      <c r="F808" s="19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</row>
    <row r="809">
      <c r="A809" s="190"/>
      <c r="B809" s="180"/>
      <c r="C809" s="180"/>
      <c r="D809" s="180"/>
      <c r="E809" s="180"/>
      <c r="F809" s="19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</row>
    <row r="810">
      <c r="A810" s="190"/>
      <c r="B810" s="180"/>
      <c r="C810" s="180"/>
      <c r="D810" s="180"/>
      <c r="E810" s="180"/>
      <c r="F810" s="19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</row>
    <row r="811">
      <c r="A811" s="190"/>
      <c r="B811" s="180"/>
      <c r="C811" s="180"/>
      <c r="D811" s="180"/>
      <c r="E811" s="180"/>
      <c r="F811" s="19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</row>
    <row r="812">
      <c r="A812" s="190"/>
      <c r="B812" s="180"/>
      <c r="C812" s="180"/>
      <c r="D812" s="180"/>
      <c r="E812" s="180"/>
      <c r="F812" s="19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</row>
    <row r="813">
      <c r="A813" s="190"/>
      <c r="B813" s="180"/>
      <c r="C813" s="180"/>
      <c r="D813" s="180"/>
      <c r="E813" s="180"/>
      <c r="F813" s="19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</row>
    <row r="814">
      <c r="A814" s="190"/>
      <c r="B814" s="180"/>
      <c r="C814" s="180"/>
      <c r="D814" s="180"/>
      <c r="E814" s="180"/>
      <c r="F814" s="19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</row>
    <row r="815">
      <c r="A815" s="190"/>
      <c r="B815" s="180"/>
      <c r="C815" s="180"/>
      <c r="D815" s="180"/>
      <c r="E815" s="180"/>
      <c r="F815" s="19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</row>
    <row r="816">
      <c r="A816" s="190"/>
      <c r="B816" s="180"/>
      <c r="C816" s="180"/>
      <c r="D816" s="180"/>
      <c r="E816" s="180"/>
      <c r="F816" s="19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</row>
    <row r="817">
      <c r="A817" s="190"/>
      <c r="B817" s="180"/>
      <c r="C817" s="180"/>
      <c r="D817" s="180"/>
      <c r="E817" s="180"/>
      <c r="F817" s="19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</row>
    <row r="818">
      <c r="A818" s="190"/>
      <c r="B818" s="180"/>
      <c r="C818" s="180"/>
      <c r="D818" s="180"/>
      <c r="E818" s="180"/>
      <c r="F818" s="19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</row>
    <row r="819">
      <c r="A819" s="190"/>
      <c r="B819" s="180"/>
      <c r="C819" s="180"/>
      <c r="D819" s="180"/>
      <c r="E819" s="180"/>
      <c r="F819" s="19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</row>
    <row r="820">
      <c r="A820" s="190"/>
      <c r="B820" s="180"/>
      <c r="C820" s="180"/>
      <c r="D820" s="180"/>
      <c r="E820" s="180"/>
      <c r="F820" s="19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</row>
    <row r="821">
      <c r="A821" s="190"/>
      <c r="B821" s="180"/>
      <c r="C821" s="180"/>
      <c r="D821" s="180"/>
      <c r="E821" s="180"/>
      <c r="F821" s="19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</row>
    <row r="822">
      <c r="A822" s="190"/>
      <c r="B822" s="180"/>
      <c r="C822" s="180"/>
      <c r="D822" s="180"/>
      <c r="E822" s="180"/>
      <c r="F822" s="19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</row>
    <row r="823">
      <c r="A823" s="190"/>
      <c r="B823" s="180"/>
      <c r="C823" s="180"/>
      <c r="D823" s="180"/>
      <c r="E823" s="180"/>
      <c r="F823" s="19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</row>
    <row r="824">
      <c r="A824" s="190"/>
      <c r="B824" s="180"/>
      <c r="C824" s="180"/>
      <c r="D824" s="180"/>
      <c r="E824" s="180"/>
      <c r="F824" s="19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</row>
    <row r="825">
      <c r="A825" s="190"/>
      <c r="B825" s="180"/>
      <c r="C825" s="180"/>
      <c r="D825" s="180"/>
      <c r="E825" s="180"/>
      <c r="F825" s="19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</row>
    <row r="826">
      <c r="A826" s="190"/>
      <c r="B826" s="180"/>
      <c r="C826" s="180"/>
      <c r="D826" s="180"/>
      <c r="E826" s="180"/>
      <c r="F826" s="19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</row>
    <row r="827">
      <c r="A827" s="190"/>
      <c r="B827" s="180"/>
      <c r="C827" s="180"/>
      <c r="D827" s="180"/>
      <c r="E827" s="180"/>
      <c r="F827" s="19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</row>
    <row r="828">
      <c r="A828" s="190"/>
      <c r="B828" s="180"/>
      <c r="C828" s="180"/>
      <c r="D828" s="180"/>
      <c r="E828" s="180"/>
      <c r="F828" s="19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</row>
    <row r="829">
      <c r="A829" s="190"/>
      <c r="B829" s="180"/>
      <c r="C829" s="180"/>
      <c r="D829" s="180"/>
      <c r="E829" s="180"/>
      <c r="F829" s="19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</row>
    <row r="830">
      <c r="A830" s="190"/>
      <c r="B830" s="180"/>
      <c r="C830" s="180"/>
      <c r="D830" s="180"/>
      <c r="E830" s="180"/>
      <c r="F830" s="19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</row>
    <row r="831">
      <c r="A831" s="190"/>
      <c r="B831" s="180"/>
      <c r="C831" s="180"/>
      <c r="D831" s="180"/>
      <c r="E831" s="180"/>
      <c r="F831" s="19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</row>
    <row r="832">
      <c r="A832" s="190"/>
      <c r="B832" s="180"/>
      <c r="C832" s="180"/>
      <c r="D832" s="180"/>
      <c r="E832" s="180"/>
      <c r="F832" s="19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</row>
    <row r="833">
      <c r="A833" s="190"/>
      <c r="B833" s="180"/>
      <c r="C833" s="180"/>
      <c r="D833" s="180"/>
      <c r="E833" s="180"/>
      <c r="F833" s="19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</row>
    <row r="834">
      <c r="A834" s="190"/>
      <c r="B834" s="180"/>
      <c r="C834" s="180"/>
      <c r="D834" s="180"/>
      <c r="E834" s="180"/>
      <c r="F834" s="19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</row>
    <row r="835">
      <c r="A835" s="190"/>
      <c r="B835" s="180"/>
      <c r="C835" s="180"/>
      <c r="D835" s="180"/>
      <c r="E835" s="180"/>
      <c r="F835" s="19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</row>
    <row r="836">
      <c r="A836" s="190"/>
      <c r="B836" s="180"/>
      <c r="C836" s="180"/>
      <c r="D836" s="180"/>
      <c r="E836" s="180"/>
      <c r="F836" s="19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</row>
    <row r="837">
      <c r="A837" s="190"/>
      <c r="B837" s="180"/>
      <c r="C837" s="180"/>
      <c r="D837" s="180"/>
      <c r="E837" s="180"/>
      <c r="F837" s="19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</row>
    <row r="838">
      <c r="A838" s="190"/>
      <c r="B838" s="180"/>
      <c r="C838" s="180"/>
      <c r="D838" s="180"/>
      <c r="E838" s="180"/>
      <c r="F838" s="19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</row>
    <row r="839">
      <c r="A839" s="190"/>
      <c r="B839" s="180"/>
      <c r="C839" s="180"/>
      <c r="D839" s="180"/>
      <c r="E839" s="180"/>
      <c r="F839" s="19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</row>
    <row r="840">
      <c r="A840" s="190"/>
      <c r="B840" s="180"/>
      <c r="C840" s="180"/>
      <c r="D840" s="180"/>
      <c r="E840" s="180"/>
      <c r="F840" s="19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</row>
    <row r="841">
      <c r="A841" s="190"/>
      <c r="B841" s="180"/>
      <c r="C841" s="180"/>
      <c r="D841" s="180"/>
      <c r="E841" s="180"/>
      <c r="F841" s="19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</row>
    <row r="842">
      <c r="A842" s="190"/>
      <c r="B842" s="180"/>
      <c r="C842" s="180"/>
      <c r="D842" s="180"/>
      <c r="E842" s="180"/>
      <c r="F842" s="19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</row>
    <row r="843">
      <c r="A843" s="190"/>
      <c r="B843" s="180"/>
      <c r="C843" s="180"/>
      <c r="D843" s="180"/>
      <c r="E843" s="180"/>
      <c r="F843" s="19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</row>
    <row r="844">
      <c r="A844" s="190"/>
      <c r="B844" s="180"/>
      <c r="C844" s="180"/>
      <c r="D844" s="180"/>
      <c r="E844" s="180"/>
      <c r="F844" s="19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</row>
    <row r="845">
      <c r="A845" s="190"/>
      <c r="B845" s="180"/>
      <c r="C845" s="180"/>
      <c r="D845" s="180"/>
      <c r="E845" s="180"/>
      <c r="F845" s="19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</row>
    <row r="846">
      <c r="A846" s="190"/>
      <c r="B846" s="180"/>
      <c r="C846" s="180"/>
      <c r="D846" s="180"/>
      <c r="E846" s="180"/>
      <c r="F846" s="19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</row>
    <row r="847">
      <c r="A847" s="190"/>
      <c r="B847" s="180"/>
      <c r="C847" s="180"/>
      <c r="D847" s="180"/>
      <c r="E847" s="180"/>
      <c r="F847" s="19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</row>
    <row r="848">
      <c r="A848" s="190"/>
      <c r="B848" s="180"/>
      <c r="C848" s="180"/>
      <c r="D848" s="180"/>
      <c r="E848" s="180"/>
      <c r="F848" s="19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</row>
    <row r="849">
      <c r="A849" s="190"/>
      <c r="B849" s="180"/>
      <c r="C849" s="180"/>
      <c r="D849" s="180"/>
      <c r="E849" s="180"/>
      <c r="F849" s="19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</row>
    <row r="850">
      <c r="A850" s="190"/>
      <c r="B850" s="180"/>
      <c r="C850" s="180"/>
      <c r="D850" s="180"/>
      <c r="E850" s="180"/>
      <c r="F850" s="19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</row>
    <row r="851">
      <c r="A851" s="190"/>
      <c r="B851" s="180"/>
      <c r="C851" s="180"/>
      <c r="D851" s="180"/>
      <c r="E851" s="180"/>
      <c r="F851" s="19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</row>
    <row r="852">
      <c r="A852" s="190"/>
      <c r="B852" s="180"/>
      <c r="C852" s="180"/>
      <c r="D852" s="180"/>
      <c r="E852" s="180"/>
      <c r="F852" s="19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</row>
    <row r="853">
      <c r="A853" s="190"/>
      <c r="B853" s="180"/>
      <c r="C853" s="180"/>
      <c r="D853" s="180"/>
      <c r="E853" s="180"/>
      <c r="F853" s="19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</row>
    <row r="854">
      <c r="A854" s="190"/>
      <c r="B854" s="180"/>
      <c r="C854" s="180"/>
      <c r="D854" s="180"/>
      <c r="E854" s="180"/>
      <c r="F854" s="19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</row>
    <row r="855">
      <c r="A855" s="190"/>
      <c r="B855" s="180"/>
      <c r="C855" s="180"/>
      <c r="D855" s="180"/>
      <c r="E855" s="180"/>
      <c r="F855" s="19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</row>
    <row r="856">
      <c r="A856" s="190"/>
      <c r="B856" s="180"/>
      <c r="C856" s="180"/>
      <c r="D856" s="180"/>
      <c r="E856" s="180"/>
      <c r="F856" s="19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</row>
    <row r="857">
      <c r="A857" s="190"/>
      <c r="B857" s="180"/>
      <c r="C857" s="180"/>
      <c r="D857" s="180"/>
      <c r="E857" s="180"/>
      <c r="F857" s="19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</row>
    <row r="858">
      <c r="A858" s="190"/>
      <c r="B858" s="180"/>
      <c r="C858" s="180"/>
      <c r="D858" s="180"/>
      <c r="E858" s="180"/>
      <c r="F858" s="19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</row>
    <row r="859">
      <c r="A859" s="190"/>
      <c r="B859" s="180"/>
      <c r="C859" s="180"/>
      <c r="D859" s="180"/>
      <c r="E859" s="180"/>
      <c r="F859" s="19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</row>
    <row r="860">
      <c r="A860" s="190"/>
      <c r="B860" s="180"/>
      <c r="C860" s="180"/>
      <c r="D860" s="180"/>
      <c r="E860" s="180"/>
      <c r="F860" s="19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</row>
    <row r="861">
      <c r="A861" s="190"/>
      <c r="B861" s="180"/>
      <c r="C861" s="180"/>
      <c r="D861" s="180"/>
      <c r="E861" s="180"/>
      <c r="F861" s="19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</row>
    <row r="862">
      <c r="A862" s="190"/>
      <c r="B862" s="180"/>
      <c r="C862" s="180"/>
      <c r="D862" s="180"/>
      <c r="E862" s="180"/>
      <c r="F862" s="19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</row>
    <row r="863">
      <c r="A863" s="190"/>
      <c r="B863" s="180"/>
      <c r="C863" s="180"/>
      <c r="D863" s="180"/>
      <c r="E863" s="180"/>
      <c r="F863" s="19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</row>
    <row r="864">
      <c r="A864" s="190"/>
      <c r="B864" s="180"/>
      <c r="C864" s="180"/>
      <c r="D864" s="180"/>
      <c r="E864" s="180"/>
      <c r="F864" s="19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</row>
    <row r="865">
      <c r="A865" s="190"/>
      <c r="B865" s="180"/>
      <c r="C865" s="180"/>
      <c r="D865" s="180"/>
      <c r="E865" s="180"/>
      <c r="F865" s="19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</row>
    <row r="866">
      <c r="A866" s="190"/>
      <c r="B866" s="180"/>
      <c r="C866" s="180"/>
      <c r="D866" s="180"/>
      <c r="E866" s="180"/>
      <c r="F866" s="19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</row>
    <row r="867">
      <c r="A867" s="190"/>
      <c r="B867" s="180"/>
      <c r="C867" s="180"/>
      <c r="D867" s="180"/>
      <c r="E867" s="180"/>
      <c r="F867" s="19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</row>
    <row r="868">
      <c r="A868" s="190"/>
      <c r="B868" s="180"/>
      <c r="C868" s="180"/>
      <c r="D868" s="180"/>
      <c r="E868" s="180"/>
      <c r="F868" s="19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</row>
    <row r="869">
      <c r="A869" s="190"/>
      <c r="B869" s="180"/>
      <c r="C869" s="180"/>
      <c r="D869" s="180"/>
      <c r="E869" s="180"/>
      <c r="F869" s="19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</row>
    <row r="870">
      <c r="A870" s="190"/>
      <c r="B870" s="180"/>
      <c r="C870" s="180"/>
      <c r="D870" s="180"/>
      <c r="E870" s="180"/>
      <c r="F870" s="19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</row>
    <row r="871">
      <c r="A871" s="190"/>
      <c r="B871" s="180"/>
      <c r="C871" s="180"/>
      <c r="D871" s="180"/>
      <c r="E871" s="180"/>
      <c r="F871" s="19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</row>
    <row r="872">
      <c r="A872" s="190"/>
      <c r="B872" s="180"/>
      <c r="C872" s="180"/>
      <c r="D872" s="180"/>
      <c r="E872" s="180"/>
      <c r="F872" s="19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</row>
    <row r="873">
      <c r="A873" s="190"/>
      <c r="B873" s="180"/>
      <c r="C873" s="180"/>
      <c r="D873" s="180"/>
      <c r="E873" s="180"/>
      <c r="F873" s="19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</row>
    <row r="874">
      <c r="A874" s="190"/>
      <c r="B874" s="180"/>
      <c r="C874" s="180"/>
      <c r="D874" s="180"/>
      <c r="E874" s="180"/>
      <c r="F874" s="19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</row>
    <row r="875">
      <c r="A875" s="190"/>
      <c r="B875" s="180"/>
      <c r="C875" s="180"/>
      <c r="D875" s="180"/>
      <c r="E875" s="180"/>
      <c r="F875" s="19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</row>
    <row r="876">
      <c r="A876" s="190"/>
      <c r="B876" s="180"/>
      <c r="C876" s="180"/>
      <c r="D876" s="180"/>
      <c r="E876" s="180"/>
      <c r="F876" s="19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</row>
    <row r="877">
      <c r="A877" s="190"/>
      <c r="B877" s="180"/>
      <c r="C877" s="180"/>
      <c r="D877" s="180"/>
      <c r="E877" s="180"/>
      <c r="F877" s="19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</row>
    <row r="878">
      <c r="A878" s="190"/>
      <c r="B878" s="180"/>
      <c r="C878" s="180"/>
      <c r="D878" s="180"/>
      <c r="E878" s="180"/>
      <c r="F878" s="19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</row>
    <row r="879">
      <c r="A879" s="190"/>
      <c r="B879" s="180"/>
      <c r="C879" s="180"/>
      <c r="D879" s="180"/>
      <c r="E879" s="180"/>
      <c r="F879" s="19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</row>
    <row r="880">
      <c r="A880" s="190"/>
      <c r="B880" s="180"/>
      <c r="C880" s="180"/>
      <c r="D880" s="180"/>
      <c r="E880" s="180"/>
      <c r="F880" s="19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</row>
    <row r="881">
      <c r="A881" s="190"/>
      <c r="B881" s="180"/>
      <c r="C881" s="180"/>
      <c r="D881" s="180"/>
      <c r="E881" s="180"/>
      <c r="F881" s="19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</row>
    <row r="882">
      <c r="A882" s="190"/>
      <c r="B882" s="180"/>
      <c r="C882" s="180"/>
      <c r="D882" s="180"/>
      <c r="E882" s="180"/>
      <c r="F882" s="19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</row>
    <row r="883">
      <c r="A883" s="190"/>
      <c r="B883" s="180"/>
      <c r="C883" s="180"/>
      <c r="D883" s="180"/>
      <c r="E883" s="180"/>
      <c r="F883" s="19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</row>
    <row r="884">
      <c r="A884" s="190"/>
      <c r="B884" s="180"/>
      <c r="C884" s="180"/>
      <c r="D884" s="180"/>
      <c r="E884" s="180"/>
      <c r="F884" s="19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</row>
    <row r="885">
      <c r="A885" s="190"/>
      <c r="B885" s="180"/>
      <c r="C885" s="180"/>
      <c r="D885" s="180"/>
      <c r="E885" s="180"/>
      <c r="F885" s="19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</row>
    <row r="886">
      <c r="A886" s="190"/>
      <c r="B886" s="180"/>
      <c r="C886" s="180"/>
      <c r="D886" s="180"/>
      <c r="E886" s="180"/>
      <c r="F886" s="19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</row>
    <row r="887">
      <c r="A887" s="190"/>
      <c r="B887" s="180"/>
      <c r="C887" s="180"/>
      <c r="D887" s="180"/>
      <c r="E887" s="180"/>
      <c r="F887" s="19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</row>
    <row r="888">
      <c r="A888" s="190"/>
      <c r="B888" s="180"/>
      <c r="C888" s="180"/>
      <c r="D888" s="180"/>
      <c r="E888" s="180"/>
      <c r="F888" s="19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</row>
    <row r="889">
      <c r="A889" s="190"/>
      <c r="B889" s="180"/>
      <c r="C889" s="180"/>
      <c r="D889" s="180"/>
      <c r="E889" s="180"/>
      <c r="F889" s="19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</row>
    <row r="890">
      <c r="A890" s="190"/>
      <c r="B890" s="180"/>
      <c r="C890" s="180"/>
      <c r="D890" s="180"/>
      <c r="E890" s="180"/>
      <c r="F890" s="19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</row>
    <row r="891">
      <c r="A891" s="190"/>
      <c r="B891" s="180"/>
      <c r="C891" s="180"/>
      <c r="D891" s="180"/>
      <c r="E891" s="180"/>
      <c r="F891" s="19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</row>
    <row r="892">
      <c r="A892" s="190"/>
      <c r="B892" s="180"/>
      <c r="C892" s="180"/>
      <c r="D892" s="180"/>
      <c r="E892" s="180"/>
      <c r="F892" s="19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</row>
    <row r="893">
      <c r="A893" s="190"/>
      <c r="B893" s="180"/>
      <c r="C893" s="180"/>
      <c r="D893" s="180"/>
      <c r="E893" s="180"/>
      <c r="F893" s="19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</row>
    <row r="894">
      <c r="A894" s="190"/>
      <c r="B894" s="180"/>
      <c r="C894" s="180"/>
      <c r="D894" s="180"/>
      <c r="E894" s="180"/>
      <c r="F894" s="19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</row>
    <row r="895">
      <c r="A895" s="190"/>
      <c r="B895" s="180"/>
      <c r="C895" s="180"/>
      <c r="D895" s="180"/>
      <c r="E895" s="180"/>
      <c r="F895" s="19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</row>
    <row r="896">
      <c r="A896" s="190"/>
      <c r="B896" s="180"/>
      <c r="C896" s="180"/>
      <c r="D896" s="180"/>
      <c r="E896" s="180"/>
      <c r="F896" s="19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</row>
    <row r="897">
      <c r="A897" s="190"/>
      <c r="B897" s="180"/>
      <c r="C897" s="180"/>
      <c r="D897" s="180"/>
      <c r="E897" s="180"/>
      <c r="F897" s="19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</row>
    <row r="898">
      <c r="A898" s="190"/>
      <c r="B898" s="180"/>
      <c r="C898" s="180"/>
      <c r="D898" s="180"/>
      <c r="E898" s="180"/>
      <c r="F898" s="19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</row>
    <row r="899">
      <c r="A899" s="190"/>
      <c r="B899" s="180"/>
      <c r="C899" s="180"/>
      <c r="D899" s="180"/>
      <c r="E899" s="180"/>
      <c r="F899" s="19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</row>
    <row r="900">
      <c r="A900" s="190"/>
      <c r="B900" s="180"/>
      <c r="C900" s="180"/>
      <c r="D900" s="180"/>
      <c r="E900" s="180"/>
      <c r="F900" s="19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</row>
    <row r="901">
      <c r="A901" s="190"/>
      <c r="B901" s="180"/>
      <c r="C901" s="180"/>
      <c r="D901" s="180"/>
      <c r="E901" s="180"/>
      <c r="F901" s="19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</row>
    <row r="902">
      <c r="A902" s="190"/>
      <c r="B902" s="180"/>
      <c r="C902" s="180"/>
      <c r="D902" s="180"/>
      <c r="E902" s="180"/>
      <c r="F902" s="19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</row>
    <row r="903">
      <c r="A903" s="190"/>
      <c r="B903" s="180"/>
      <c r="C903" s="180"/>
      <c r="D903" s="180"/>
      <c r="E903" s="180"/>
      <c r="F903" s="19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</row>
    <row r="904">
      <c r="A904" s="190"/>
      <c r="B904" s="180"/>
      <c r="C904" s="180"/>
      <c r="D904" s="180"/>
      <c r="E904" s="180"/>
      <c r="F904" s="19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</row>
    <row r="905">
      <c r="A905" s="190"/>
      <c r="B905" s="180"/>
      <c r="C905" s="180"/>
      <c r="D905" s="180"/>
      <c r="E905" s="180"/>
      <c r="F905" s="19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</row>
    <row r="906">
      <c r="A906" s="190"/>
      <c r="B906" s="180"/>
      <c r="C906" s="180"/>
      <c r="D906" s="180"/>
      <c r="E906" s="180"/>
      <c r="F906" s="19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</row>
    <row r="907">
      <c r="A907" s="190"/>
      <c r="B907" s="180"/>
      <c r="C907" s="180"/>
      <c r="D907" s="180"/>
      <c r="E907" s="180"/>
      <c r="F907" s="19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</row>
    <row r="908">
      <c r="A908" s="190"/>
      <c r="B908" s="180"/>
      <c r="C908" s="180"/>
      <c r="D908" s="180"/>
      <c r="E908" s="180"/>
      <c r="F908" s="19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</row>
    <row r="909">
      <c r="A909" s="190"/>
      <c r="B909" s="180"/>
      <c r="C909" s="180"/>
      <c r="D909" s="180"/>
      <c r="E909" s="180"/>
      <c r="F909" s="19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</row>
    <row r="910">
      <c r="A910" s="190"/>
      <c r="B910" s="180"/>
      <c r="C910" s="180"/>
      <c r="D910" s="180"/>
      <c r="E910" s="180"/>
      <c r="F910" s="19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</row>
    <row r="911">
      <c r="A911" s="190"/>
      <c r="B911" s="180"/>
      <c r="C911" s="180"/>
      <c r="D911" s="180"/>
      <c r="E911" s="180"/>
      <c r="F911" s="19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</row>
    <row r="912">
      <c r="A912" s="190"/>
      <c r="B912" s="180"/>
      <c r="C912" s="180"/>
      <c r="D912" s="180"/>
      <c r="E912" s="180"/>
      <c r="F912" s="19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</row>
    <row r="913">
      <c r="A913" s="190"/>
      <c r="B913" s="180"/>
      <c r="C913" s="180"/>
      <c r="D913" s="180"/>
      <c r="E913" s="180"/>
      <c r="F913" s="19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</row>
    <row r="914">
      <c r="A914" s="190"/>
      <c r="B914" s="180"/>
      <c r="C914" s="180"/>
      <c r="D914" s="180"/>
      <c r="E914" s="180"/>
      <c r="F914" s="19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</row>
    <row r="915">
      <c r="A915" s="190"/>
      <c r="B915" s="180"/>
      <c r="C915" s="180"/>
      <c r="D915" s="180"/>
      <c r="E915" s="180"/>
      <c r="F915" s="19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</row>
    <row r="916">
      <c r="A916" s="190"/>
      <c r="B916" s="180"/>
      <c r="C916" s="180"/>
      <c r="D916" s="180"/>
      <c r="E916" s="180"/>
      <c r="F916" s="19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</row>
    <row r="917">
      <c r="A917" s="190"/>
      <c r="B917" s="180"/>
      <c r="C917" s="180"/>
      <c r="D917" s="180"/>
      <c r="E917" s="180"/>
      <c r="F917" s="19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</row>
    <row r="918">
      <c r="A918" s="190"/>
      <c r="B918" s="180"/>
      <c r="C918" s="180"/>
      <c r="D918" s="180"/>
      <c r="E918" s="180"/>
      <c r="F918" s="19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</row>
    <row r="919">
      <c r="A919" s="190"/>
      <c r="B919" s="180"/>
      <c r="C919" s="180"/>
      <c r="D919" s="180"/>
      <c r="E919" s="180"/>
      <c r="F919" s="19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</row>
    <row r="920">
      <c r="A920" s="190"/>
      <c r="B920" s="180"/>
      <c r="C920" s="180"/>
      <c r="D920" s="180"/>
      <c r="E920" s="180"/>
      <c r="F920" s="19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</row>
    <row r="921">
      <c r="A921" s="190"/>
      <c r="B921" s="180"/>
      <c r="C921" s="180"/>
      <c r="D921" s="180"/>
      <c r="E921" s="180"/>
      <c r="F921" s="19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</row>
    <row r="922">
      <c r="A922" s="190"/>
      <c r="B922" s="180"/>
      <c r="C922" s="180"/>
      <c r="D922" s="180"/>
      <c r="E922" s="180"/>
      <c r="F922" s="19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</row>
    <row r="923">
      <c r="A923" s="190"/>
      <c r="B923" s="180"/>
      <c r="C923" s="180"/>
      <c r="D923" s="180"/>
      <c r="E923" s="180"/>
      <c r="F923" s="19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</row>
    <row r="924">
      <c r="A924" s="190"/>
      <c r="B924" s="180"/>
      <c r="C924" s="180"/>
      <c r="D924" s="180"/>
      <c r="E924" s="180"/>
      <c r="F924" s="19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  <c r="AA924" s="180"/>
    </row>
    <row r="925">
      <c r="A925" s="190"/>
      <c r="B925" s="180"/>
      <c r="C925" s="180"/>
      <c r="D925" s="180"/>
      <c r="E925" s="180"/>
      <c r="F925" s="19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  <c r="AA925" s="180"/>
    </row>
    <row r="926">
      <c r="A926" s="190"/>
      <c r="B926" s="180"/>
      <c r="C926" s="180"/>
      <c r="D926" s="180"/>
      <c r="E926" s="180"/>
      <c r="F926" s="19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  <c r="AA926" s="180"/>
    </row>
    <row r="927">
      <c r="A927" s="190"/>
      <c r="B927" s="180"/>
      <c r="C927" s="180"/>
      <c r="D927" s="180"/>
      <c r="E927" s="180"/>
      <c r="F927" s="19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  <c r="AA927" s="180"/>
    </row>
    <row r="928">
      <c r="A928" s="190"/>
      <c r="B928" s="180"/>
      <c r="C928" s="180"/>
      <c r="D928" s="180"/>
      <c r="E928" s="180"/>
      <c r="F928" s="19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  <c r="AA928" s="180"/>
    </row>
    <row r="929">
      <c r="A929" s="190"/>
      <c r="B929" s="180"/>
      <c r="C929" s="180"/>
      <c r="D929" s="180"/>
      <c r="E929" s="180"/>
      <c r="F929" s="19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  <c r="AA929" s="180"/>
    </row>
    <row r="930">
      <c r="A930" s="190"/>
      <c r="B930" s="180"/>
      <c r="C930" s="180"/>
      <c r="D930" s="180"/>
      <c r="E930" s="180"/>
      <c r="F930" s="19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  <c r="AA930" s="180"/>
    </row>
    <row r="931">
      <c r="A931" s="190"/>
      <c r="B931" s="180"/>
      <c r="C931" s="180"/>
      <c r="D931" s="180"/>
      <c r="E931" s="180"/>
      <c r="F931" s="19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  <c r="AA931" s="180"/>
    </row>
    <row r="932">
      <c r="A932" s="190"/>
      <c r="B932" s="180"/>
      <c r="C932" s="180"/>
      <c r="D932" s="180"/>
      <c r="E932" s="180"/>
      <c r="F932" s="19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  <c r="AA932" s="180"/>
    </row>
    <row r="933">
      <c r="A933" s="190"/>
      <c r="B933" s="180"/>
      <c r="C933" s="180"/>
      <c r="D933" s="180"/>
      <c r="E933" s="180"/>
      <c r="F933" s="19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  <c r="AA933" s="180"/>
    </row>
    <row r="934">
      <c r="A934" s="190"/>
      <c r="B934" s="180"/>
      <c r="C934" s="180"/>
      <c r="D934" s="180"/>
      <c r="E934" s="180"/>
      <c r="F934" s="19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  <c r="AA934" s="180"/>
    </row>
    <row r="935">
      <c r="A935" s="190"/>
      <c r="B935" s="180"/>
      <c r="C935" s="180"/>
      <c r="D935" s="180"/>
      <c r="E935" s="180"/>
      <c r="F935" s="19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  <c r="AA935" s="180"/>
    </row>
    <row r="936">
      <c r="A936" s="190"/>
      <c r="B936" s="180"/>
      <c r="C936" s="180"/>
      <c r="D936" s="180"/>
      <c r="E936" s="180"/>
      <c r="F936" s="19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  <c r="AA936" s="180"/>
    </row>
    <row r="937">
      <c r="A937" s="190"/>
      <c r="B937" s="180"/>
      <c r="C937" s="180"/>
      <c r="D937" s="180"/>
      <c r="E937" s="180"/>
      <c r="F937" s="19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  <c r="AA937" s="180"/>
    </row>
    <row r="938">
      <c r="A938" s="190"/>
      <c r="B938" s="180"/>
      <c r="C938" s="180"/>
      <c r="D938" s="180"/>
      <c r="E938" s="180"/>
      <c r="F938" s="19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  <c r="AA938" s="180"/>
    </row>
    <row r="939">
      <c r="A939" s="190"/>
      <c r="B939" s="180"/>
      <c r="C939" s="180"/>
      <c r="D939" s="180"/>
      <c r="E939" s="180"/>
      <c r="F939" s="19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  <c r="AA939" s="180"/>
    </row>
    <row r="940">
      <c r="A940" s="190"/>
      <c r="B940" s="180"/>
      <c r="C940" s="180"/>
      <c r="D940" s="180"/>
      <c r="E940" s="180"/>
      <c r="F940" s="19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  <c r="AA940" s="180"/>
    </row>
    <row r="941">
      <c r="A941" s="190"/>
      <c r="B941" s="180"/>
      <c r="C941" s="180"/>
      <c r="D941" s="180"/>
      <c r="E941" s="180"/>
      <c r="F941" s="19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  <c r="AA941" s="180"/>
    </row>
    <row r="942">
      <c r="A942" s="190"/>
      <c r="B942" s="180"/>
      <c r="C942" s="180"/>
      <c r="D942" s="180"/>
      <c r="E942" s="180"/>
      <c r="F942" s="19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  <c r="AA942" s="180"/>
    </row>
    <row r="943">
      <c r="A943" s="190"/>
      <c r="B943" s="180"/>
      <c r="C943" s="180"/>
      <c r="D943" s="180"/>
      <c r="E943" s="180"/>
      <c r="F943" s="19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  <c r="AA943" s="180"/>
    </row>
    <row r="944">
      <c r="A944" s="190"/>
      <c r="B944" s="180"/>
      <c r="C944" s="180"/>
      <c r="D944" s="180"/>
      <c r="E944" s="180"/>
      <c r="F944" s="19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  <c r="AA944" s="180"/>
    </row>
    <row r="945">
      <c r="A945" s="190"/>
      <c r="B945" s="180"/>
      <c r="C945" s="180"/>
      <c r="D945" s="180"/>
      <c r="E945" s="180"/>
      <c r="F945" s="19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  <c r="AA945" s="180"/>
    </row>
    <row r="946">
      <c r="A946" s="190"/>
      <c r="B946" s="180"/>
      <c r="C946" s="180"/>
      <c r="D946" s="180"/>
      <c r="E946" s="180"/>
      <c r="F946" s="19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  <c r="AA946" s="180"/>
    </row>
    <row r="947">
      <c r="A947" s="190"/>
      <c r="B947" s="180"/>
      <c r="C947" s="180"/>
      <c r="D947" s="180"/>
      <c r="E947" s="180"/>
      <c r="F947" s="19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  <c r="AA947" s="180"/>
    </row>
    <row r="948">
      <c r="A948" s="190"/>
      <c r="B948" s="180"/>
      <c r="C948" s="180"/>
      <c r="D948" s="180"/>
      <c r="E948" s="180"/>
      <c r="F948" s="19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  <c r="AA948" s="180"/>
    </row>
    <row r="949">
      <c r="A949" s="190"/>
      <c r="B949" s="180"/>
      <c r="C949" s="180"/>
      <c r="D949" s="180"/>
      <c r="E949" s="180"/>
      <c r="F949" s="19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  <c r="AA949" s="180"/>
    </row>
    <row r="950">
      <c r="A950" s="190"/>
      <c r="B950" s="180"/>
      <c r="C950" s="180"/>
      <c r="D950" s="180"/>
      <c r="E950" s="180"/>
      <c r="F950" s="19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  <c r="AA950" s="180"/>
    </row>
    <row r="951">
      <c r="A951" s="190"/>
      <c r="B951" s="180"/>
      <c r="C951" s="180"/>
      <c r="D951" s="180"/>
      <c r="E951" s="180"/>
      <c r="F951" s="19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  <c r="AA951" s="180"/>
    </row>
    <row r="952">
      <c r="A952" s="190"/>
      <c r="B952" s="180"/>
      <c r="C952" s="180"/>
      <c r="D952" s="180"/>
      <c r="E952" s="180"/>
      <c r="F952" s="19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  <c r="AA952" s="180"/>
    </row>
    <row r="953">
      <c r="A953" s="190"/>
      <c r="B953" s="180"/>
      <c r="C953" s="180"/>
      <c r="D953" s="180"/>
      <c r="E953" s="180"/>
      <c r="F953" s="19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  <c r="AA953" s="180"/>
    </row>
    <row r="954">
      <c r="A954" s="190"/>
      <c r="B954" s="180"/>
      <c r="C954" s="180"/>
      <c r="D954" s="180"/>
      <c r="E954" s="180"/>
      <c r="F954" s="19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  <c r="AA954" s="180"/>
    </row>
    <row r="955">
      <c r="A955" s="190"/>
      <c r="B955" s="180"/>
      <c r="C955" s="180"/>
      <c r="D955" s="180"/>
      <c r="E955" s="180"/>
      <c r="F955" s="19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  <c r="AA955" s="180"/>
    </row>
    <row r="956">
      <c r="A956" s="190"/>
      <c r="B956" s="180"/>
      <c r="C956" s="180"/>
      <c r="D956" s="180"/>
      <c r="E956" s="180"/>
      <c r="F956" s="19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  <c r="AA956" s="180"/>
    </row>
    <row r="957">
      <c r="A957" s="190"/>
      <c r="B957" s="180"/>
      <c r="C957" s="180"/>
      <c r="D957" s="180"/>
      <c r="E957" s="180"/>
      <c r="F957" s="19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  <c r="AA957" s="180"/>
    </row>
    <row r="958">
      <c r="A958" s="190"/>
      <c r="B958" s="180"/>
      <c r="C958" s="180"/>
      <c r="D958" s="180"/>
      <c r="E958" s="180"/>
      <c r="F958" s="19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  <c r="AA958" s="180"/>
    </row>
    <row r="959">
      <c r="A959" s="190"/>
      <c r="B959" s="180"/>
      <c r="C959" s="180"/>
      <c r="D959" s="180"/>
      <c r="E959" s="180"/>
      <c r="F959" s="19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  <c r="AA959" s="180"/>
    </row>
    <row r="960">
      <c r="A960" s="190"/>
      <c r="B960" s="180"/>
      <c r="C960" s="180"/>
      <c r="D960" s="180"/>
      <c r="E960" s="180"/>
      <c r="F960" s="19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  <c r="AA960" s="180"/>
    </row>
    <row r="961">
      <c r="A961" s="190"/>
      <c r="B961" s="180"/>
      <c r="C961" s="180"/>
      <c r="D961" s="180"/>
      <c r="E961" s="180"/>
      <c r="F961" s="19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  <c r="AA961" s="180"/>
    </row>
    <row r="962">
      <c r="A962" s="190"/>
      <c r="B962" s="180"/>
      <c r="C962" s="180"/>
      <c r="D962" s="180"/>
      <c r="E962" s="180"/>
      <c r="F962" s="19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  <c r="AA962" s="180"/>
    </row>
    <row r="963">
      <c r="A963" s="190"/>
      <c r="B963" s="180"/>
      <c r="C963" s="180"/>
      <c r="D963" s="180"/>
      <c r="E963" s="180"/>
      <c r="F963" s="19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  <c r="AA963" s="180"/>
    </row>
    <row r="964">
      <c r="A964" s="190"/>
      <c r="B964" s="180"/>
      <c r="C964" s="180"/>
      <c r="D964" s="180"/>
      <c r="E964" s="180"/>
      <c r="F964" s="19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  <c r="AA964" s="180"/>
    </row>
    <row r="965">
      <c r="A965" s="190"/>
      <c r="B965" s="180"/>
      <c r="C965" s="180"/>
      <c r="D965" s="180"/>
      <c r="E965" s="180"/>
      <c r="F965" s="19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  <c r="AA965" s="180"/>
    </row>
    <row r="966">
      <c r="A966" s="190"/>
      <c r="B966" s="180"/>
      <c r="C966" s="180"/>
      <c r="D966" s="180"/>
      <c r="E966" s="180"/>
      <c r="F966" s="19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  <c r="AA966" s="180"/>
    </row>
    <row r="967">
      <c r="A967" s="190"/>
      <c r="B967" s="180"/>
      <c r="C967" s="180"/>
      <c r="D967" s="180"/>
      <c r="E967" s="180"/>
      <c r="F967" s="19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  <c r="AA967" s="180"/>
    </row>
    <row r="968">
      <c r="A968" s="190"/>
      <c r="B968" s="180"/>
      <c r="C968" s="180"/>
      <c r="D968" s="180"/>
      <c r="E968" s="180"/>
      <c r="F968" s="19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  <c r="AA968" s="180"/>
    </row>
    <row r="969">
      <c r="A969" s="190"/>
      <c r="B969" s="180"/>
      <c r="C969" s="180"/>
      <c r="D969" s="180"/>
      <c r="E969" s="180"/>
      <c r="F969" s="19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  <c r="AA969" s="180"/>
    </row>
    <row r="970">
      <c r="A970" s="190"/>
      <c r="B970" s="180"/>
      <c r="C970" s="180"/>
      <c r="D970" s="180"/>
      <c r="E970" s="180"/>
      <c r="F970" s="19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  <c r="AA970" s="180"/>
    </row>
    <row r="971">
      <c r="A971" s="190"/>
      <c r="B971" s="180"/>
      <c r="C971" s="180"/>
      <c r="D971" s="180"/>
      <c r="E971" s="180"/>
      <c r="F971" s="19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  <c r="AA971" s="180"/>
    </row>
    <row r="972">
      <c r="A972" s="190"/>
      <c r="B972" s="180"/>
      <c r="C972" s="180"/>
      <c r="D972" s="180"/>
      <c r="E972" s="180"/>
      <c r="F972" s="19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  <c r="AA972" s="180"/>
    </row>
    <row r="973">
      <c r="A973" s="190"/>
      <c r="B973" s="180"/>
      <c r="C973" s="180"/>
      <c r="D973" s="180"/>
      <c r="E973" s="180"/>
      <c r="F973" s="19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  <c r="AA973" s="180"/>
    </row>
    <row r="974">
      <c r="A974" s="190"/>
      <c r="B974" s="180"/>
      <c r="C974" s="180"/>
      <c r="D974" s="180"/>
      <c r="E974" s="180"/>
      <c r="F974" s="19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  <c r="AA974" s="180"/>
    </row>
    <row r="975">
      <c r="A975" s="190"/>
      <c r="B975" s="180"/>
      <c r="C975" s="180"/>
      <c r="D975" s="180"/>
      <c r="E975" s="180"/>
      <c r="F975" s="19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  <c r="AA975" s="180"/>
    </row>
    <row r="976">
      <c r="A976" s="190"/>
      <c r="B976" s="180"/>
      <c r="C976" s="180"/>
      <c r="D976" s="180"/>
      <c r="E976" s="180"/>
      <c r="F976" s="19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  <c r="AA976" s="180"/>
    </row>
    <row r="977">
      <c r="A977" s="190"/>
      <c r="B977" s="180"/>
      <c r="C977" s="180"/>
      <c r="D977" s="180"/>
      <c r="E977" s="180"/>
      <c r="F977" s="19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  <c r="AA977" s="180"/>
    </row>
    <row r="978">
      <c r="A978" s="190"/>
      <c r="B978" s="180"/>
      <c r="C978" s="180"/>
      <c r="D978" s="180"/>
      <c r="E978" s="180"/>
      <c r="F978" s="19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  <c r="AA978" s="180"/>
    </row>
    <row r="979">
      <c r="A979" s="190"/>
      <c r="B979" s="180"/>
      <c r="C979" s="180"/>
      <c r="D979" s="180"/>
      <c r="E979" s="180"/>
      <c r="F979" s="19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  <c r="AA979" s="180"/>
    </row>
    <row r="980">
      <c r="A980" s="190"/>
      <c r="B980" s="180"/>
      <c r="C980" s="180"/>
      <c r="D980" s="180"/>
      <c r="E980" s="180"/>
      <c r="F980" s="19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  <c r="AA980" s="180"/>
    </row>
    <row r="981">
      <c r="A981" s="190"/>
      <c r="B981" s="180"/>
      <c r="C981" s="180"/>
      <c r="D981" s="180"/>
      <c r="E981" s="180"/>
      <c r="F981" s="19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  <c r="AA981" s="180"/>
    </row>
    <row r="982">
      <c r="A982" s="190"/>
      <c r="B982" s="180"/>
      <c r="C982" s="180"/>
      <c r="D982" s="180"/>
      <c r="E982" s="180"/>
      <c r="F982" s="19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  <c r="AA982" s="180"/>
    </row>
    <row r="983">
      <c r="A983" s="190"/>
      <c r="B983" s="180"/>
      <c r="C983" s="180"/>
      <c r="D983" s="180"/>
      <c r="E983" s="180"/>
      <c r="F983" s="19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  <c r="AA983" s="180"/>
    </row>
    <row r="984">
      <c r="A984" s="190"/>
      <c r="B984" s="180"/>
      <c r="C984" s="180"/>
      <c r="D984" s="180"/>
      <c r="E984" s="180"/>
      <c r="F984" s="19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  <c r="AA984" s="180"/>
    </row>
    <row r="985">
      <c r="A985" s="190"/>
      <c r="B985" s="180"/>
      <c r="C985" s="180"/>
      <c r="D985" s="180"/>
      <c r="E985" s="180"/>
      <c r="F985" s="19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  <c r="AA985" s="180"/>
    </row>
    <row r="986">
      <c r="A986" s="190"/>
      <c r="B986" s="180"/>
      <c r="C986" s="180"/>
      <c r="D986" s="180"/>
      <c r="E986" s="180"/>
      <c r="F986" s="19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  <c r="AA986" s="180"/>
    </row>
    <row r="987">
      <c r="A987" s="190"/>
      <c r="B987" s="180"/>
      <c r="C987" s="180"/>
      <c r="D987" s="180"/>
      <c r="E987" s="180"/>
      <c r="F987" s="19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  <c r="AA987" s="180"/>
    </row>
    <row r="988">
      <c r="A988" s="190"/>
      <c r="B988" s="180"/>
      <c r="C988" s="180"/>
      <c r="D988" s="180"/>
      <c r="E988" s="180"/>
      <c r="F988" s="19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  <c r="AA988" s="180"/>
    </row>
    <row r="989">
      <c r="A989" s="190"/>
      <c r="B989" s="180"/>
      <c r="C989" s="180"/>
      <c r="D989" s="180"/>
      <c r="E989" s="180"/>
      <c r="F989" s="19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  <c r="AA989" s="180"/>
    </row>
    <row r="990">
      <c r="A990" s="190"/>
      <c r="B990" s="180"/>
      <c r="C990" s="180"/>
      <c r="D990" s="180"/>
      <c r="E990" s="180"/>
      <c r="F990" s="19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  <c r="AA990" s="180"/>
    </row>
    <row r="991">
      <c r="A991" s="190"/>
      <c r="B991" s="180"/>
      <c r="C991" s="180"/>
      <c r="D991" s="180"/>
      <c r="E991" s="180"/>
      <c r="F991" s="19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  <c r="AA991" s="180"/>
    </row>
    <row r="992">
      <c r="A992" s="190"/>
      <c r="B992" s="180"/>
      <c r="C992" s="180"/>
      <c r="D992" s="180"/>
      <c r="E992" s="180"/>
      <c r="F992" s="19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  <c r="AA992" s="180"/>
    </row>
    <row r="993">
      <c r="A993" s="190"/>
      <c r="B993" s="180"/>
      <c r="C993" s="180"/>
      <c r="D993" s="180"/>
      <c r="E993" s="180"/>
      <c r="F993" s="19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  <c r="AA993" s="180"/>
    </row>
    <row r="994">
      <c r="A994" s="190"/>
      <c r="B994" s="180"/>
      <c r="C994" s="180"/>
      <c r="D994" s="180"/>
      <c r="E994" s="180"/>
      <c r="F994" s="19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  <c r="AA994" s="180"/>
    </row>
    <row r="995">
      <c r="A995" s="190"/>
      <c r="B995" s="180"/>
      <c r="C995" s="180"/>
      <c r="D995" s="180"/>
      <c r="E995" s="180"/>
      <c r="F995" s="19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  <c r="AA995" s="180"/>
    </row>
    <row r="996">
      <c r="A996" s="190"/>
      <c r="B996" s="180"/>
      <c r="C996" s="180"/>
      <c r="D996" s="180"/>
      <c r="E996" s="180"/>
      <c r="F996" s="19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  <c r="AA996" s="180"/>
    </row>
    <row r="997">
      <c r="A997" s="190"/>
      <c r="B997" s="180"/>
      <c r="C997" s="180"/>
      <c r="D997" s="180"/>
      <c r="E997" s="180"/>
      <c r="F997" s="19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  <c r="AA997" s="180"/>
    </row>
  </sheetData>
  <dataValidations>
    <dataValidation type="list" allowBlank="1" sqref="H2:H31">
      <formula1>"Ground Truth,Tagging,Video Annotations,Data Collection,Preset,Segmentation,BBOX,Keypoints,Data Cleaning,Others"</formula1>
    </dataValidation>
    <dataValidation type="list" allowBlank="1" sqref="E2:E31">
      <formula1>"Done,In Progress,Leave"</formula1>
    </dataValidation>
    <dataValidation type="custom" allowBlank="1" showDropDown="1" showErrorMessage="1" sqref="A2:A32">
      <formula1>OR(NOT(ISERROR(DATEVALUE(A2))), AND(ISNUMBER(A2), LEFT(CELL("format", A2))="D"))</formula1>
    </dataValidation>
    <dataValidation type="list" allowBlank="1" sqref="I2:I31">
      <formula1>"Done,In Progress,Leave"</formula1>
    </dataValidation>
    <dataValidation type="list" allowBlank="1" sqref="B2:B31">
      <formula1>"Deekshith,Chandrashekar,Nagaharinadh,Suman Kanoj,Sagar Hiremat,Saraswathi,Prerana,Mouli Prakash,Manovya,Pranav,Raghavan,Rohit,Abusaad"</formula1>
    </dataValidation>
    <dataValidation type="list" allowBlank="1" sqref="D2:D31">
      <formula1>"Classification,BBOX,Keypoints,Ground Truth,Segmentation, Data Collection"</formula1>
    </dataValidation>
    <dataValidation type="list" allowBlank="1" sqref="G2:G31">
      <formula1>"nephroplus,Adult RD,Netra,ICU Automation,vSitter,Airways,VRASS,CPOT,Respiratory Distress,Mask ON/OFF,Overcrowding"</formula1>
    </dataValidation>
    <dataValidation type="list" allowBlank="1" sqref="C2:C31">
      <formula1>"nephroplus,Adult RD,Netra,ICU Automation,vSitter,Airways, VRASS,CPOT,Respiratory Distress"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75"/>
    <col customWidth="1" min="3" max="3" width="31.25"/>
    <col customWidth="1" min="4" max="4" width="34.13"/>
    <col customWidth="1" min="5" max="5" width="20.5"/>
    <col customWidth="1" min="6" max="6" width="26.5"/>
    <col customWidth="1" min="7" max="7" width="26.13"/>
    <col customWidth="1" min="8" max="8" width="30.5"/>
    <col customWidth="1" min="9" max="10" width="26.13"/>
    <col customWidth="1" min="11" max="11" width="86.75"/>
  </cols>
  <sheetData>
    <row r="1" ht="22.5" customHeight="1">
      <c r="A1" s="191" t="s">
        <v>204</v>
      </c>
      <c r="B1" s="191" t="s">
        <v>1</v>
      </c>
      <c r="C1" s="191" t="s">
        <v>2</v>
      </c>
      <c r="D1" s="191" t="s">
        <v>3</v>
      </c>
      <c r="E1" s="192" t="s">
        <v>4</v>
      </c>
      <c r="F1" s="191" t="s">
        <v>5</v>
      </c>
      <c r="G1" s="89" t="s">
        <v>6</v>
      </c>
      <c r="H1" s="90" t="s">
        <v>7</v>
      </c>
      <c r="I1" s="90" t="s">
        <v>8</v>
      </c>
      <c r="J1" s="90" t="s">
        <v>9</v>
      </c>
      <c r="K1" s="191" t="s">
        <v>10</v>
      </c>
    </row>
    <row r="2" ht="22.5" customHeight="1">
      <c r="A2" s="193">
        <v>45901.0</v>
      </c>
      <c r="B2" s="194" t="s">
        <v>205</v>
      </c>
      <c r="C2" s="194" t="s">
        <v>40</v>
      </c>
      <c r="D2" s="194" t="s">
        <v>87</v>
      </c>
      <c r="E2" s="194" t="s">
        <v>20</v>
      </c>
      <c r="F2" s="195">
        <v>910.0</v>
      </c>
      <c r="G2" s="99"/>
      <c r="H2" s="100"/>
      <c r="I2" s="96"/>
      <c r="J2" s="101"/>
      <c r="K2" s="196" t="s">
        <v>206</v>
      </c>
    </row>
    <row r="3" ht="22.5" customHeight="1">
      <c r="A3" s="193">
        <v>45902.0</v>
      </c>
      <c r="B3" s="194" t="s">
        <v>205</v>
      </c>
      <c r="C3" s="194" t="s">
        <v>40</v>
      </c>
      <c r="D3" s="194" t="s">
        <v>87</v>
      </c>
      <c r="E3" s="194" t="s">
        <v>20</v>
      </c>
      <c r="F3" s="195">
        <v>920.0</v>
      </c>
      <c r="G3" s="99"/>
      <c r="H3" s="100"/>
      <c r="I3" s="96"/>
      <c r="J3" s="102"/>
      <c r="K3" s="196" t="s">
        <v>207</v>
      </c>
    </row>
    <row r="4" ht="22.5" customHeight="1">
      <c r="A4" s="193">
        <v>45903.0</v>
      </c>
      <c r="B4" s="194" t="s">
        <v>205</v>
      </c>
      <c r="C4" s="194" t="s">
        <v>18</v>
      </c>
      <c r="D4" s="194" t="s">
        <v>208</v>
      </c>
      <c r="E4" s="194" t="s">
        <v>20</v>
      </c>
      <c r="F4" s="195">
        <v>58.0</v>
      </c>
      <c r="G4" s="99"/>
      <c r="H4" s="100"/>
      <c r="I4" s="96"/>
      <c r="J4" s="101"/>
      <c r="K4" s="196" t="s">
        <v>21</v>
      </c>
    </row>
    <row r="5" ht="22.5" customHeight="1">
      <c r="A5" s="193">
        <v>45904.0</v>
      </c>
      <c r="B5" s="194" t="s">
        <v>205</v>
      </c>
      <c r="C5" s="194" t="s">
        <v>18</v>
      </c>
      <c r="D5" s="194" t="s">
        <v>208</v>
      </c>
      <c r="E5" s="194" t="s">
        <v>20</v>
      </c>
      <c r="F5" s="195">
        <v>55.0</v>
      </c>
      <c r="G5" s="99"/>
      <c r="H5" s="100"/>
      <c r="I5" s="96"/>
      <c r="J5" s="102"/>
      <c r="K5" s="196" t="s">
        <v>21</v>
      </c>
    </row>
    <row r="6" ht="22.5" customHeight="1">
      <c r="A6" s="193">
        <v>45905.0</v>
      </c>
      <c r="B6" s="194" t="s">
        <v>205</v>
      </c>
      <c r="C6" s="197"/>
      <c r="D6" s="197"/>
      <c r="E6" s="194" t="s">
        <v>29</v>
      </c>
      <c r="F6" s="195"/>
      <c r="G6" s="99"/>
      <c r="H6" s="100"/>
      <c r="I6" s="96"/>
      <c r="J6" s="101"/>
      <c r="K6" s="195"/>
    </row>
    <row r="7" ht="22.5" customHeight="1">
      <c r="A7" s="193">
        <v>45908.0</v>
      </c>
      <c r="B7" s="194" t="s">
        <v>205</v>
      </c>
      <c r="C7" s="194" t="s">
        <v>18</v>
      </c>
      <c r="D7" s="194" t="s">
        <v>208</v>
      </c>
      <c r="E7" s="194" t="s">
        <v>20</v>
      </c>
      <c r="F7" s="195">
        <v>65.0</v>
      </c>
      <c r="G7" s="99"/>
      <c r="H7" s="100"/>
      <c r="I7" s="96"/>
      <c r="J7" s="102"/>
      <c r="K7" s="196" t="s">
        <v>18</v>
      </c>
    </row>
    <row r="8" ht="22.5" customHeight="1">
      <c r="A8" s="193">
        <v>45909.0</v>
      </c>
      <c r="B8" s="194" t="s">
        <v>205</v>
      </c>
      <c r="C8" s="194" t="s">
        <v>18</v>
      </c>
      <c r="D8" s="194" t="s">
        <v>208</v>
      </c>
      <c r="E8" s="194" t="s">
        <v>20</v>
      </c>
      <c r="F8" s="195">
        <v>55.0</v>
      </c>
      <c r="G8" s="99"/>
      <c r="H8" s="100"/>
      <c r="I8" s="96"/>
      <c r="J8" s="101"/>
      <c r="K8" s="196" t="s">
        <v>18</v>
      </c>
    </row>
    <row r="9" ht="22.5" customHeight="1">
      <c r="A9" s="193">
        <v>45910.0</v>
      </c>
      <c r="B9" s="194" t="s">
        <v>205</v>
      </c>
      <c r="C9" s="194" t="s">
        <v>18</v>
      </c>
      <c r="D9" s="194" t="s">
        <v>208</v>
      </c>
      <c r="E9" s="194" t="s">
        <v>20</v>
      </c>
      <c r="F9" s="195">
        <v>58.0</v>
      </c>
      <c r="G9" s="99"/>
      <c r="H9" s="100"/>
      <c r="I9" s="96"/>
      <c r="J9" s="102"/>
      <c r="K9" s="196" t="s">
        <v>18</v>
      </c>
    </row>
    <row r="10" ht="22.5" customHeight="1">
      <c r="A10" s="193">
        <v>45911.0</v>
      </c>
      <c r="B10" s="194" t="s">
        <v>205</v>
      </c>
      <c r="C10" s="194" t="s">
        <v>18</v>
      </c>
      <c r="D10" s="194" t="s">
        <v>208</v>
      </c>
      <c r="E10" s="194" t="s">
        <v>20</v>
      </c>
      <c r="F10" s="195">
        <v>60.0</v>
      </c>
      <c r="G10" s="95"/>
      <c r="H10" s="198"/>
      <c r="I10" s="96"/>
      <c r="J10" s="199"/>
      <c r="K10" s="196" t="s">
        <v>209</v>
      </c>
    </row>
    <row r="11" ht="22.5" customHeight="1">
      <c r="A11" s="193">
        <v>45912.0</v>
      </c>
      <c r="B11" s="194" t="s">
        <v>205</v>
      </c>
      <c r="C11" s="194" t="s">
        <v>18</v>
      </c>
      <c r="D11" s="194" t="s">
        <v>208</v>
      </c>
      <c r="E11" s="194" t="s">
        <v>20</v>
      </c>
      <c r="F11" s="195">
        <v>70.0</v>
      </c>
      <c r="G11" s="99"/>
      <c r="H11" s="100"/>
      <c r="I11" s="96"/>
      <c r="J11" s="102"/>
      <c r="K11" s="196" t="s">
        <v>18</v>
      </c>
    </row>
    <row r="12" ht="22.5" customHeight="1">
      <c r="A12" s="193">
        <v>45915.0</v>
      </c>
      <c r="B12" s="194" t="s">
        <v>205</v>
      </c>
      <c r="C12" s="194" t="s">
        <v>18</v>
      </c>
      <c r="D12" s="194" t="s">
        <v>208</v>
      </c>
      <c r="E12" s="194" t="s">
        <v>20</v>
      </c>
      <c r="F12" s="195">
        <v>55.0</v>
      </c>
      <c r="G12" s="99"/>
      <c r="H12" s="100"/>
      <c r="I12" s="96"/>
      <c r="J12" s="101"/>
      <c r="K12" s="196" t="s">
        <v>18</v>
      </c>
    </row>
    <row r="13" ht="22.5" customHeight="1">
      <c r="A13" s="193">
        <v>45916.0</v>
      </c>
      <c r="B13" s="194" t="s">
        <v>205</v>
      </c>
      <c r="C13" s="194" t="s">
        <v>18</v>
      </c>
      <c r="D13" s="194" t="s">
        <v>208</v>
      </c>
      <c r="E13" s="194" t="s">
        <v>20</v>
      </c>
      <c r="F13" s="195">
        <v>88.0</v>
      </c>
      <c r="G13" s="95" t="s">
        <v>40</v>
      </c>
      <c r="H13" s="198" t="s">
        <v>142</v>
      </c>
      <c r="I13" s="96" t="s">
        <v>20</v>
      </c>
      <c r="J13" s="200" t="s">
        <v>210</v>
      </c>
      <c r="K13" s="201" t="s">
        <v>211</v>
      </c>
    </row>
    <row r="14" ht="22.5" customHeight="1">
      <c r="A14" s="193">
        <v>45917.0</v>
      </c>
      <c r="B14" s="194" t="s">
        <v>205</v>
      </c>
      <c r="C14" s="197"/>
      <c r="D14" s="197"/>
      <c r="E14" s="194" t="s">
        <v>29</v>
      </c>
      <c r="F14" s="195"/>
      <c r="G14" s="99"/>
      <c r="H14" s="100"/>
      <c r="I14" s="96"/>
      <c r="J14" s="101"/>
      <c r="K14" s="195"/>
    </row>
    <row r="15" ht="22.5" customHeight="1">
      <c r="A15" s="193">
        <v>45918.0</v>
      </c>
      <c r="B15" s="194" t="s">
        <v>205</v>
      </c>
      <c r="C15" s="194" t="s">
        <v>212</v>
      </c>
      <c r="D15" s="194" t="s">
        <v>87</v>
      </c>
      <c r="E15" s="194" t="s">
        <v>20</v>
      </c>
      <c r="F15" s="195">
        <v>1525.0</v>
      </c>
      <c r="G15" s="95" t="s">
        <v>89</v>
      </c>
      <c r="H15" s="198" t="s">
        <v>87</v>
      </c>
      <c r="I15" s="96" t="s">
        <v>20</v>
      </c>
      <c r="J15" s="195">
        <v>1525.0</v>
      </c>
      <c r="K15" s="201" t="s">
        <v>26</v>
      </c>
    </row>
    <row r="16" ht="22.5" customHeight="1">
      <c r="A16" s="193">
        <v>45919.0</v>
      </c>
      <c r="B16" s="194" t="s">
        <v>205</v>
      </c>
      <c r="C16" s="194" t="s">
        <v>212</v>
      </c>
      <c r="D16" s="194" t="s">
        <v>87</v>
      </c>
      <c r="E16" s="194" t="s">
        <v>20</v>
      </c>
      <c r="F16" s="195">
        <v>1500.0</v>
      </c>
      <c r="G16" s="95" t="s">
        <v>89</v>
      </c>
      <c r="H16" s="198" t="s">
        <v>87</v>
      </c>
      <c r="I16" s="96" t="s">
        <v>20</v>
      </c>
      <c r="J16" s="195">
        <v>1500.0</v>
      </c>
      <c r="K16" s="201" t="s">
        <v>26</v>
      </c>
    </row>
    <row r="17" ht="22.5" customHeight="1">
      <c r="A17" s="202">
        <v>45922.0</v>
      </c>
      <c r="B17" s="194" t="s">
        <v>205</v>
      </c>
      <c r="C17" s="194" t="s">
        <v>212</v>
      </c>
      <c r="D17" s="194" t="s">
        <v>87</v>
      </c>
      <c r="E17" s="194" t="s">
        <v>20</v>
      </c>
      <c r="F17" s="195">
        <v>1500.0</v>
      </c>
      <c r="G17" s="99"/>
      <c r="H17" s="100"/>
      <c r="I17" s="96"/>
      <c r="J17" s="102"/>
      <c r="K17" s="201" t="s">
        <v>213</v>
      </c>
    </row>
    <row r="18" ht="22.5" customHeight="1">
      <c r="A18" s="202">
        <v>45923.0</v>
      </c>
      <c r="B18" s="194" t="s">
        <v>205</v>
      </c>
      <c r="C18" s="194" t="s">
        <v>212</v>
      </c>
      <c r="D18" s="194" t="s">
        <v>87</v>
      </c>
      <c r="E18" s="194" t="s">
        <v>20</v>
      </c>
      <c r="F18" s="195">
        <v>1500.0</v>
      </c>
      <c r="G18" s="99"/>
      <c r="H18" s="100"/>
      <c r="I18" s="96"/>
      <c r="J18" s="101"/>
      <c r="K18" s="201" t="s">
        <v>213</v>
      </c>
    </row>
    <row r="19" ht="22.5" customHeight="1">
      <c r="A19" s="202">
        <v>45924.0</v>
      </c>
      <c r="B19" s="194" t="s">
        <v>205</v>
      </c>
      <c r="C19" s="194" t="s">
        <v>212</v>
      </c>
      <c r="D19" s="194" t="s">
        <v>87</v>
      </c>
      <c r="E19" s="194" t="s">
        <v>20</v>
      </c>
      <c r="F19" s="195">
        <v>1500.0</v>
      </c>
      <c r="G19" s="99"/>
      <c r="H19" s="100"/>
      <c r="I19" s="96"/>
      <c r="J19" s="102"/>
      <c r="K19" s="201" t="s">
        <v>213</v>
      </c>
    </row>
    <row r="20" ht="22.5" customHeight="1">
      <c r="A20" s="202">
        <v>45925.0</v>
      </c>
      <c r="B20" s="194" t="s">
        <v>205</v>
      </c>
      <c r="C20" s="194" t="s">
        <v>18</v>
      </c>
      <c r="D20" s="194" t="s">
        <v>19</v>
      </c>
      <c r="E20" s="194" t="s">
        <v>20</v>
      </c>
      <c r="F20" s="195">
        <v>65.0</v>
      </c>
      <c r="G20" s="99"/>
      <c r="H20" s="100"/>
      <c r="I20" s="96"/>
      <c r="J20" s="101"/>
      <c r="K20" s="201" t="s">
        <v>214</v>
      </c>
    </row>
    <row r="21" ht="22.5" customHeight="1">
      <c r="A21" s="202">
        <v>45926.0</v>
      </c>
      <c r="B21" s="194" t="s">
        <v>205</v>
      </c>
      <c r="C21" s="194" t="s">
        <v>18</v>
      </c>
      <c r="D21" s="194" t="s">
        <v>19</v>
      </c>
      <c r="E21" s="194" t="s">
        <v>20</v>
      </c>
      <c r="F21" s="195">
        <v>70.0</v>
      </c>
      <c r="G21" s="99"/>
      <c r="H21" s="100"/>
      <c r="I21" s="96"/>
      <c r="J21" s="102"/>
      <c r="K21" s="201" t="s">
        <v>214</v>
      </c>
    </row>
    <row r="22" ht="22.5" customHeight="1">
      <c r="A22" s="202">
        <v>45929.0</v>
      </c>
      <c r="B22" s="194" t="s">
        <v>205</v>
      </c>
      <c r="C22" s="194" t="s">
        <v>18</v>
      </c>
      <c r="D22" s="194" t="s">
        <v>19</v>
      </c>
      <c r="E22" s="194" t="s">
        <v>20</v>
      </c>
      <c r="F22" s="195">
        <v>85.0</v>
      </c>
      <c r="G22" s="99"/>
      <c r="H22" s="100"/>
      <c r="I22" s="96"/>
      <c r="J22" s="101"/>
      <c r="K22" s="201" t="s">
        <v>214</v>
      </c>
    </row>
    <row r="23" ht="22.5" customHeight="1">
      <c r="A23" s="202">
        <v>45930.0</v>
      </c>
      <c r="B23" s="194" t="s">
        <v>205</v>
      </c>
      <c r="C23" s="194" t="s">
        <v>18</v>
      </c>
      <c r="D23" s="194" t="s">
        <v>19</v>
      </c>
      <c r="E23" s="194" t="s">
        <v>20</v>
      </c>
      <c r="F23" s="195">
        <v>75.0</v>
      </c>
      <c r="G23" s="99"/>
      <c r="H23" s="100"/>
      <c r="I23" s="96"/>
      <c r="J23" s="102"/>
      <c r="K23" s="201" t="s">
        <v>214</v>
      </c>
    </row>
    <row r="24" ht="22.5" customHeight="1">
      <c r="A24" s="202">
        <v>45931.0</v>
      </c>
      <c r="B24" s="194" t="s">
        <v>205</v>
      </c>
      <c r="C24" s="197"/>
      <c r="D24" s="197"/>
      <c r="E24" s="194" t="s">
        <v>29</v>
      </c>
      <c r="F24" s="195"/>
      <c r="G24" s="99"/>
      <c r="H24" s="100"/>
      <c r="I24" s="96"/>
      <c r="J24" s="101"/>
      <c r="K24" s="195"/>
    </row>
    <row r="25" ht="22.5" customHeight="1">
      <c r="A25" s="202">
        <v>45932.0</v>
      </c>
      <c r="B25" s="194" t="s">
        <v>205</v>
      </c>
      <c r="C25" s="197"/>
      <c r="D25" s="197"/>
      <c r="E25" s="194" t="s">
        <v>29</v>
      </c>
      <c r="F25" s="195"/>
      <c r="G25" s="99"/>
      <c r="H25" s="100"/>
      <c r="I25" s="96"/>
      <c r="J25" s="102"/>
      <c r="K25" s="195"/>
    </row>
    <row r="26" ht="22.5" customHeight="1">
      <c r="A26" s="202">
        <v>45933.0</v>
      </c>
      <c r="B26" s="194" t="s">
        <v>205</v>
      </c>
      <c r="C26" s="197"/>
      <c r="D26" s="197"/>
      <c r="E26" s="194" t="s">
        <v>29</v>
      </c>
      <c r="F26" s="195"/>
      <c r="G26" s="99"/>
      <c r="H26" s="100"/>
      <c r="I26" s="96"/>
      <c r="J26" s="101"/>
      <c r="K26" s="195"/>
    </row>
    <row r="27" ht="22.5" customHeight="1">
      <c r="A27" s="202">
        <v>45936.0</v>
      </c>
      <c r="B27" s="194" t="s">
        <v>205</v>
      </c>
      <c r="C27" s="197"/>
      <c r="D27" s="197"/>
      <c r="E27" s="194" t="s">
        <v>29</v>
      </c>
      <c r="F27" s="195"/>
      <c r="G27" s="99"/>
      <c r="H27" s="100"/>
      <c r="I27" s="96"/>
      <c r="J27" s="102"/>
      <c r="K27" s="195"/>
    </row>
    <row r="28" ht="22.5" customHeight="1">
      <c r="A28" s="202">
        <v>45937.0</v>
      </c>
      <c r="B28" s="194" t="s">
        <v>205</v>
      </c>
      <c r="C28" s="197"/>
      <c r="D28" s="197"/>
      <c r="E28" s="194" t="s">
        <v>29</v>
      </c>
      <c r="F28" s="195"/>
      <c r="G28" s="99"/>
      <c r="H28" s="100"/>
      <c r="I28" s="96"/>
      <c r="J28" s="101"/>
      <c r="K28" s="195"/>
    </row>
    <row r="29" ht="22.5" customHeight="1">
      <c r="A29" s="202">
        <v>45938.0</v>
      </c>
      <c r="B29" s="194" t="s">
        <v>205</v>
      </c>
      <c r="C29" s="197"/>
      <c r="D29" s="197"/>
      <c r="E29" s="194" t="s">
        <v>29</v>
      </c>
      <c r="F29" s="195"/>
      <c r="G29" s="99"/>
      <c r="H29" s="100"/>
      <c r="I29" s="96"/>
      <c r="J29" s="102"/>
      <c r="K29" s="195"/>
    </row>
    <row r="30" ht="22.5" customHeight="1">
      <c r="A30" s="202">
        <v>45939.0</v>
      </c>
      <c r="B30" s="194" t="s">
        <v>205</v>
      </c>
      <c r="C30" s="197"/>
      <c r="D30" s="197"/>
      <c r="E30" s="194" t="s">
        <v>29</v>
      </c>
      <c r="F30" s="195"/>
      <c r="G30" s="99"/>
      <c r="H30" s="100"/>
      <c r="I30" s="96"/>
      <c r="J30" s="101"/>
      <c r="K30" s="195"/>
    </row>
    <row r="31" ht="22.5" customHeight="1">
      <c r="A31" s="202">
        <v>45940.0</v>
      </c>
      <c r="B31" s="194" t="s">
        <v>205</v>
      </c>
      <c r="C31" s="194" t="s">
        <v>212</v>
      </c>
      <c r="D31" s="194" t="s">
        <v>87</v>
      </c>
      <c r="E31" s="194" t="s">
        <v>20</v>
      </c>
      <c r="F31" s="195">
        <v>1000.0</v>
      </c>
      <c r="G31" s="99"/>
      <c r="H31" s="100"/>
      <c r="I31" s="96"/>
      <c r="J31" s="102"/>
      <c r="K31" s="196" t="s">
        <v>215</v>
      </c>
    </row>
    <row r="32" ht="22.5" customHeight="1">
      <c r="A32" s="202">
        <v>45943.0</v>
      </c>
      <c r="B32" s="194" t="s">
        <v>205</v>
      </c>
      <c r="C32" s="194" t="s">
        <v>212</v>
      </c>
      <c r="D32" s="194" t="s">
        <v>87</v>
      </c>
      <c r="E32" s="194" t="s">
        <v>20</v>
      </c>
      <c r="F32" s="195">
        <v>1000.0</v>
      </c>
      <c r="G32" s="99"/>
      <c r="H32" s="100"/>
      <c r="I32" s="96"/>
      <c r="J32" s="101"/>
      <c r="K32" s="196" t="s">
        <v>215</v>
      </c>
    </row>
    <row r="33" ht="22.5" customHeight="1">
      <c r="A33" s="202">
        <v>45944.0</v>
      </c>
      <c r="B33" s="194" t="s">
        <v>205</v>
      </c>
      <c r="C33" s="194" t="s">
        <v>212</v>
      </c>
      <c r="D33" s="194" t="s">
        <v>87</v>
      </c>
      <c r="E33" s="194" t="s">
        <v>20</v>
      </c>
      <c r="F33" s="195">
        <v>1500.0</v>
      </c>
      <c r="G33" s="99"/>
      <c r="H33" s="100"/>
      <c r="I33" s="96"/>
      <c r="J33" s="102"/>
      <c r="K33" s="196" t="s">
        <v>215</v>
      </c>
    </row>
    <row r="34" ht="22.5" customHeight="1">
      <c r="A34" s="202">
        <v>45945.0</v>
      </c>
      <c r="B34" s="194" t="s">
        <v>205</v>
      </c>
      <c r="C34" s="194" t="s">
        <v>40</v>
      </c>
      <c r="D34" s="194" t="s">
        <v>87</v>
      </c>
      <c r="E34" s="194" t="s">
        <v>20</v>
      </c>
      <c r="F34" s="196">
        <v>4519.0</v>
      </c>
      <c r="G34" s="99"/>
      <c r="H34" s="100"/>
      <c r="I34" s="96"/>
      <c r="J34" s="101"/>
      <c r="K34" s="201" t="s">
        <v>216</v>
      </c>
    </row>
    <row r="35" ht="22.5" customHeight="1">
      <c r="A35" s="202">
        <v>45946.0</v>
      </c>
      <c r="B35" s="194" t="s">
        <v>205</v>
      </c>
      <c r="C35" s="194" t="s">
        <v>212</v>
      </c>
      <c r="D35" s="194" t="s">
        <v>87</v>
      </c>
      <c r="E35" s="194" t="s">
        <v>20</v>
      </c>
      <c r="F35" s="195">
        <v>1000.0</v>
      </c>
      <c r="G35" s="99"/>
      <c r="H35" s="100"/>
      <c r="I35" s="96"/>
      <c r="J35" s="102"/>
      <c r="K35" s="196" t="s">
        <v>215</v>
      </c>
    </row>
    <row r="36" ht="22.5" customHeight="1">
      <c r="A36" s="202">
        <v>45947.0</v>
      </c>
      <c r="B36" s="194" t="s">
        <v>205</v>
      </c>
      <c r="C36" s="194" t="s">
        <v>212</v>
      </c>
      <c r="D36" s="194" t="s">
        <v>87</v>
      </c>
      <c r="E36" s="194" t="s">
        <v>20</v>
      </c>
      <c r="F36" s="195">
        <v>2500.0</v>
      </c>
      <c r="G36" s="99"/>
      <c r="H36" s="100"/>
      <c r="I36" s="96"/>
      <c r="J36" s="101"/>
      <c r="K36" s="196" t="s">
        <v>217</v>
      </c>
    </row>
    <row r="37" ht="22.5" customHeight="1">
      <c r="A37" s="202">
        <v>45950.0</v>
      </c>
      <c r="B37" s="194" t="s">
        <v>205</v>
      </c>
      <c r="C37" s="194" t="s">
        <v>212</v>
      </c>
      <c r="D37" s="194" t="s">
        <v>87</v>
      </c>
      <c r="E37" s="194" t="s">
        <v>20</v>
      </c>
      <c r="F37" s="195">
        <v>1500.0</v>
      </c>
      <c r="G37" s="99"/>
      <c r="H37" s="100"/>
      <c r="I37" s="96"/>
      <c r="J37" s="102"/>
      <c r="K37" s="196" t="s">
        <v>215</v>
      </c>
    </row>
    <row r="38" ht="22.5" customHeight="1">
      <c r="A38" s="202">
        <v>45951.0</v>
      </c>
      <c r="B38" s="194" t="s">
        <v>205</v>
      </c>
      <c r="C38" s="194" t="s">
        <v>212</v>
      </c>
      <c r="D38" s="194" t="s">
        <v>87</v>
      </c>
      <c r="E38" s="194" t="s">
        <v>20</v>
      </c>
      <c r="F38" s="195">
        <v>1200.0</v>
      </c>
      <c r="G38" s="99"/>
      <c r="H38" s="100"/>
      <c r="I38" s="96"/>
      <c r="J38" s="101"/>
      <c r="K38" s="196" t="s">
        <v>215</v>
      </c>
    </row>
    <row r="39" ht="22.5" customHeight="1">
      <c r="A39" s="202">
        <v>45952.0</v>
      </c>
      <c r="B39" s="194" t="s">
        <v>205</v>
      </c>
      <c r="C39" s="194" t="s">
        <v>212</v>
      </c>
      <c r="D39" s="194" t="s">
        <v>87</v>
      </c>
      <c r="E39" s="194" t="s">
        <v>20</v>
      </c>
      <c r="F39" s="195">
        <v>1500.0</v>
      </c>
      <c r="G39" s="99"/>
      <c r="H39" s="100"/>
      <c r="I39" s="96"/>
      <c r="J39" s="102"/>
      <c r="K39" s="196" t="s">
        <v>215</v>
      </c>
    </row>
    <row r="40" ht="22.5" customHeight="1">
      <c r="A40" s="202">
        <v>45953.0</v>
      </c>
      <c r="B40" s="194" t="s">
        <v>205</v>
      </c>
      <c r="C40" s="194" t="s">
        <v>212</v>
      </c>
      <c r="D40" s="194" t="s">
        <v>87</v>
      </c>
      <c r="E40" s="194" t="s">
        <v>20</v>
      </c>
      <c r="F40" s="195">
        <v>2000.0</v>
      </c>
      <c r="G40" s="99"/>
      <c r="H40" s="100"/>
      <c r="I40" s="96"/>
      <c r="J40" s="101"/>
      <c r="K40" s="196" t="s">
        <v>218</v>
      </c>
    </row>
    <row r="41" ht="22.5" customHeight="1">
      <c r="A41" s="202">
        <v>45954.0</v>
      </c>
      <c r="B41" s="194" t="s">
        <v>205</v>
      </c>
      <c r="C41" s="194" t="s">
        <v>212</v>
      </c>
      <c r="D41" s="194" t="s">
        <v>87</v>
      </c>
      <c r="E41" s="194" t="s">
        <v>20</v>
      </c>
      <c r="F41" s="195">
        <v>1600.0</v>
      </c>
      <c r="G41" s="99"/>
      <c r="H41" s="100"/>
      <c r="I41" s="96"/>
      <c r="J41" s="102"/>
      <c r="K41" s="196" t="s">
        <v>219</v>
      </c>
    </row>
    <row r="42" ht="22.5" customHeight="1">
      <c r="A42" s="202">
        <v>45957.0</v>
      </c>
      <c r="B42" s="194" t="s">
        <v>205</v>
      </c>
      <c r="C42" s="194" t="s">
        <v>40</v>
      </c>
      <c r="D42" s="194" t="s">
        <v>47</v>
      </c>
      <c r="E42" s="194" t="s">
        <v>20</v>
      </c>
      <c r="F42" s="195">
        <v>122.0</v>
      </c>
      <c r="G42" s="99"/>
      <c r="H42" s="100"/>
      <c r="I42" s="96"/>
      <c r="J42" s="203"/>
      <c r="K42" s="196" t="s">
        <v>220</v>
      </c>
    </row>
    <row r="43" ht="22.5" customHeight="1">
      <c r="A43" s="202">
        <v>45958.0</v>
      </c>
      <c r="B43" s="194" t="s">
        <v>205</v>
      </c>
      <c r="C43" s="194" t="s">
        <v>40</v>
      </c>
      <c r="D43" s="194" t="s">
        <v>47</v>
      </c>
      <c r="E43" s="194" t="s">
        <v>20</v>
      </c>
      <c r="F43" s="195">
        <v>126.0</v>
      </c>
      <c r="G43" s="99"/>
      <c r="H43" s="100"/>
      <c r="I43" s="96"/>
      <c r="J43" s="204"/>
      <c r="K43" s="196" t="s">
        <v>220</v>
      </c>
    </row>
    <row r="44" ht="22.5" customHeight="1">
      <c r="A44" s="202">
        <v>45959.0</v>
      </c>
      <c r="B44" s="194" t="s">
        <v>205</v>
      </c>
      <c r="C44" s="194" t="s">
        <v>40</v>
      </c>
      <c r="D44" s="194" t="s">
        <v>47</v>
      </c>
      <c r="E44" s="194" t="s">
        <v>20</v>
      </c>
      <c r="F44" s="195">
        <v>124.0</v>
      </c>
      <c r="G44" s="99"/>
      <c r="H44" s="100"/>
      <c r="I44" s="96"/>
      <c r="J44" s="203"/>
      <c r="K44" s="196" t="s">
        <v>220</v>
      </c>
    </row>
    <row r="45" ht="22.5" customHeight="1">
      <c r="A45" s="202">
        <v>45960.0</v>
      </c>
      <c r="B45" s="194" t="s">
        <v>205</v>
      </c>
      <c r="C45" s="194" t="s">
        <v>40</v>
      </c>
      <c r="D45" s="194" t="s">
        <v>47</v>
      </c>
      <c r="E45" s="194" t="s">
        <v>20</v>
      </c>
      <c r="F45" s="195">
        <v>129.0</v>
      </c>
      <c r="G45" s="99"/>
      <c r="H45" s="100"/>
      <c r="I45" s="96"/>
      <c r="J45" s="204"/>
      <c r="K45" s="196" t="s">
        <v>220</v>
      </c>
    </row>
    <row r="46" ht="22.5" customHeight="1">
      <c r="A46" s="202">
        <v>45961.0</v>
      </c>
      <c r="B46" s="194" t="s">
        <v>205</v>
      </c>
      <c r="C46" s="194" t="s">
        <v>89</v>
      </c>
      <c r="D46" s="194" t="s">
        <v>87</v>
      </c>
      <c r="E46" s="194" t="s">
        <v>20</v>
      </c>
      <c r="F46" s="195">
        <v>10000.0</v>
      </c>
      <c r="G46" s="99"/>
      <c r="H46" s="100"/>
      <c r="I46" s="96"/>
      <c r="J46" s="203"/>
      <c r="K46" s="205" t="s">
        <v>221</v>
      </c>
    </row>
    <row r="47" ht="22.5" customHeight="1">
      <c r="A47" s="202">
        <v>45964.0</v>
      </c>
      <c r="B47" s="194" t="s">
        <v>205</v>
      </c>
      <c r="C47" s="194" t="s">
        <v>89</v>
      </c>
      <c r="D47" s="194" t="s">
        <v>87</v>
      </c>
      <c r="E47" s="194" t="s">
        <v>20</v>
      </c>
      <c r="F47" s="195">
        <v>3500.0</v>
      </c>
      <c r="G47" s="99"/>
      <c r="H47" s="100"/>
      <c r="I47" s="96"/>
      <c r="J47" s="102"/>
      <c r="K47" s="205" t="s">
        <v>222</v>
      </c>
    </row>
    <row r="48" ht="22.5" customHeight="1">
      <c r="A48" s="202">
        <v>45965.0</v>
      </c>
      <c r="B48" s="194" t="s">
        <v>205</v>
      </c>
      <c r="C48" s="194" t="s">
        <v>89</v>
      </c>
      <c r="D48" s="194" t="s">
        <v>87</v>
      </c>
      <c r="E48" s="194" t="s">
        <v>20</v>
      </c>
      <c r="F48" s="195">
        <v>5500.0</v>
      </c>
      <c r="G48" s="99"/>
      <c r="H48" s="100"/>
      <c r="I48" s="96"/>
      <c r="J48" s="101"/>
      <c r="K48" s="205" t="s">
        <v>222</v>
      </c>
    </row>
    <row r="49" ht="22.5" customHeight="1">
      <c r="A49" s="202">
        <v>45966.0</v>
      </c>
      <c r="B49" s="194" t="s">
        <v>205</v>
      </c>
      <c r="C49" s="194" t="s">
        <v>89</v>
      </c>
      <c r="D49" s="194" t="s">
        <v>87</v>
      </c>
      <c r="E49" s="194" t="s">
        <v>20</v>
      </c>
      <c r="F49" s="195">
        <v>4200.0</v>
      </c>
      <c r="G49" s="99"/>
      <c r="H49" s="100"/>
      <c r="I49" s="96"/>
      <c r="J49" s="102"/>
      <c r="K49" s="205" t="s">
        <v>222</v>
      </c>
    </row>
    <row r="50" ht="22.5" customHeight="1">
      <c r="A50" s="202">
        <v>45967.0</v>
      </c>
      <c r="B50" s="194" t="s">
        <v>205</v>
      </c>
      <c r="C50" s="197"/>
      <c r="D50" s="197"/>
      <c r="E50" s="194" t="s">
        <v>29</v>
      </c>
      <c r="F50" s="195"/>
      <c r="G50" s="99"/>
      <c r="H50" s="100"/>
      <c r="I50" s="96"/>
      <c r="J50" s="101"/>
      <c r="K50" s="195"/>
    </row>
    <row r="51" ht="22.5" customHeight="1">
      <c r="A51" s="202">
        <v>45968.0</v>
      </c>
      <c r="B51" s="194" t="s">
        <v>205</v>
      </c>
      <c r="C51" s="197"/>
      <c r="D51" s="197"/>
      <c r="E51" s="194" t="s">
        <v>29</v>
      </c>
      <c r="F51" s="195"/>
      <c r="G51" s="99"/>
      <c r="H51" s="100"/>
      <c r="I51" s="96"/>
      <c r="J51" s="102"/>
      <c r="K51" s="195"/>
    </row>
    <row r="52" ht="22.5" customHeight="1">
      <c r="A52" s="202">
        <v>45971.0</v>
      </c>
      <c r="B52" s="194" t="s">
        <v>205</v>
      </c>
      <c r="C52" s="194" t="s">
        <v>89</v>
      </c>
      <c r="D52" s="194" t="s">
        <v>87</v>
      </c>
      <c r="E52" s="194" t="s">
        <v>20</v>
      </c>
      <c r="F52" s="195">
        <v>5500.0</v>
      </c>
      <c r="G52" s="99"/>
      <c r="H52" s="100"/>
      <c r="I52" s="96"/>
      <c r="J52" s="101"/>
      <c r="K52" s="205" t="s">
        <v>222</v>
      </c>
    </row>
    <row r="53" ht="22.5" customHeight="1">
      <c r="A53" s="202">
        <v>45972.0</v>
      </c>
      <c r="B53" s="194" t="s">
        <v>205</v>
      </c>
      <c r="C53" s="194" t="s">
        <v>89</v>
      </c>
      <c r="D53" s="194" t="s">
        <v>87</v>
      </c>
      <c r="E53" s="194" t="s">
        <v>20</v>
      </c>
      <c r="F53" s="195">
        <v>6000.0</v>
      </c>
      <c r="G53" s="99"/>
      <c r="H53" s="100"/>
      <c r="I53" s="96"/>
      <c r="J53" s="102"/>
      <c r="K53" s="205" t="s">
        <v>222</v>
      </c>
    </row>
    <row r="54" ht="22.5" customHeight="1">
      <c r="A54" s="202">
        <v>45973.0</v>
      </c>
      <c r="B54" s="194" t="s">
        <v>205</v>
      </c>
      <c r="C54" s="194" t="s">
        <v>89</v>
      </c>
      <c r="D54" s="194" t="s">
        <v>87</v>
      </c>
      <c r="E54" s="194" t="s">
        <v>20</v>
      </c>
      <c r="F54" s="195">
        <v>5000.0</v>
      </c>
      <c r="G54" s="99"/>
      <c r="H54" s="100"/>
      <c r="I54" s="96"/>
      <c r="J54" s="101"/>
      <c r="K54" s="205" t="s">
        <v>222</v>
      </c>
    </row>
    <row r="55" ht="22.5" customHeight="1">
      <c r="A55" s="202">
        <v>45974.0</v>
      </c>
      <c r="B55" s="194" t="s">
        <v>205</v>
      </c>
      <c r="C55" s="194" t="s">
        <v>89</v>
      </c>
      <c r="D55" s="194" t="s">
        <v>87</v>
      </c>
      <c r="E55" s="194" t="s">
        <v>20</v>
      </c>
      <c r="F55" s="195">
        <v>5500.0</v>
      </c>
      <c r="G55" s="99"/>
      <c r="H55" s="100"/>
      <c r="I55" s="96"/>
      <c r="J55" s="102"/>
      <c r="K55" s="205" t="s">
        <v>222</v>
      </c>
    </row>
    <row r="56" ht="22.5" customHeight="1">
      <c r="A56" s="202">
        <v>45975.0</v>
      </c>
      <c r="B56" s="194" t="s">
        <v>205</v>
      </c>
      <c r="C56" s="197"/>
      <c r="D56" s="197"/>
      <c r="E56" s="194" t="s">
        <v>29</v>
      </c>
      <c r="F56" s="195"/>
      <c r="G56" s="99"/>
      <c r="H56" s="100"/>
      <c r="I56" s="96"/>
      <c r="J56" s="101"/>
      <c r="K56" s="195"/>
    </row>
    <row r="57" ht="22.5" customHeight="1">
      <c r="A57" s="202">
        <v>45978.0</v>
      </c>
      <c r="B57" s="194" t="s">
        <v>205</v>
      </c>
      <c r="C57" s="194" t="s">
        <v>89</v>
      </c>
      <c r="D57" s="194" t="s">
        <v>87</v>
      </c>
      <c r="E57" s="194" t="s">
        <v>20</v>
      </c>
      <c r="F57" s="195">
        <v>5500.0</v>
      </c>
      <c r="G57" s="99"/>
      <c r="H57" s="100"/>
      <c r="I57" s="96"/>
      <c r="J57" s="102"/>
      <c r="K57" s="205" t="s">
        <v>222</v>
      </c>
    </row>
    <row r="58" ht="22.5" customHeight="1">
      <c r="A58" s="202">
        <v>45979.0</v>
      </c>
      <c r="B58" s="194" t="s">
        <v>205</v>
      </c>
      <c r="C58" s="194" t="s">
        <v>89</v>
      </c>
      <c r="D58" s="194" t="s">
        <v>87</v>
      </c>
      <c r="E58" s="194" t="s">
        <v>20</v>
      </c>
      <c r="F58" s="195">
        <v>5000.0</v>
      </c>
      <c r="G58" s="99"/>
      <c r="H58" s="100"/>
      <c r="I58" s="96"/>
      <c r="J58" s="101"/>
      <c r="K58" s="205" t="s">
        <v>222</v>
      </c>
    </row>
    <row r="59" ht="22.5" customHeight="1">
      <c r="A59" s="202">
        <v>45980.0</v>
      </c>
      <c r="B59" s="194" t="s">
        <v>205</v>
      </c>
      <c r="C59" s="194" t="s">
        <v>89</v>
      </c>
      <c r="D59" s="194" t="s">
        <v>87</v>
      </c>
      <c r="E59" s="194" t="s">
        <v>20</v>
      </c>
      <c r="F59" s="195">
        <v>5100.0</v>
      </c>
      <c r="G59" s="99"/>
      <c r="H59" s="100"/>
      <c r="I59" s="96"/>
      <c r="J59" s="102"/>
      <c r="K59" s="205" t="s">
        <v>222</v>
      </c>
    </row>
    <row r="60" ht="22.5" customHeight="1">
      <c r="A60" s="202">
        <v>45981.0</v>
      </c>
      <c r="B60" s="194" t="s">
        <v>205</v>
      </c>
      <c r="C60" s="197"/>
      <c r="D60" s="197"/>
      <c r="E60" s="194" t="s">
        <v>29</v>
      </c>
      <c r="F60" s="195"/>
      <c r="G60" s="99"/>
      <c r="H60" s="100"/>
      <c r="I60" s="96"/>
      <c r="J60" s="101"/>
      <c r="K60" s="195"/>
    </row>
    <row r="61" ht="22.5" customHeight="1">
      <c r="A61" s="202">
        <v>45982.0</v>
      </c>
      <c r="B61" s="194" t="s">
        <v>205</v>
      </c>
      <c r="C61" s="197"/>
      <c r="D61" s="197"/>
      <c r="E61" s="194" t="s">
        <v>29</v>
      </c>
      <c r="F61" s="195"/>
      <c r="G61" s="99"/>
      <c r="H61" s="100"/>
      <c r="I61" s="96"/>
      <c r="J61" s="102"/>
      <c r="K61" s="195"/>
    </row>
    <row r="62" ht="22.5" customHeight="1">
      <c r="A62" s="202">
        <v>45985.0</v>
      </c>
      <c r="B62" s="194" t="s">
        <v>205</v>
      </c>
      <c r="C62" s="194" t="s">
        <v>89</v>
      </c>
      <c r="D62" s="194" t="s">
        <v>87</v>
      </c>
      <c r="E62" s="194" t="s">
        <v>20</v>
      </c>
      <c r="F62" s="195">
        <v>6000.0</v>
      </c>
      <c r="G62" s="99"/>
      <c r="H62" s="100"/>
      <c r="I62" s="96"/>
      <c r="J62" s="101"/>
      <c r="K62" s="205" t="s">
        <v>222</v>
      </c>
    </row>
    <row r="63" ht="22.5" customHeight="1">
      <c r="A63" s="202">
        <v>45986.0</v>
      </c>
      <c r="B63" s="194" t="s">
        <v>205</v>
      </c>
      <c r="C63" s="194" t="s">
        <v>89</v>
      </c>
      <c r="D63" s="194" t="s">
        <v>87</v>
      </c>
      <c r="E63" s="194" t="s">
        <v>20</v>
      </c>
      <c r="F63" s="206">
        <v>6500.0</v>
      </c>
      <c r="G63" s="99"/>
      <c r="H63" s="100"/>
      <c r="I63" s="96"/>
      <c r="J63" s="102"/>
      <c r="K63" s="205" t="s">
        <v>222</v>
      </c>
    </row>
    <row r="64" ht="22.5" customHeight="1">
      <c r="A64" s="202">
        <v>45987.0</v>
      </c>
      <c r="B64" s="194" t="s">
        <v>205</v>
      </c>
      <c r="C64" s="194" t="s">
        <v>98</v>
      </c>
      <c r="D64" s="194" t="s">
        <v>98</v>
      </c>
      <c r="E64" s="194" t="s">
        <v>20</v>
      </c>
      <c r="F64" s="206">
        <v>90.0</v>
      </c>
      <c r="G64" s="99"/>
      <c r="H64" s="100"/>
      <c r="I64" s="96"/>
      <c r="J64" s="101"/>
      <c r="K64" s="196" t="s">
        <v>223</v>
      </c>
    </row>
    <row r="65" ht="22.5" customHeight="1">
      <c r="A65" s="202">
        <v>45988.0</v>
      </c>
      <c r="B65" s="194" t="s">
        <v>205</v>
      </c>
      <c r="C65" s="194" t="s">
        <v>70</v>
      </c>
      <c r="D65" s="194" t="s">
        <v>142</v>
      </c>
      <c r="E65" s="194" t="s">
        <v>20</v>
      </c>
      <c r="F65" s="206">
        <v>32440.0</v>
      </c>
      <c r="G65" s="99"/>
      <c r="H65" s="100"/>
      <c r="I65" s="96"/>
      <c r="J65" s="102"/>
      <c r="K65" s="207" t="s">
        <v>224</v>
      </c>
    </row>
    <row r="66" ht="22.5" customHeight="1">
      <c r="A66" s="202">
        <v>45989.0</v>
      </c>
      <c r="B66" s="194" t="s">
        <v>205</v>
      </c>
      <c r="C66" s="194" t="s">
        <v>70</v>
      </c>
      <c r="D66" s="194" t="s">
        <v>142</v>
      </c>
      <c r="E66" s="194" t="s">
        <v>20</v>
      </c>
      <c r="F66" s="206">
        <v>32486.0</v>
      </c>
      <c r="G66" s="99"/>
      <c r="H66" s="100"/>
      <c r="I66" s="96"/>
      <c r="J66" s="101"/>
      <c r="K66" s="196" t="s">
        <v>225</v>
      </c>
    </row>
    <row r="67" ht="22.5" customHeight="1">
      <c r="A67" s="202">
        <v>45992.0</v>
      </c>
      <c r="B67" s="194" t="s">
        <v>205</v>
      </c>
      <c r="C67" s="194" t="s">
        <v>89</v>
      </c>
      <c r="D67" s="194" t="s">
        <v>87</v>
      </c>
      <c r="E67" s="194" t="s">
        <v>20</v>
      </c>
      <c r="F67" s="195">
        <v>6500.0</v>
      </c>
      <c r="G67" s="99"/>
      <c r="H67" s="100"/>
      <c r="I67" s="96"/>
      <c r="J67" s="102"/>
      <c r="K67" s="205" t="s">
        <v>222</v>
      </c>
    </row>
    <row r="68" ht="22.5" customHeight="1">
      <c r="A68" s="202">
        <v>45993.0</v>
      </c>
      <c r="B68" s="194" t="s">
        <v>205</v>
      </c>
      <c r="C68" s="194" t="s">
        <v>89</v>
      </c>
      <c r="D68" s="194" t="s">
        <v>87</v>
      </c>
      <c r="E68" s="194" t="s">
        <v>20</v>
      </c>
      <c r="F68" s="195">
        <v>6700.0</v>
      </c>
      <c r="G68" s="99"/>
      <c r="H68" s="100"/>
      <c r="I68" s="96"/>
      <c r="J68" s="101"/>
      <c r="K68" s="205" t="s">
        <v>222</v>
      </c>
    </row>
    <row r="69" ht="22.5" customHeight="1">
      <c r="A69" s="202">
        <v>45994.0</v>
      </c>
      <c r="B69" s="194" t="s">
        <v>205</v>
      </c>
      <c r="C69" s="194" t="s">
        <v>89</v>
      </c>
      <c r="D69" s="194" t="s">
        <v>87</v>
      </c>
      <c r="E69" s="194" t="s">
        <v>20</v>
      </c>
      <c r="F69" s="195">
        <v>6500.0</v>
      </c>
      <c r="G69" s="99"/>
      <c r="H69" s="100"/>
      <c r="I69" s="96"/>
      <c r="J69" s="102"/>
      <c r="K69" s="205" t="s">
        <v>222</v>
      </c>
    </row>
    <row r="70" ht="22.5" customHeight="1">
      <c r="A70" s="202">
        <v>45995.0</v>
      </c>
      <c r="B70" s="194" t="s">
        <v>205</v>
      </c>
      <c r="C70" s="194" t="s">
        <v>89</v>
      </c>
      <c r="D70" s="194" t="s">
        <v>87</v>
      </c>
      <c r="E70" s="194" t="s">
        <v>20</v>
      </c>
      <c r="F70" s="195">
        <v>6800.0</v>
      </c>
      <c r="G70" s="99"/>
      <c r="H70" s="100"/>
      <c r="I70" s="96"/>
      <c r="J70" s="101"/>
      <c r="K70" s="205" t="s">
        <v>222</v>
      </c>
    </row>
    <row r="71" ht="22.5" customHeight="1">
      <c r="A71" s="202">
        <v>45996.0</v>
      </c>
      <c r="B71" s="194" t="s">
        <v>205</v>
      </c>
      <c r="C71" s="194" t="s">
        <v>89</v>
      </c>
      <c r="D71" s="194" t="s">
        <v>87</v>
      </c>
      <c r="E71" s="194" t="s">
        <v>20</v>
      </c>
      <c r="F71" s="195">
        <v>10500.0</v>
      </c>
      <c r="G71" s="99"/>
      <c r="H71" s="100"/>
      <c r="I71" s="96"/>
      <c r="J71" s="102"/>
      <c r="K71" s="205" t="s">
        <v>226</v>
      </c>
    </row>
    <row r="72" ht="22.5" customHeight="1">
      <c r="A72" s="202">
        <v>45999.0</v>
      </c>
      <c r="B72" s="194" t="s">
        <v>205</v>
      </c>
      <c r="C72" s="194" t="s">
        <v>89</v>
      </c>
      <c r="D72" s="194" t="s">
        <v>87</v>
      </c>
      <c r="E72" s="194" t="s">
        <v>20</v>
      </c>
      <c r="F72" s="195">
        <v>6500.0</v>
      </c>
      <c r="G72" s="99"/>
      <c r="H72" s="100"/>
      <c r="I72" s="96"/>
      <c r="J72" s="101"/>
      <c r="K72" s="205" t="s">
        <v>227</v>
      </c>
    </row>
    <row r="73" ht="22.5" customHeight="1">
      <c r="A73" s="202">
        <v>46000.0</v>
      </c>
      <c r="B73" s="194" t="s">
        <v>205</v>
      </c>
      <c r="C73" s="194" t="s">
        <v>89</v>
      </c>
      <c r="D73" s="194" t="s">
        <v>87</v>
      </c>
      <c r="E73" s="194" t="s">
        <v>20</v>
      </c>
      <c r="F73" s="195">
        <v>6090.0</v>
      </c>
      <c r="G73" s="99"/>
      <c r="H73" s="100"/>
      <c r="I73" s="96"/>
      <c r="J73" s="102"/>
      <c r="K73" s="205" t="s">
        <v>222</v>
      </c>
    </row>
    <row r="74" ht="22.5" customHeight="1">
      <c r="A74" s="202">
        <v>46001.0</v>
      </c>
      <c r="B74" s="194" t="s">
        <v>205</v>
      </c>
      <c r="C74" s="194" t="s">
        <v>89</v>
      </c>
      <c r="D74" s="194" t="s">
        <v>87</v>
      </c>
      <c r="E74" s="194" t="s">
        <v>20</v>
      </c>
      <c r="F74" s="195">
        <v>5500.0</v>
      </c>
      <c r="G74" s="99"/>
      <c r="H74" s="100"/>
      <c r="I74" s="96"/>
      <c r="J74" s="101"/>
      <c r="K74" s="205" t="s">
        <v>222</v>
      </c>
    </row>
    <row r="75" ht="22.5" customHeight="1">
      <c r="A75" s="202">
        <v>46002.0</v>
      </c>
      <c r="B75" s="194" t="s">
        <v>205</v>
      </c>
      <c r="C75" s="194" t="s">
        <v>89</v>
      </c>
      <c r="D75" s="194" t="s">
        <v>87</v>
      </c>
      <c r="E75" s="194" t="s">
        <v>20</v>
      </c>
      <c r="F75" s="195">
        <v>5800.0</v>
      </c>
      <c r="G75" s="99"/>
      <c r="H75" s="100"/>
      <c r="I75" s="96"/>
      <c r="J75" s="102"/>
      <c r="K75" s="205" t="s">
        <v>222</v>
      </c>
    </row>
    <row r="76" ht="22.5" customHeight="1">
      <c r="A76" s="202">
        <v>46003.0</v>
      </c>
      <c r="B76" s="194" t="s">
        <v>205</v>
      </c>
      <c r="C76" s="194" t="s">
        <v>89</v>
      </c>
      <c r="D76" s="194" t="s">
        <v>87</v>
      </c>
      <c r="E76" s="194" t="s">
        <v>20</v>
      </c>
      <c r="F76" s="195">
        <v>5500.0</v>
      </c>
      <c r="G76" s="99"/>
      <c r="H76" s="100"/>
      <c r="I76" s="96"/>
      <c r="J76" s="101"/>
      <c r="K76" s="205" t="s">
        <v>222</v>
      </c>
    </row>
    <row r="77" ht="22.5" customHeight="1">
      <c r="A77" s="202">
        <v>46006.0</v>
      </c>
      <c r="B77" s="194" t="s">
        <v>205</v>
      </c>
      <c r="C77" s="194" t="s">
        <v>89</v>
      </c>
      <c r="D77" s="194" t="s">
        <v>87</v>
      </c>
      <c r="E77" s="194" t="s">
        <v>20</v>
      </c>
      <c r="F77" s="195">
        <v>4500.0</v>
      </c>
      <c r="G77" s="99"/>
      <c r="H77" s="100"/>
      <c r="I77" s="96"/>
      <c r="J77" s="102"/>
      <c r="K77" s="205" t="s">
        <v>222</v>
      </c>
    </row>
    <row r="78" ht="22.5" customHeight="1">
      <c r="A78" s="202">
        <v>46007.0</v>
      </c>
      <c r="B78" s="194" t="s">
        <v>205</v>
      </c>
      <c r="C78" s="194" t="s">
        <v>89</v>
      </c>
      <c r="D78" s="194" t="s">
        <v>87</v>
      </c>
      <c r="E78" s="194" t="s">
        <v>20</v>
      </c>
      <c r="F78" s="195">
        <v>5100.0</v>
      </c>
      <c r="G78" s="99"/>
      <c r="H78" s="100"/>
      <c r="I78" s="96"/>
      <c r="J78" s="101"/>
      <c r="K78" s="205" t="s">
        <v>222</v>
      </c>
    </row>
    <row r="79" ht="22.5" customHeight="1">
      <c r="A79" s="202">
        <v>46008.0</v>
      </c>
      <c r="B79" s="194" t="s">
        <v>205</v>
      </c>
      <c r="C79" s="194" t="s">
        <v>89</v>
      </c>
      <c r="D79" s="194" t="s">
        <v>87</v>
      </c>
      <c r="E79" s="194" t="s">
        <v>20</v>
      </c>
      <c r="F79" s="195">
        <v>4800.0</v>
      </c>
      <c r="G79" s="99"/>
      <c r="H79" s="100"/>
      <c r="I79" s="96"/>
      <c r="J79" s="102"/>
      <c r="K79" s="205" t="s">
        <v>222</v>
      </c>
    </row>
    <row r="80" ht="22.5" customHeight="1">
      <c r="A80" s="202">
        <v>46009.0</v>
      </c>
      <c r="B80" s="194" t="s">
        <v>205</v>
      </c>
      <c r="C80" s="194" t="s">
        <v>89</v>
      </c>
      <c r="D80" s="194" t="s">
        <v>87</v>
      </c>
      <c r="E80" s="194" t="s">
        <v>20</v>
      </c>
      <c r="F80" s="195">
        <v>5100.0</v>
      </c>
      <c r="G80" s="99"/>
      <c r="H80" s="100"/>
      <c r="I80" s="96"/>
      <c r="J80" s="101"/>
      <c r="K80" s="205" t="s">
        <v>222</v>
      </c>
    </row>
    <row r="81" ht="22.5" customHeight="1">
      <c r="A81" s="202">
        <v>46010.0</v>
      </c>
      <c r="B81" s="194" t="s">
        <v>205</v>
      </c>
      <c r="C81" s="194" t="s">
        <v>89</v>
      </c>
      <c r="D81" s="194" t="s">
        <v>87</v>
      </c>
      <c r="E81" s="194" t="s">
        <v>20</v>
      </c>
      <c r="F81" s="195">
        <v>5100.0</v>
      </c>
      <c r="G81" s="99"/>
      <c r="H81" s="100"/>
      <c r="I81" s="96"/>
      <c r="J81" s="102"/>
      <c r="K81" s="205" t="s">
        <v>222</v>
      </c>
    </row>
    <row r="82" ht="22.5" customHeight="1">
      <c r="A82" s="202">
        <v>46013.0</v>
      </c>
      <c r="B82" s="194" t="s">
        <v>205</v>
      </c>
      <c r="C82" s="194" t="s">
        <v>89</v>
      </c>
      <c r="D82" s="194" t="s">
        <v>87</v>
      </c>
      <c r="E82" s="194" t="s">
        <v>20</v>
      </c>
      <c r="F82" s="195">
        <v>5500.0</v>
      </c>
      <c r="G82" s="99"/>
      <c r="H82" s="100"/>
      <c r="I82" s="96"/>
      <c r="J82" s="101"/>
      <c r="K82" s="205" t="s">
        <v>222</v>
      </c>
    </row>
    <row r="83" ht="22.5" customHeight="1">
      <c r="A83" s="202">
        <v>46014.0</v>
      </c>
      <c r="B83" s="194" t="s">
        <v>205</v>
      </c>
      <c r="C83" s="194" t="s">
        <v>40</v>
      </c>
      <c r="D83" s="194" t="s">
        <v>47</v>
      </c>
      <c r="E83" s="194" t="s">
        <v>20</v>
      </c>
      <c r="F83" s="195">
        <v>125.0</v>
      </c>
      <c r="G83" s="99"/>
      <c r="H83" s="100"/>
      <c r="I83" s="96"/>
      <c r="J83" s="102"/>
      <c r="K83" s="201" t="s">
        <v>48</v>
      </c>
    </row>
    <row r="84" ht="22.5" customHeight="1">
      <c r="A84" s="202">
        <v>46015.0</v>
      </c>
      <c r="B84" s="194" t="s">
        <v>205</v>
      </c>
      <c r="C84" s="194" t="s">
        <v>40</v>
      </c>
      <c r="D84" s="194" t="s">
        <v>47</v>
      </c>
      <c r="E84" s="194" t="s">
        <v>20</v>
      </c>
      <c r="F84" s="195">
        <v>125.0</v>
      </c>
      <c r="G84" s="99"/>
      <c r="H84" s="100"/>
      <c r="I84" s="96"/>
      <c r="J84" s="101"/>
      <c r="K84" s="201" t="s">
        <v>48</v>
      </c>
    </row>
    <row r="85" ht="22.5" customHeight="1">
      <c r="A85" s="202">
        <v>46016.0</v>
      </c>
      <c r="B85" s="194" t="s">
        <v>205</v>
      </c>
      <c r="C85" s="197"/>
      <c r="D85" s="197"/>
      <c r="E85" s="194" t="s">
        <v>29</v>
      </c>
      <c r="F85" s="195"/>
      <c r="G85" s="99"/>
      <c r="H85" s="100"/>
      <c r="I85" s="96"/>
      <c r="J85" s="102"/>
      <c r="K85" s="195"/>
    </row>
    <row r="86" ht="22.5" customHeight="1">
      <c r="A86" s="202">
        <v>46017.0</v>
      </c>
      <c r="B86" s="194" t="s">
        <v>205</v>
      </c>
      <c r="C86" s="197"/>
      <c r="D86" s="197"/>
      <c r="E86" s="194" t="s">
        <v>29</v>
      </c>
      <c r="F86" s="195"/>
      <c r="G86" s="99"/>
      <c r="H86" s="100"/>
      <c r="I86" s="96"/>
      <c r="J86" s="101"/>
      <c r="K86" s="195"/>
    </row>
    <row r="87" ht="22.5" customHeight="1">
      <c r="A87" s="202">
        <v>46020.0</v>
      </c>
      <c r="B87" s="194" t="s">
        <v>205</v>
      </c>
      <c r="C87" s="197"/>
      <c r="D87" s="197"/>
      <c r="E87" s="194" t="s">
        <v>29</v>
      </c>
      <c r="F87" s="195"/>
      <c r="G87" s="99"/>
      <c r="H87" s="100"/>
      <c r="I87" s="96"/>
      <c r="J87" s="102"/>
      <c r="K87" s="196"/>
    </row>
    <row r="88" ht="22.5" customHeight="1">
      <c r="A88" s="202">
        <v>46021.0</v>
      </c>
      <c r="B88" s="194" t="s">
        <v>205</v>
      </c>
      <c r="C88" s="194" t="s">
        <v>89</v>
      </c>
      <c r="D88" s="194" t="s">
        <v>87</v>
      </c>
      <c r="E88" s="194" t="s">
        <v>20</v>
      </c>
      <c r="F88" s="195">
        <v>3500.0</v>
      </c>
      <c r="G88" s="99"/>
      <c r="H88" s="100"/>
      <c r="I88" s="96"/>
      <c r="J88" s="101"/>
      <c r="K88" s="196" t="s">
        <v>228</v>
      </c>
    </row>
    <row r="89" ht="22.5" customHeight="1">
      <c r="A89" s="202">
        <v>46022.0</v>
      </c>
      <c r="B89" s="194" t="s">
        <v>205</v>
      </c>
      <c r="C89" s="194" t="s">
        <v>89</v>
      </c>
      <c r="D89" s="194" t="s">
        <v>87</v>
      </c>
      <c r="E89" s="194" t="s">
        <v>20</v>
      </c>
      <c r="F89" s="195">
        <v>3485.0</v>
      </c>
      <c r="G89" s="99"/>
      <c r="H89" s="100"/>
      <c r="I89" s="96"/>
      <c r="J89" s="102"/>
      <c r="K89" s="196" t="s">
        <v>228</v>
      </c>
    </row>
    <row r="90" ht="22.5" customHeight="1">
      <c r="A90" s="202">
        <v>46023.0</v>
      </c>
      <c r="B90" s="208" t="s">
        <v>205</v>
      </c>
      <c r="C90" s="208" t="s">
        <v>89</v>
      </c>
      <c r="D90" s="194" t="s">
        <v>87</v>
      </c>
      <c r="E90" s="208" t="s">
        <v>20</v>
      </c>
      <c r="F90" s="209">
        <v>3800.0</v>
      </c>
      <c r="G90" s="99"/>
      <c r="H90" s="100"/>
      <c r="I90" s="96"/>
      <c r="J90" s="101"/>
      <c r="K90" s="205" t="s">
        <v>222</v>
      </c>
    </row>
    <row r="91" ht="22.5" customHeight="1">
      <c r="A91" s="202">
        <v>46024.0</v>
      </c>
      <c r="B91" s="208" t="s">
        <v>205</v>
      </c>
      <c r="C91" s="208" t="s">
        <v>89</v>
      </c>
      <c r="D91" s="194" t="s">
        <v>87</v>
      </c>
      <c r="E91" s="208" t="s">
        <v>20</v>
      </c>
      <c r="F91" s="209">
        <v>5995.0</v>
      </c>
      <c r="G91" s="99"/>
      <c r="H91" s="100"/>
      <c r="I91" s="96"/>
      <c r="J91" s="102"/>
      <c r="K91" s="196" t="s">
        <v>229</v>
      </c>
    </row>
    <row r="92" ht="22.5" customHeight="1">
      <c r="A92" s="202">
        <v>46027.0</v>
      </c>
      <c r="B92" s="194" t="s">
        <v>205</v>
      </c>
      <c r="C92" s="194" t="s">
        <v>89</v>
      </c>
      <c r="D92" s="194" t="s">
        <v>87</v>
      </c>
      <c r="E92" s="194" t="s">
        <v>20</v>
      </c>
      <c r="F92" s="195">
        <v>5525.0</v>
      </c>
      <c r="G92" s="99"/>
      <c r="H92" s="100"/>
      <c r="I92" s="96"/>
      <c r="J92" s="101"/>
      <c r="K92" s="205" t="s">
        <v>222</v>
      </c>
    </row>
    <row r="93" ht="22.5" customHeight="1">
      <c r="A93" s="202">
        <v>46028.0</v>
      </c>
      <c r="B93" s="194" t="s">
        <v>205</v>
      </c>
      <c r="C93" s="194" t="s">
        <v>98</v>
      </c>
      <c r="D93" s="194" t="s">
        <v>98</v>
      </c>
      <c r="E93" s="194" t="s">
        <v>20</v>
      </c>
      <c r="F93" s="195">
        <v>85.0</v>
      </c>
      <c r="G93" s="99"/>
      <c r="H93" s="100"/>
      <c r="I93" s="96"/>
      <c r="J93" s="102"/>
      <c r="K93" s="196" t="s">
        <v>230</v>
      </c>
    </row>
    <row r="94" ht="22.5" customHeight="1">
      <c r="A94" s="202">
        <v>46029.0</v>
      </c>
      <c r="B94" s="194" t="s">
        <v>205</v>
      </c>
      <c r="C94" s="194" t="s">
        <v>98</v>
      </c>
      <c r="D94" s="194" t="s">
        <v>98</v>
      </c>
      <c r="E94" s="194" t="s">
        <v>20</v>
      </c>
      <c r="F94" s="195">
        <v>110.0</v>
      </c>
      <c r="G94" s="99"/>
      <c r="H94" s="100"/>
      <c r="I94" s="96"/>
      <c r="J94" s="101"/>
      <c r="K94" s="196" t="s">
        <v>230</v>
      </c>
    </row>
    <row r="95" ht="22.5" customHeight="1">
      <c r="A95" s="202"/>
      <c r="B95" s="197"/>
      <c r="C95" s="197"/>
      <c r="D95" s="197"/>
      <c r="E95" s="197"/>
      <c r="F95" s="195"/>
      <c r="G95" s="99"/>
      <c r="H95" s="100"/>
      <c r="I95" s="96"/>
      <c r="J95" s="102"/>
      <c r="K95" s="195"/>
    </row>
    <row r="96" ht="22.5" customHeight="1">
      <c r="A96" s="202"/>
      <c r="B96" s="197"/>
      <c r="C96" s="197"/>
      <c r="D96" s="197"/>
      <c r="E96" s="197"/>
      <c r="F96" s="195"/>
      <c r="G96" s="99"/>
      <c r="H96" s="100"/>
      <c r="I96" s="96"/>
      <c r="J96" s="101"/>
      <c r="K96" s="195"/>
    </row>
    <row r="97" ht="22.5" customHeight="1">
      <c r="A97" s="202"/>
      <c r="B97" s="197"/>
      <c r="C97" s="197"/>
      <c r="D97" s="197"/>
      <c r="E97" s="197"/>
      <c r="F97" s="195"/>
      <c r="G97" s="99"/>
      <c r="H97" s="100"/>
      <c r="I97" s="96"/>
      <c r="J97" s="102"/>
      <c r="K97" s="195"/>
    </row>
    <row r="98" ht="22.5" customHeight="1">
      <c r="A98" s="202"/>
      <c r="B98" s="197"/>
      <c r="C98" s="197"/>
      <c r="D98" s="197"/>
      <c r="E98" s="197"/>
      <c r="F98" s="195"/>
      <c r="G98" s="99"/>
      <c r="H98" s="100"/>
      <c r="I98" s="96"/>
      <c r="J98" s="101"/>
      <c r="K98" s="195"/>
    </row>
    <row r="99" ht="22.5" customHeight="1">
      <c r="A99" s="202"/>
      <c r="B99" s="197"/>
      <c r="C99" s="197"/>
      <c r="D99" s="197"/>
      <c r="E99" s="197"/>
      <c r="F99" s="195"/>
      <c r="G99" s="99"/>
      <c r="H99" s="100"/>
      <c r="I99" s="96"/>
      <c r="J99" s="102"/>
      <c r="K99" s="195"/>
    </row>
    <row r="100" ht="22.5" customHeight="1">
      <c r="A100" s="202"/>
      <c r="B100" s="197"/>
      <c r="C100" s="197"/>
      <c r="D100" s="197"/>
      <c r="E100" s="197"/>
      <c r="F100" s="195"/>
      <c r="G100" s="99"/>
      <c r="H100" s="100"/>
      <c r="I100" s="96"/>
      <c r="J100" s="101"/>
      <c r="K100" s="195"/>
    </row>
    <row r="101" ht="22.5" customHeight="1">
      <c r="A101" s="210"/>
      <c r="B101" s="211"/>
      <c r="C101" s="211"/>
      <c r="D101" s="211"/>
      <c r="E101" s="211"/>
      <c r="F101" s="209"/>
      <c r="G101" s="99"/>
      <c r="H101" s="100"/>
      <c r="I101" s="96"/>
      <c r="J101" s="102"/>
      <c r="K101" s="195"/>
    </row>
    <row r="102" ht="22.5" customHeight="1">
      <c r="A102" s="210"/>
      <c r="B102" s="211"/>
      <c r="C102" s="211"/>
      <c r="D102" s="211"/>
      <c r="E102" s="211"/>
      <c r="F102" s="209"/>
      <c r="G102" s="99"/>
      <c r="H102" s="100"/>
      <c r="I102" s="96"/>
      <c r="J102" s="101"/>
      <c r="K102" s="195"/>
    </row>
    <row r="103" ht="22.5" customHeight="1">
      <c r="A103" s="210"/>
      <c r="B103" s="211"/>
      <c r="C103" s="211"/>
      <c r="D103" s="211"/>
      <c r="E103" s="211"/>
      <c r="F103" s="209"/>
      <c r="G103" s="99"/>
      <c r="H103" s="100"/>
      <c r="I103" s="96"/>
      <c r="J103" s="102"/>
      <c r="K103" s="195"/>
    </row>
    <row r="104" ht="22.5" customHeight="1">
      <c r="A104" s="210"/>
      <c r="B104" s="211"/>
      <c r="C104" s="211"/>
      <c r="D104" s="211"/>
      <c r="E104" s="211"/>
      <c r="F104" s="209"/>
      <c r="G104" s="99"/>
      <c r="H104" s="100"/>
      <c r="I104" s="96"/>
      <c r="J104" s="101"/>
      <c r="K104" s="195"/>
    </row>
    <row r="105" ht="22.5" customHeight="1">
      <c r="A105" s="210"/>
      <c r="B105" s="211"/>
      <c r="C105" s="211"/>
      <c r="D105" s="211"/>
      <c r="E105" s="211"/>
      <c r="F105" s="209"/>
      <c r="G105" s="99"/>
      <c r="H105" s="100"/>
      <c r="I105" s="96"/>
      <c r="J105" s="102"/>
      <c r="K105" s="195"/>
    </row>
    <row r="106" ht="22.5" customHeight="1">
      <c r="A106" s="210"/>
      <c r="B106" s="211"/>
      <c r="C106" s="211"/>
      <c r="D106" s="211"/>
      <c r="E106" s="211"/>
      <c r="F106" s="209"/>
      <c r="G106" s="99"/>
      <c r="H106" s="8"/>
      <c r="I106" s="96"/>
      <c r="J106" s="101"/>
      <c r="K106" s="195"/>
    </row>
    <row r="107" ht="22.5" customHeight="1">
      <c r="A107" s="210"/>
      <c r="B107" s="211"/>
      <c r="C107" s="211"/>
      <c r="D107" s="211"/>
      <c r="E107" s="211"/>
      <c r="F107" s="209"/>
      <c r="G107" s="99"/>
      <c r="H107" s="11"/>
      <c r="I107" s="96"/>
      <c r="J107" s="102"/>
      <c r="K107" s="195"/>
    </row>
    <row r="108" ht="22.5" customHeight="1">
      <c r="A108" s="210"/>
      <c r="B108" s="211"/>
      <c r="C108" s="211"/>
      <c r="D108" s="211"/>
      <c r="E108" s="211"/>
      <c r="F108" s="209"/>
      <c r="G108" s="99"/>
      <c r="H108" s="8"/>
      <c r="I108" s="96"/>
      <c r="J108" s="101"/>
      <c r="K108" s="195"/>
    </row>
    <row r="109" ht="22.5" customHeight="1">
      <c r="A109" s="210"/>
      <c r="B109" s="211"/>
      <c r="C109" s="211"/>
      <c r="D109" s="211"/>
      <c r="E109" s="211"/>
      <c r="F109" s="209"/>
      <c r="G109" s="99"/>
      <c r="H109" s="11"/>
      <c r="I109" s="96"/>
      <c r="J109" s="102"/>
      <c r="K109" s="195"/>
    </row>
    <row r="110" ht="22.5" customHeight="1">
      <c r="A110" s="210"/>
      <c r="B110" s="211"/>
      <c r="C110" s="211"/>
      <c r="D110" s="211"/>
      <c r="E110" s="211"/>
      <c r="F110" s="209"/>
      <c r="G110" s="99"/>
      <c r="H110" s="8"/>
      <c r="I110" s="96"/>
      <c r="J110" s="101"/>
      <c r="K110" s="195"/>
    </row>
    <row r="111" ht="22.5" customHeight="1">
      <c r="A111" s="210"/>
      <c r="B111" s="211"/>
      <c r="C111" s="211"/>
      <c r="D111" s="211"/>
      <c r="E111" s="211"/>
      <c r="F111" s="209"/>
      <c r="G111" s="99"/>
      <c r="H111" s="11"/>
      <c r="I111" s="96"/>
      <c r="J111" s="102"/>
      <c r="K111" s="195"/>
    </row>
    <row r="112" ht="22.5" customHeight="1">
      <c r="A112" s="210"/>
      <c r="B112" s="211"/>
      <c r="C112" s="211"/>
      <c r="D112" s="211"/>
      <c r="E112" s="211"/>
      <c r="F112" s="209"/>
      <c r="G112" s="99"/>
      <c r="H112" s="8"/>
      <c r="I112" s="96"/>
      <c r="J112" s="101"/>
      <c r="K112" s="195"/>
    </row>
    <row r="113" ht="22.5" customHeight="1">
      <c r="A113" s="210"/>
      <c r="B113" s="211"/>
      <c r="C113" s="211"/>
      <c r="D113" s="211"/>
      <c r="E113" s="211"/>
      <c r="F113" s="209"/>
      <c r="G113" s="99"/>
      <c r="H113" s="11"/>
      <c r="I113" s="96"/>
      <c r="J113" s="102"/>
      <c r="K113" s="195"/>
    </row>
    <row r="114" ht="22.5" customHeight="1">
      <c r="A114" s="210"/>
      <c r="B114" s="211"/>
      <c r="C114" s="211"/>
      <c r="D114" s="211"/>
      <c r="E114" s="211"/>
      <c r="F114" s="209"/>
      <c r="G114" s="99"/>
      <c r="H114" s="8"/>
      <c r="I114" s="96"/>
      <c r="J114" s="101"/>
      <c r="K114" s="195"/>
    </row>
    <row r="115" ht="22.5" customHeight="1">
      <c r="A115" s="210"/>
      <c r="B115" s="211"/>
      <c r="C115" s="211"/>
      <c r="D115" s="211"/>
      <c r="E115" s="211"/>
      <c r="F115" s="209"/>
      <c r="G115" s="99"/>
      <c r="H115" s="11"/>
      <c r="I115" s="96"/>
      <c r="J115" s="102"/>
      <c r="K115" s="195"/>
    </row>
    <row r="116" ht="22.5" customHeight="1">
      <c r="A116" s="210"/>
      <c r="B116" s="211"/>
      <c r="C116" s="211"/>
      <c r="D116" s="211"/>
      <c r="E116" s="211"/>
      <c r="F116" s="209"/>
      <c r="G116" s="99"/>
      <c r="H116" s="8"/>
      <c r="I116" s="96"/>
      <c r="J116" s="101"/>
      <c r="K116" s="195"/>
    </row>
    <row r="117" ht="22.5" customHeight="1">
      <c r="A117" s="210"/>
      <c r="B117" s="211"/>
      <c r="C117" s="211"/>
      <c r="D117" s="211"/>
      <c r="E117" s="211"/>
      <c r="F117" s="209"/>
      <c r="G117" s="99"/>
      <c r="H117" s="11"/>
      <c r="I117" s="96"/>
      <c r="J117" s="102"/>
      <c r="K117" s="195"/>
    </row>
    <row r="118" ht="22.5" customHeight="1">
      <c r="A118" s="210"/>
      <c r="B118" s="211"/>
      <c r="C118" s="211"/>
      <c r="D118" s="211"/>
      <c r="E118" s="211"/>
      <c r="F118" s="209"/>
      <c r="G118" s="99"/>
      <c r="H118" s="8"/>
      <c r="I118" s="96"/>
      <c r="J118" s="101"/>
      <c r="K118" s="195"/>
    </row>
    <row r="119" ht="22.5" customHeight="1">
      <c r="A119" s="210"/>
      <c r="B119" s="211"/>
      <c r="C119" s="211"/>
      <c r="D119" s="211"/>
      <c r="E119" s="211"/>
      <c r="F119" s="209"/>
      <c r="G119" s="99"/>
      <c r="H119" s="11"/>
      <c r="I119" s="96"/>
      <c r="J119" s="102"/>
      <c r="K119" s="195"/>
    </row>
    <row r="120" ht="22.5" customHeight="1">
      <c r="A120" s="210"/>
      <c r="B120" s="211"/>
      <c r="C120" s="211"/>
      <c r="D120" s="211"/>
      <c r="E120" s="211"/>
      <c r="F120" s="209"/>
      <c r="G120" s="99"/>
      <c r="H120" s="37"/>
      <c r="I120" s="96"/>
      <c r="J120" s="133"/>
      <c r="K120" s="195"/>
    </row>
    <row r="121" ht="22.5" customHeight="1">
      <c r="A121" s="210"/>
      <c r="B121" s="211"/>
      <c r="C121" s="211"/>
      <c r="D121" s="211"/>
      <c r="E121" s="211"/>
      <c r="F121" s="209"/>
      <c r="G121" s="99"/>
      <c r="H121" s="41"/>
      <c r="I121" s="96"/>
      <c r="J121" s="134"/>
      <c r="K121" s="195"/>
    </row>
    <row r="122" ht="22.5" customHeight="1">
      <c r="A122" s="210"/>
      <c r="B122" s="211"/>
      <c r="C122" s="211"/>
      <c r="D122" s="211"/>
      <c r="E122" s="211"/>
      <c r="F122" s="209"/>
      <c r="G122" s="99"/>
      <c r="H122" s="37"/>
      <c r="I122" s="96"/>
      <c r="J122" s="133"/>
      <c r="K122" s="195"/>
    </row>
    <row r="123" ht="22.5" customHeight="1">
      <c r="A123" s="210"/>
      <c r="B123" s="211"/>
      <c r="C123" s="211"/>
      <c r="D123" s="211"/>
      <c r="E123" s="211"/>
      <c r="F123" s="209"/>
      <c r="G123" s="99"/>
      <c r="H123" s="41"/>
      <c r="I123" s="96"/>
      <c r="J123" s="134"/>
      <c r="K123" s="195"/>
    </row>
    <row r="124" ht="22.5" customHeight="1">
      <c r="A124" s="210"/>
      <c r="B124" s="211"/>
      <c r="C124" s="211"/>
      <c r="D124" s="211"/>
      <c r="E124" s="211"/>
      <c r="F124" s="209"/>
      <c r="G124" s="99"/>
      <c r="H124" s="37"/>
      <c r="I124" s="96"/>
      <c r="J124" s="133"/>
      <c r="K124" s="195"/>
    </row>
    <row r="125" ht="22.5" customHeight="1">
      <c r="A125" s="210"/>
      <c r="B125" s="211"/>
      <c r="C125" s="211"/>
      <c r="D125" s="211"/>
      <c r="E125" s="211"/>
      <c r="F125" s="209"/>
      <c r="G125" s="99"/>
      <c r="H125" s="41"/>
      <c r="I125" s="96"/>
      <c r="J125" s="134"/>
      <c r="K125" s="195"/>
    </row>
    <row r="126" ht="22.5" customHeight="1">
      <c r="A126" s="210"/>
      <c r="B126" s="211"/>
      <c r="C126" s="211"/>
      <c r="D126" s="211"/>
      <c r="E126" s="211"/>
      <c r="F126" s="209"/>
      <c r="G126" s="99"/>
      <c r="H126" s="37"/>
      <c r="I126" s="96"/>
      <c r="J126" s="133"/>
      <c r="K126" s="195"/>
    </row>
    <row r="127" ht="22.5" customHeight="1">
      <c r="A127" s="210"/>
      <c r="B127" s="211"/>
      <c r="C127" s="211"/>
      <c r="D127" s="211"/>
      <c r="E127" s="211"/>
      <c r="F127" s="209"/>
      <c r="G127" s="99"/>
      <c r="H127" s="41"/>
      <c r="I127" s="96"/>
      <c r="J127" s="134"/>
      <c r="K127" s="195"/>
    </row>
    <row r="128" ht="22.5" customHeight="1">
      <c r="A128" s="210"/>
      <c r="B128" s="211"/>
      <c r="C128" s="211"/>
      <c r="D128" s="211"/>
      <c r="E128" s="211"/>
      <c r="F128" s="209"/>
      <c r="G128" s="99"/>
      <c r="H128" s="37"/>
      <c r="I128" s="96"/>
      <c r="J128" s="133"/>
      <c r="K128" s="195"/>
    </row>
    <row r="129" ht="22.5" customHeight="1">
      <c r="A129" s="210"/>
      <c r="B129" s="211"/>
      <c r="C129" s="211"/>
      <c r="D129" s="211"/>
      <c r="E129" s="211"/>
      <c r="F129" s="209"/>
      <c r="G129" s="99"/>
      <c r="H129" s="41"/>
      <c r="I129" s="96"/>
      <c r="J129" s="134"/>
      <c r="K129" s="195"/>
    </row>
    <row r="130" ht="22.5" customHeight="1">
      <c r="A130" s="210"/>
      <c r="B130" s="211"/>
      <c r="C130" s="211"/>
      <c r="D130" s="211"/>
      <c r="E130" s="211"/>
      <c r="F130" s="209"/>
      <c r="G130" s="99"/>
      <c r="H130" s="37"/>
      <c r="I130" s="96"/>
      <c r="J130" s="133"/>
      <c r="K130" s="195"/>
    </row>
    <row r="131" ht="22.5" customHeight="1">
      <c r="A131" s="210"/>
      <c r="B131" s="211"/>
      <c r="C131" s="211"/>
      <c r="D131" s="211"/>
      <c r="E131" s="211"/>
      <c r="F131" s="209"/>
      <c r="G131" s="99"/>
      <c r="H131" s="41"/>
      <c r="I131" s="96"/>
      <c r="J131" s="134"/>
      <c r="K131" s="195"/>
    </row>
    <row r="132" ht="22.5" customHeight="1">
      <c r="A132" s="210"/>
      <c r="B132" s="211"/>
      <c r="C132" s="211"/>
      <c r="D132" s="211"/>
      <c r="E132" s="211"/>
      <c r="F132" s="209"/>
      <c r="G132" s="99"/>
      <c r="H132" s="37"/>
      <c r="I132" s="96"/>
      <c r="J132" s="133"/>
      <c r="K132" s="195"/>
    </row>
    <row r="133" ht="22.5" customHeight="1">
      <c r="A133" s="210"/>
      <c r="B133" s="211"/>
      <c r="C133" s="211"/>
      <c r="D133" s="211"/>
      <c r="E133" s="211"/>
      <c r="F133" s="209"/>
      <c r="G133" s="99"/>
      <c r="H133" s="41"/>
      <c r="I133" s="96"/>
      <c r="J133" s="134"/>
      <c r="K133" s="195"/>
    </row>
    <row r="134" ht="22.5" customHeight="1">
      <c r="A134" s="210"/>
      <c r="B134" s="211"/>
      <c r="C134" s="211"/>
      <c r="D134" s="211"/>
      <c r="E134" s="211"/>
      <c r="F134" s="209"/>
      <c r="G134" s="99"/>
      <c r="H134" s="37"/>
      <c r="I134" s="96"/>
      <c r="J134" s="133"/>
      <c r="K134" s="195"/>
    </row>
    <row r="135" ht="22.5" customHeight="1">
      <c r="A135" s="210"/>
      <c r="B135" s="211"/>
      <c r="C135" s="211"/>
      <c r="D135" s="211"/>
      <c r="E135" s="211"/>
      <c r="F135" s="209"/>
      <c r="G135" s="99"/>
      <c r="H135" s="41"/>
      <c r="I135" s="96"/>
      <c r="J135" s="134"/>
      <c r="K135" s="195"/>
    </row>
    <row r="136" ht="22.5" customHeight="1">
      <c r="A136" s="210"/>
      <c r="B136" s="211"/>
      <c r="C136" s="211"/>
      <c r="D136" s="211"/>
      <c r="E136" s="211"/>
      <c r="F136" s="209"/>
      <c r="G136" s="99"/>
      <c r="H136" s="37"/>
      <c r="I136" s="96"/>
      <c r="J136" s="133"/>
      <c r="K136" s="195"/>
    </row>
    <row r="137" ht="22.5" customHeight="1">
      <c r="A137" s="210"/>
      <c r="B137" s="211"/>
      <c r="C137" s="211"/>
      <c r="D137" s="211"/>
      <c r="E137" s="211"/>
      <c r="F137" s="209"/>
      <c r="G137" s="99"/>
      <c r="H137" s="41"/>
      <c r="I137" s="96"/>
      <c r="J137" s="134"/>
      <c r="K137" s="195"/>
    </row>
    <row r="138" ht="22.5" customHeight="1">
      <c r="A138" s="210"/>
      <c r="B138" s="211"/>
      <c r="C138" s="211"/>
      <c r="D138" s="211"/>
      <c r="E138" s="211"/>
      <c r="F138" s="209"/>
      <c r="G138" s="99"/>
      <c r="H138" s="37"/>
      <c r="I138" s="96"/>
      <c r="J138" s="133"/>
      <c r="K138" s="195"/>
    </row>
    <row r="139" ht="22.5" customHeight="1">
      <c r="A139" s="210"/>
      <c r="B139" s="211"/>
      <c r="C139" s="211"/>
      <c r="D139" s="211"/>
      <c r="E139" s="211"/>
      <c r="F139" s="209"/>
      <c r="G139" s="99"/>
      <c r="H139" s="41"/>
      <c r="I139" s="96"/>
      <c r="J139" s="134"/>
      <c r="K139" s="195"/>
    </row>
    <row r="140" ht="22.5" customHeight="1">
      <c r="A140" s="210"/>
      <c r="B140" s="211"/>
      <c r="C140" s="211"/>
      <c r="D140" s="211"/>
      <c r="E140" s="211"/>
      <c r="F140" s="209"/>
      <c r="G140" s="99"/>
      <c r="H140" s="37"/>
      <c r="I140" s="96"/>
      <c r="J140" s="133"/>
      <c r="K140" s="195"/>
    </row>
    <row r="141" ht="22.5" customHeight="1">
      <c r="A141" s="210"/>
      <c r="B141" s="211"/>
      <c r="C141" s="211"/>
      <c r="D141" s="211"/>
      <c r="E141" s="211"/>
      <c r="F141" s="209"/>
      <c r="G141" s="99"/>
      <c r="H141" s="41"/>
      <c r="I141" s="96"/>
      <c r="J141" s="134"/>
      <c r="K141" s="195"/>
    </row>
    <row r="142" ht="22.5" customHeight="1">
      <c r="A142" s="210"/>
      <c r="B142" s="211"/>
      <c r="C142" s="211"/>
      <c r="D142" s="211"/>
      <c r="E142" s="211"/>
      <c r="F142" s="209"/>
      <c r="G142" s="99"/>
      <c r="H142" s="37"/>
      <c r="I142" s="96"/>
      <c r="J142" s="133"/>
      <c r="K142" s="195"/>
    </row>
    <row r="143" ht="22.5" customHeight="1">
      <c r="A143" s="210"/>
      <c r="B143" s="211"/>
      <c r="C143" s="211"/>
      <c r="D143" s="211"/>
      <c r="E143" s="211"/>
      <c r="F143" s="209"/>
      <c r="G143" s="99"/>
      <c r="H143" s="41"/>
      <c r="I143" s="96"/>
      <c r="J143" s="134"/>
      <c r="K143" s="195"/>
    </row>
    <row r="144" ht="22.5" customHeight="1">
      <c r="A144" s="210"/>
      <c r="B144" s="211"/>
      <c r="C144" s="211"/>
      <c r="D144" s="211"/>
      <c r="E144" s="211"/>
      <c r="F144" s="209"/>
      <c r="G144" s="99"/>
      <c r="H144" s="37"/>
      <c r="I144" s="96"/>
      <c r="J144" s="133"/>
      <c r="K144" s="195"/>
    </row>
    <row r="145" ht="22.5" customHeight="1">
      <c r="A145" s="210"/>
      <c r="B145" s="211"/>
      <c r="C145" s="211"/>
      <c r="D145" s="211"/>
      <c r="E145" s="211"/>
      <c r="F145" s="209"/>
      <c r="G145" s="99"/>
      <c r="H145" s="41"/>
      <c r="I145" s="96"/>
      <c r="J145" s="134"/>
      <c r="K145" s="195"/>
    </row>
    <row r="146" ht="22.5" customHeight="1">
      <c r="A146" s="210"/>
      <c r="B146" s="211"/>
      <c r="C146" s="211"/>
      <c r="D146" s="211"/>
      <c r="E146" s="211"/>
      <c r="F146" s="209"/>
      <c r="G146" s="99"/>
      <c r="H146" s="37"/>
      <c r="I146" s="96"/>
      <c r="J146" s="133"/>
      <c r="K146" s="195"/>
    </row>
    <row r="147" ht="22.5" customHeight="1">
      <c r="A147" s="210"/>
      <c r="B147" s="211"/>
      <c r="C147" s="211"/>
      <c r="D147" s="211"/>
      <c r="E147" s="211"/>
      <c r="F147" s="209"/>
      <c r="G147" s="99"/>
      <c r="H147" s="41"/>
      <c r="I147" s="96"/>
      <c r="J147" s="134"/>
      <c r="K147" s="195"/>
    </row>
    <row r="148" ht="22.5" customHeight="1">
      <c r="A148" s="210"/>
      <c r="B148" s="211"/>
      <c r="C148" s="211"/>
      <c r="D148" s="211"/>
      <c r="E148" s="211"/>
      <c r="F148" s="209"/>
      <c r="G148" s="99"/>
      <c r="H148" s="37"/>
      <c r="I148" s="96"/>
      <c r="J148" s="133"/>
      <c r="K148" s="195"/>
    </row>
    <row r="149" ht="22.5" customHeight="1">
      <c r="A149" s="210"/>
      <c r="B149" s="211"/>
      <c r="C149" s="211"/>
      <c r="D149" s="211"/>
      <c r="E149" s="211"/>
      <c r="F149" s="209"/>
      <c r="G149" s="99"/>
      <c r="H149" s="41"/>
      <c r="I149" s="96"/>
      <c r="J149" s="134"/>
      <c r="K149" s="195"/>
    </row>
    <row r="150" ht="22.5" customHeight="1">
      <c r="A150" s="210"/>
      <c r="B150" s="211"/>
      <c r="C150" s="211"/>
      <c r="D150" s="211"/>
      <c r="E150" s="211"/>
      <c r="F150" s="209"/>
      <c r="G150" s="99"/>
      <c r="H150" s="37"/>
      <c r="I150" s="96"/>
      <c r="J150" s="133"/>
      <c r="K150" s="195"/>
    </row>
    <row r="151" ht="22.5" customHeight="1">
      <c r="A151" s="210"/>
      <c r="B151" s="211"/>
      <c r="C151" s="211"/>
      <c r="D151" s="211"/>
      <c r="E151" s="211"/>
      <c r="F151" s="209"/>
      <c r="G151" s="99"/>
      <c r="H151" s="41"/>
      <c r="I151" s="96"/>
      <c r="J151" s="134"/>
      <c r="K151" s="195"/>
    </row>
    <row r="152" ht="22.5" customHeight="1">
      <c r="A152" s="210"/>
      <c r="B152" s="211"/>
      <c r="C152" s="211"/>
      <c r="D152" s="211"/>
      <c r="E152" s="211"/>
      <c r="F152" s="209"/>
      <c r="G152" s="99"/>
      <c r="H152" s="37"/>
      <c r="I152" s="96"/>
      <c r="J152" s="133"/>
      <c r="K152" s="195"/>
    </row>
    <row r="153" ht="22.5" customHeight="1">
      <c r="A153" s="210"/>
      <c r="B153" s="211"/>
      <c r="C153" s="211"/>
      <c r="D153" s="211"/>
      <c r="E153" s="211"/>
      <c r="F153" s="209"/>
      <c r="G153" s="99"/>
      <c r="H153" s="41"/>
      <c r="I153" s="96"/>
      <c r="J153" s="134"/>
      <c r="K153" s="195"/>
    </row>
    <row r="154" ht="22.5" customHeight="1">
      <c r="A154" s="210"/>
      <c r="B154" s="211"/>
      <c r="C154" s="211"/>
      <c r="D154" s="211"/>
      <c r="E154" s="211"/>
      <c r="F154" s="209"/>
      <c r="G154" s="99"/>
      <c r="H154" s="37"/>
      <c r="I154" s="96"/>
      <c r="J154" s="133"/>
      <c r="K154" s="195"/>
    </row>
    <row r="155" ht="22.5" customHeight="1">
      <c r="A155" s="210"/>
      <c r="B155" s="211"/>
      <c r="C155" s="211"/>
      <c r="D155" s="211"/>
      <c r="E155" s="211"/>
      <c r="F155" s="209"/>
      <c r="G155" s="99"/>
      <c r="H155" s="41"/>
      <c r="I155" s="96"/>
      <c r="J155" s="134"/>
      <c r="K155" s="195"/>
    </row>
    <row r="156" ht="22.5" customHeight="1">
      <c r="A156" s="210"/>
      <c r="B156" s="211"/>
      <c r="C156" s="211"/>
      <c r="D156" s="211"/>
      <c r="E156" s="211"/>
      <c r="F156" s="209"/>
      <c r="G156" s="99"/>
      <c r="H156" s="37"/>
      <c r="I156" s="96"/>
      <c r="J156" s="133"/>
      <c r="K156" s="195"/>
    </row>
    <row r="157" ht="22.5" customHeight="1">
      <c r="A157" s="210"/>
      <c r="B157" s="211"/>
      <c r="C157" s="211"/>
      <c r="D157" s="211"/>
      <c r="E157" s="211"/>
      <c r="F157" s="209"/>
      <c r="G157" s="99"/>
      <c r="H157" s="41"/>
      <c r="I157" s="96"/>
      <c r="J157" s="134"/>
      <c r="K157" s="195"/>
    </row>
    <row r="158" ht="22.5" customHeight="1">
      <c r="A158" s="210"/>
      <c r="B158" s="211"/>
      <c r="C158" s="211"/>
      <c r="D158" s="211"/>
      <c r="E158" s="211"/>
      <c r="F158" s="209"/>
      <c r="G158" s="99"/>
      <c r="H158" s="37"/>
      <c r="I158" s="96"/>
      <c r="J158" s="133"/>
      <c r="K158" s="195"/>
    </row>
    <row r="159" ht="22.5" customHeight="1">
      <c r="A159" s="210"/>
      <c r="B159" s="211"/>
      <c r="C159" s="211"/>
      <c r="D159" s="211"/>
      <c r="E159" s="211"/>
      <c r="F159" s="209"/>
      <c r="G159" s="99"/>
      <c r="H159" s="41"/>
      <c r="I159" s="96"/>
      <c r="J159" s="134"/>
      <c r="K159" s="195"/>
    </row>
    <row r="160" ht="22.5" customHeight="1">
      <c r="A160" s="210"/>
      <c r="B160" s="211"/>
      <c r="C160" s="211"/>
      <c r="D160" s="211"/>
      <c r="E160" s="211"/>
      <c r="F160" s="209"/>
      <c r="G160" s="99"/>
      <c r="H160" s="37"/>
      <c r="I160" s="96"/>
      <c r="J160" s="133"/>
      <c r="K160" s="195"/>
    </row>
    <row r="161" ht="22.5" customHeight="1">
      <c r="A161" s="210"/>
      <c r="B161" s="211"/>
      <c r="C161" s="211"/>
      <c r="D161" s="211"/>
      <c r="E161" s="211"/>
      <c r="F161" s="209"/>
      <c r="G161" s="99"/>
      <c r="H161" s="41"/>
      <c r="I161" s="96"/>
      <c r="J161" s="134"/>
      <c r="K161" s="195"/>
    </row>
    <row r="162" ht="22.5" customHeight="1">
      <c r="A162" s="210"/>
      <c r="B162" s="211"/>
      <c r="C162" s="211"/>
      <c r="D162" s="211"/>
      <c r="E162" s="211"/>
      <c r="F162" s="209"/>
      <c r="G162" s="99"/>
      <c r="H162" s="37"/>
      <c r="I162" s="96"/>
      <c r="J162" s="133"/>
      <c r="K162" s="195"/>
    </row>
    <row r="163" ht="22.5" customHeight="1">
      <c r="A163" s="210"/>
      <c r="B163" s="211"/>
      <c r="C163" s="211"/>
      <c r="D163" s="211"/>
      <c r="E163" s="211"/>
      <c r="F163" s="209"/>
      <c r="G163" s="99"/>
      <c r="H163" s="41"/>
      <c r="I163" s="96"/>
      <c r="J163" s="134"/>
      <c r="K163" s="195"/>
    </row>
    <row r="164" ht="22.5" customHeight="1">
      <c r="A164" s="210"/>
      <c r="B164" s="211"/>
      <c r="C164" s="211"/>
      <c r="D164" s="211"/>
      <c r="E164" s="211"/>
      <c r="F164" s="209"/>
      <c r="G164" s="99"/>
      <c r="H164" s="37"/>
      <c r="I164" s="96"/>
      <c r="J164" s="133"/>
      <c r="K164" s="195"/>
    </row>
    <row r="165" ht="22.5" customHeight="1">
      <c r="A165" s="210"/>
      <c r="B165" s="211"/>
      <c r="C165" s="211"/>
      <c r="D165" s="211"/>
      <c r="E165" s="211"/>
      <c r="F165" s="209"/>
      <c r="G165" s="99"/>
      <c r="H165" s="41"/>
      <c r="I165" s="96"/>
      <c r="J165" s="134"/>
      <c r="K165" s="195"/>
    </row>
    <row r="166" ht="22.5" customHeight="1">
      <c r="A166" s="210"/>
      <c r="B166" s="211"/>
      <c r="C166" s="211"/>
      <c r="D166" s="211"/>
      <c r="E166" s="211"/>
      <c r="F166" s="209"/>
      <c r="G166" s="99"/>
      <c r="H166" s="37"/>
      <c r="I166" s="96"/>
      <c r="J166" s="133"/>
      <c r="K166" s="195"/>
    </row>
    <row r="167" ht="22.5" customHeight="1">
      <c r="A167" s="212"/>
      <c r="B167" s="213"/>
      <c r="C167" s="213"/>
      <c r="D167" s="213"/>
      <c r="E167" s="213"/>
      <c r="F167" s="214"/>
      <c r="G167" s="99"/>
      <c r="H167" s="41"/>
      <c r="I167" s="96"/>
      <c r="J167" s="134"/>
      <c r="K167" s="214"/>
    </row>
    <row r="168" ht="22.5" customHeight="1">
      <c r="A168" s="212"/>
      <c r="B168" s="213"/>
      <c r="C168" s="213"/>
      <c r="D168" s="213"/>
      <c r="E168" s="213"/>
      <c r="F168" s="214"/>
      <c r="G168" s="99"/>
      <c r="H168" s="37"/>
      <c r="I168" s="96"/>
      <c r="J168" s="133"/>
      <c r="K168" s="214"/>
    </row>
    <row r="169" ht="22.5" customHeight="1">
      <c r="A169" s="212"/>
      <c r="B169" s="213"/>
      <c r="C169" s="213"/>
      <c r="D169" s="213"/>
      <c r="E169" s="213"/>
      <c r="F169" s="214"/>
      <c r="G169" s="99"/>
      <c r="H169" s="41"/>
      <c r="I169" s="96"/>
      <c r="J169" s="134"/>
      <c r="K169" s="214"/>
    </row>
    <row r="170" ht="22.5" customHeight="1">
      <c r="A170" s="212"/>
      <c r="B170" s="213"/>
      <c r="C170" s="213"/>
      <c r="D170" s="213"/>
      <c r="E170" s="213"/>
      <c r="F170" s="214"/>
      <c r="G170" s="99"/>
      <c r="H170" s="37"/>
      <c r="I170" s="96"/>
      <c r="J170" s="133"/>
      <c r="K170" s="214"/>
    </row>
    <row r="171" ht="22.5" customHeight="1">
      <c r="A171" s="212"/>
      <c r="B171" s="213"/>
      <c r="C171" s="213"/>
      <c r="D171" s="213"/>
      <c r="E171" s="213"/>
      <c r="F171" s="214"/>
      <c r="G171" s="99"/>
      <c r="H171" s="41"/>
      <c r="I171" s="96"/>
      <c r="J171" s="134"/>
      <c r="K171" s="214"/>
    </row>
    <row r="172" ht="22.5" customHeight="1">
      <c r="A172" s="212"/>
      <c r="B172" s="213"/>
      <c r="C172" s="213"/>
      <c r="D172" s="213"/>
      <c r="E172" s="213"/>
      <c r="F172" s="214"/>
      <c r="G172" s="99"/>
      <c r="H172" s="37"/>
      <c r="I172" s="96"/>
      <c r="J172" s="133"/>
      <c r="K172" s="214"/>
    </row>
    <row r="173" ht="22.5" customHeight="1">
      <c r="A173" s="212"/>
      <c r="B173" s="213"/>
      <c r="C173" s="213"/>
      <c r="D173" s="213"/>
      <c r="E173" s="213"/>
      <c r="F173" s="214"/>
      <c r="G173" s="99"/>
      <c r="H173" s="41"/>
      <c r="I173" s="96"/>
      <c r="J173" s="134"/>
      <c r="K173" s="214"/>
    </row>
    <row r="174" ht="22.5" customHeight="1">
      <c r="A174" s="212"/>
      <c r="B174" s="213"/>
      <c r="C174" s="213"/>
      <c r="D174" s="213"/>
      <c r="E174" s="213"/>
      <c r="F174" s="214"/>
      <c r="G174" s="99"/>
      <c r="H174" s="37"/>
      <c r="I174" s="96"/>
      <c r="J174" s="133"/>
      <c r="K174" s="214"/>
    </row>
    <row r="175" ht="22.5" customHeight="1">
      <c r="A175" s="212"/>
      <c r="B175" s="213"/>
      <c r="C175" s="213"/>
      <c r="D175" s="213"/>
      <c r="E175" s="213"/>
      <c r="F175" s="214"/>
      <c r="G175" s="99"/>
      <c r="H175" s="41"/>
      <c r="I175" s="96"/>
      <c r="J175" s="134"/>
      <c r="K175" s="214"/>
    </row>
    <row r="176" ht="22.5" customHeight="1">
      <c r="A176" s="212"/>
      <c r="B176" s="213"/>
      <c r="C176" s="213"/>
      <c r="D176" s="213"/>
      <c r="E176" s="213"/>
      <c r="F176" s="214"/>
      <c r="G176" s="99"/>
      <c r="H176" s="37"/>
      <c r="I176" s="96"/>
      <c r="J176" s="133"/>
      <c r="K176" s="214"/>
    </row>
    <row r="177" ht="22.5" customHeight="1">
      <c r="A177" s="212"/>
      <c r="B177" s="213"/>
      <c r="C177" s="213"/>
      <c r="D177" s="213"/>
      <c r="E177" s="213"/>
      <c r="F177" s="214"/>
      <c r="G177" s="99"/>
      <c r="H177" s="41"/>
      <c r="I177" s="96"/>
      <c r="J177" s="134"/>
      <c r="K177" s="214"/>
    </row>
    <row r="178" ht="22.5" customHeight="1">
      <c r="A178" s="212"/>
      <c r="B178" s="213"/>
      <c r="C178" s="213"/>
      <c r="D178" s="213"/>
      <c r="E178" s="213"/>
      <c r="F178" s="214"/>
      <c r="G178" s="99"/>
      <c r="H178" s="37"/>
      <c r="I178" s="96"/>
      <c r="J178" s="133"/>
      <c r="K178" s="214"/>
    </row>
    <row r="179" ht="22.5" customHeight="1">
      <c r="A179" s="212"/>
      <c r="B179" s="213"/>
      <c r="C179" s="213"/>
      <c r="D179" s="213"/>
      <c r="E179" s="213"/>
      <c r="F179" s="214"/>
      <c r="G179" s="99"/>
      <c r="H179" s="41"/>
      <c r="I179" s="96"/>
      <c r="J179" s="134"/>
      <c r="K179" s="214"/>
    </row>
    <row r="180" ht="22.5" customHeight="1">
      <c r="A180" s="212"/>
      <c r="B180" s="213"/>
      <c r="C180" s="213"/>
      <c r="D180" s="213"/>
      <c r="E180" s="213"/>
      <c r="F180" s="214"/>
      <c r="G180" s="99"/>
      <c r="H180" s="37"/>
      <c r="I180" s="96"/>
      <c r="J180" s="133"/>
      <c r="K180" s="214"/>
    </row>
    <row r="181" ht="22.5" customHeight="1">
      <c r="A181" s="212"/>
      <c r="B181" s="213"/>
      <c r="C181" s="213"/>
      <c r="D181" s="213"/>
      <c r="E181" s="213"/>
      <c r="F181" s="214"/>
      <c r="G181" s="99"/>
      <c r="H181" s="41"/>
      <c r="I181" s="96"/>
      <c r="J181" s="134"/>
      <c r="K181" s="214"/>
    </row>
    <row r="182" ht="22.5" customHeight="1">
      <c r="A182" s="212"/>
      <c r="B182" s="213"/>
      <c r="C182" s="213"/>
      <c r="D182" s="213"/>
      <c r="E182" s="213"/>
      <c r="F182" s="214"/>
      <c r="G182" s="99"/>
      <c r="H182" s="37"/>
      <c r="I182" s="96"/>
      <c r="J182" s="133"/>
      <c r="K182" s="214"/>
    </row>
    <row r="183" ht="22.5" customHeight="1">
      <c r="A183" s="212"/>
      <c r="B183" s="213"/>
      <c r="C183" s="213"/>
      <c r="D183" s="213"/>
      <c r="E183" s="213"/>
      <c r="F183" s="214"/>
      <c r="G183" s="99"/>
      <c r="H183" s="41"/>
      <c r="I183" s="96"/>
      <c r="J183" s="134"/>
      <c r="K183" s="214"/>
    </row>
    <row r="184" ht="22.5" customHeight="1">
      <c r="A184" s="212"/>
      <c r="B184" s="213"/>
      <c r="C184" s="213"/>
      <c r="D184" s="213"/>
      <c r="E184" s="213"/>
      <c r="F184" s="214"/>
      <c r="G184" s="99"/>
      <c r="H184" s="37"/>
      <c r="I184" s="96"/>
      <c r="J184" s="133"/>
      <c r="K184" s="214"/>
    </row>
    <row r="185" ht="22.5" customHeight="1">
      <c r="A185" s="212"/>
      <c r="B185" s="213"/>
      <c r="C185" s="213"/>
      <c r="D185" s="213"/>
      <c r="E185" s="213"/>
      <c r="F185" s="214"/>
      <c r="G185" s="99"/>
      <c r="H185" s="41"/>
      <c r="I185" s="96"/>
      <c r="J185" s="134"/>
      <c r="K185" s="214"/>
    </row>
    <row r="186" ht="22.5" customHeight="1">
      <c r="A186" s="212"/>
      <c r="B186" s="213"/>
      <c r="C186" s="213"/>
      <c r="D186" s="213"/>
      <c r="E186" s="213"/>
      <c r="F186" s="214"/>
      <c r="G186" s="99"/>
      <c r="H186" s="37"/>
      <c r="I186" s="96"/>
      <c r="J186" s="133"/>
      <c r="K186" s="214"/>
    </row>
    <row r="187" ht="22.5" customHeight="1">
      <c r="A187" s="212"/>
      <c r="B187" s="213"/>
      <c r="C187" s="213"/>
      <c r="D187" s="213"/>
      <c r="E187" s="213"/>
      <c r="F187" s="214"/>
      <c r="G187" s="99"/>
      <c r="H187" s="41"/>
      <c r="I187" s="96"/>
      <c r="J187" s="134"/>
      <c r="K187" s="214"/>
    </row>
    <row r="188" ht="22.5" customHeight="1">
      <c r="A188" s="212"/>
      <c r="B188" s="213"/>
      <c r="C188" s="213"/>
      <c r="D188" s="213"/>
      <c r="E188" s="213"/>
      <c r="F188" s="214"/>
      <c r="G188" s="99"/>
      <c r="H188" s="37"/>
      <c r="I188" s="96"/>
      <c r="J188" s="133"/>
      <c r="K188" s="214"/>
    </row>
    <row r="189" ht="22.5" customHeight="1">
      <c r="A189" s="212"/>
      <c r="B189" s="213"/>
      <c r="C189" s="213"/>
      <c r="D189" s="213"/>
      <c r="E189" s="213"/>
      <c r="F189" s="214"/>
      <c r="G189" s="99"/>
      <c r="H189" s="41"/>
      <c r="I189" s="96"/>
      <c r="J189" s="134"/>
      <c r="K189" s="214"/>
    </row>
    <row r="190" ht="22.5" customHeight="1">
      <c r="A190" s="212"/>
      <c r="B190" s="213"/>
      <c r="C190" s="213"/>
      <c r="D190" s="213"/>
      <c r="E190" s="213"/>
      <c r="F190" s="214"/>
      <c r="G190" s="99"/>
      <c r="H190" s="37"/>
      <c r="I190" s="96"/>
      <c r="J190" s="133"/>
      <c r="K190" s="214"/>
    </row>
    <row r="191" ht="22.5" customHeight="1">
      <c r="A191" s="212"/>
      <c r="B191" s="213"/>
      <c r="C191" s="213"/>
      <c r="D191" s="213"/>
      <c r="E191" s="213"/>
      <c r="F191" s="214"/>
      <c r="G191" s="99"/>
      <c r="H191" s="41"/>
      <c r="I191" s="96"/>
      <c r="J191" s="134"/>
      <c r="K191" s="214"/>
    </row>
    <row r="192" ht="22.5" customHeight="1">
      <c r="A192" s="212"/>
      <c r="B192" s="213"/>
      <c r="C192" s="213"/>
      <c r="D192" s="213"/>
      <c r="E192" s="213"/>
      <c r="F192" s="214"/>
      <c r="G192" s="99"/>
      <c r="H192" s="37"/>
      <c r="I192" s="96"/>
      <c r="J192" s="133"/>
      <c r="K192" s="214"/>
    </row>
    <row r="193" ht="22.5" customHeight="1">
      <c r="A193" s="212"/>
      <c r="B193" s="213"/>
      <c r="C193" s="213"/>
      <c r="D193" s="213"/>
      <c r="E193" s="213"/>
      <c r="F193" s="214"/>
      <c r="G193" s="99"/>
      <c r="H193" s="41"/>
      <c r="I193" s="96"/>
      <c r="J193" s="134"/>
      <c r="K193" s="214"/>
    </row>
    <row r="194" ht="22.5" customHeight="1">
      <c r="A194" s="212"/>
      <c r="B194" s="213"/>
      <c r="C194" s="213"/>
      <c r="D194" s="213"/>
      <c r="E194" s="213"/>
      <c r="F194" s="214"/>
      <c r="G194" s="99"/>
      <c r="H194" s="37"/>
      <c r="I194" s="96"/>
      <c r="J194" s="133"/>
      <c r="K194" s="214"/>
    </row>
    <row r="195" ht="22.5" customHeight="1">
      <c r="A195" s="212"/>
      <c r="B195" s="213"/>
      <c r="C195" s="213"/>
      <c r="D195" s="213"/>
      <c r="E195" s="213"/>
      <c r="F195" s="214"/>
      <c r="G195" s="99"/>
      <c r="H195" s="41"/>
      <c r="I195" s="96"/>
      <c r="J195" s="134"/>
      <c r="K195" s="214"/>
    </row>
    <row r="196" ht="22.5" customHeight="1">
      <c r="A196" s="212"/>
      <c r="B196" s="213"/>
      <c r="C196" s="213"/>
      <c r="D196" s="213"/>
      <c r="E196" s="213"/>
      <c r="F196" s="214"/>
      <c r="G196" s="99"/>
      <c r="H196" s="37"/>
      <c r="I196" s="96"/>
      <c r="J196" s="133"/>
      <c r="K196" s="214"/>
    </row>
    <row r="197" ht="22.5" customHeight="1">
      <c r="A197" s="212"/>
      <c r="B197" s="213"/>
      <c r="C197" s="213"/>
      <c r="D197" s="213"/>
      <c r="E197" s="213"/>
      <c r="F197" s="214"/>
      <c r="G197" s="99"/>
      <c r="H197" s="41"/>
      <c r="I197" s="96"/>
      <c r="J197" s="134"/>
      <c r="K197" s="214"/>
    </row>
    <row r="198" ht="22.5" customHeight="1">
      <c r="A198" s="212"/>
      <c r="B198" s="213"/>
      <c r="C198" s="213"/>
      <c r="D198" s="213"/>
      <c r="E198" s="213"/>
      <c r="F198" s="214"/>
      <c r="G198" s="99"/>
      <c r="H198" s="37"/>
      <c r="I198" s="96"/>
      <c r="J198" s="133"/>
      <c r="K198" s="214"/>
    </row>
    <row r="199" ht="22.5" customHeight="1">
      <c r="A199" s="212"/>
      <c r="B199" s="213"/>
      <c r="C199" s="213"/>
      <c r="D199" s="213"/>
      <c r="E199" s="213"/>
      <c r="F199" s="214"/>
      <c r="G199" s="99"/>
      <c r="H199" s="41"/>
      <c r="I199" s="96"/>
      <c r="J199" s="134"/>
      <c r="K199" s="214"/>
    </row>
    <row r="200" ht="22.5" customHeight="1">
      <c r="A200" s="212"/>
      <c r="B200" s="213"/>
      <c r="C200" s="213"/>
      <c r="D200" s="213"/>
      <c r="E200" s="213"/>
      <c r="F200" s="214"/>
      <c r="G200" s="99"/>
      <c r="H200" s="37"/>
      <c r="I200" s="96"/>
      <c r="J200" s="133"/>
      <c r="K200" s="214"/>
    </row>
    <row r="201" ht="22.5" customHeight="1">
      <c r="A201" s="212"/>
      <c r="B201" s="213"/>
      <c r="C201" s="213"/>
      <c r="D201" s="213"/>
      <c r="E201" s="213"/>
      <c r="F201" s="214"/>
      <c r="G201" s="99"/>
      <c r="H201" s="41"/>
      <c r="I201" s="96"/>
      <c r="J201" s="134"/>
      <c r="K201" s="214"/>
    </row>
    <row r="202" ht="22.5" customHeight="1">
      <c r="A202" s="212"/>
      <c r="B202" s="213"/>
      <c r="C202" s="213"/>
      <c r="D202" s="213"/>
      <c r="E202" s="213"/>
      <c r="F202" s="214"/>
      <c r="G202" s="99"/>
      <c r="H202" s="37"/>
      <c r="I202" s="96"/>
      <c r="J202" s="133"/>
      <c r="K202" s="214"/>
    </row>
    <row r="203" ht="22.5" customHeight="1">
      <c r="A203" s="212"/>
      <c r="B203" s="213"/>
      <c r="C203" s="213"/>
      <c r="D203" s="213"/>
      <c r="E203" s="213"/>
      <c r="F203" s="214"/>
      <c r="G203" s="99"/>
      <c r="H203" s="41"/>
      <c r="I203" s="96"/>
      <c r="J203" s="134"/>
      <c r="K203" s="214"/>
    </row>
    <row r="204" ht="22.5" customHeight="1">
      <c r="A204" s="212"/>
      <c r="B204" s="213"/>
      <c r="C204" s="213"/>
      <c r="D204" s="213"/>
      <c r="E204" s="213"/>
      <c r="F204" s="214"/>
      <c r="G204" s="99"/>
      <c r="H204" s="37"/>
      <c r="I204" s="96"/>
      <c r="J204" s="133"/>
      <c r="K204" s="214"/>
    </row>
    <row r="205" ht="22.5" customHeight="1">
      <c r="A205" s="212"/>
      <c r="B205" s="213"/>
      <c r="C205" s="213"/>
      <c r="D205" s="213"/>
      <c r="E205" s="213"/>
      <c r="F205" s="214"/>
      <c r="G205" s="99"/>
      <c r="H205" s="41"/>
      <c r="I205" s="96"/>
      <c r="J205" s="134"/>
      <c r="K205" s="214"/>
    </row>
    <row r="206" ht="22.5" customHeight="1">
      <c r="A206" s="212"/>
      <c r="B206" s="213"/>
      <c r="C206" s="213"/>
      <c r="D206" s="213"/>
      <c r="E206" s="213"/>
      <c r="F206" s="214"/>
      <c r="G206" s="99"/>
      <c r="H206" s="37"/>
      <c r="I206" s="96"/>
      <c r="J206" s="133"/>
      <c r="K206" s="214"/>
    </row>
    <row r="207" ht="22.5" customHeight="1">
      <c r="A207" s="212"/>
      <c r="B207" s="213"/>
      <c r="C207" s="213"/>
      <c r="D207" s="213"/>
      <c r="E207" s="213"/>
      <c r="F207" s="214"/>
      <c r="G207" s="99"/>
      <c r="H207" s="41"/>
      <c r="I207" s="96"/>
      <c r="J207" s="134"/>
      <c r="K207" s="214"/>
    </row>
    <row r="208" ht="22.5" customHeight="1">
      <c r="A208" s="212"/>
      <c r="B208" s="213"/>
      <c r="C208" s="213"/>
      <c r="D208" s="213"/>
      <c r="E208" s="213"/>
      <c r="F208" s="214"/>
      <c r="G208" s="99"/>
      <c r="H208" s="37"/>
      <c r="I208" s="96"/>
      <c r="J208" s="133"/>
      <c r="K208" s="214"/>
    </row>
    <row r="209" ht="22.5" customHeight="1">
      <c r="A209" s="212"/>
      <c r="B209" s="213"/>
      <c r="C209" s="213"/>
      <c r="D209" s="213"/>
      <c r="E209" s="213"/>
      <c r="F209" s="214"/>
      <c r="G209" s="99"/>
      <c r="H209" s="41"/>
      <c r="I209" s="96"/>
      <c r="J209" s="134"/>
      <c r="K209" s="214"/>
    </row>
    <row r="210" ht="22.5" customHeight="1">
      <c r="A210" s="212"/>
      <c r="B210" s="213"/>
      <c r="C210" s="213"/>
      <c r="D210" s="213"/>
      <c r="E210" s="213"/>
      <c r="F210" s="214"/>
      <c r="G210" s="99"/>
      <c r="H210" s="37"/>
      <c r="I210" s="96"/>
      <c r="J210" s="133"/>
      <c r="K210" s="214"/>
    </row>
    <row r="211" ht="22.5" customHeight="1">
      <c r="A211" s="212"/>
      <c r="B211" s="213"/>
      <c r="C211" s="213"/>
      <c r="D211" s="213"/>
      <c r="E211" s="213"/>
      <c r="F211" s="214"/>
      <c r="G211" s="99"/>
      <c r="H211" s="41"/>
      <c r="I211" s="96"/>
      <c r="J211" s="134"/>
      <c r="K211" s="214"/>
    </row>
    <row r="212" ht="22.5" customHeight="1">
      <c r="A212" s="212"/>
      <c r="B212" s="213"/>
      <c r="C212" s="213"/>
      <c r="D212" s="213"/>
      <c r="E212" s="213"/>
      <c r="F212" s="214"/>
      <c r="G212" s="99"/>
      <c r="H212" s="37"/>
      <c r="I212" s="96"/>
      <c r="J212" s="133"/>
      <c r="K212" s="214"/>
    </row>
    <row r="213" ht="22.5" customHeight="1">
      <c r="A213" s="212"/>
      <c r="B213" s="213"/>
      <c r="C213" s="213"/>
      <c r="D213" s="213"/>
      <c r="E213" s="213"/>
      <c r="F213" s="214"/>
      <c r="G213" s="99"/>
      <c r="H213" s="41"/>
      <c r="I213" s="96"/>
      <c r="J213" s="134"/>
      <c r="K213" s="214"/>
    </row>
    <row r="214" ht="22.5" customHeight="1">
      <c r="A214" s="212"/>
      <c r="B214" s="213"/>
      <c r="C214" s="213"/>
      <c r="D214" s="213"/>
      <c r="E214" s="213"/>
      <c r="F214" s="214"/>
      <c r="G214" s="99"/>
      <c r="H214" s="37"/>
      <c r="I214" s="96"/>
      <c r="J214" s="133"/>
      <c r="K214" s="214"/>
    </row>
    <row r="215" ht="22.5" customHeight="1">
      <c r="A215" s="212"/>
      <c r="B215" s="213"/>
      <c r="C215" s="213"/>
      <c r="D215" s="213"/>
      <c r="E215" s="213"/>
      <c r="F215" s="214"/>
      <c r="G215" s="99"/>
      <c r="H215" s="41"/>
      <c r="I215" s="96"/>
      <c r="J215" s="134"/>
      <c r="K215" s="214"/>
    </row>
    <row r="216" ht="22.5" customHeight="1">
      <c r="A216" s="212"/>
      <c r="B216" s="213"/>
      <c r="C216" s="213"/>
      <c r="D216" s="213"/>
      <c r="E216" s="213"/>
      <c r="F216" s="214"/>
      <c r="G216" s="99"/>
      <c r="H216" s="37"/>
      <c r="I216" s="96"/>
      <c r="J216" s="133"/>
      <c r="K216" s="214"/>
    </row>
    <row r="217" ht="22.5" customHeight="1">
      <c r="A217" s="212"/>
      <c r="B217" s="213"/>
      <c r="C217" s="213"/>
      <c r="D217" s="213"/>
      <c r="E217" s="213"/>
      <c r="F217" s="214"/>
      <c r="G217" s="99"/>
      <c r="H217" s="41"/>
      <c r="I217" s="96"/>
      <c r="J217" s="134"/>
      <c r="K217" s="214"/>
    </row>
    <row r="218" ht="22.5" customHeight="1">
      <c r="A218" s="212"/>
      <c r="B218" s="213"/>
      <c r="C218" s="213"/>
      <c r="D218" s="213"/>
      <c r="E218" s="213"/>
      <c r="F218" s="214"/>
      <c r="G218" s="99"/>
      <c r="H218" s="37"/>
      <c r="I218" s="96"/>
      <c r="J218" s="133"/>
      <c r="K218" s="214"/>
    </row>
    <row r="219" ht="22.5" customHeight="1">
      <c r="A219" s="212"/>
      <c r="B219" s="213"/>
      <c r="C219" s="213"/>
      <c r="D219" s="213"/>
      <c r="E219" s="213"/>
      <c r="F219" s="214"/>
      <c r="G219" s="99"/>
      <c r="H219" s="41"/>
      <c r="I219" s="96"/>
      <c r="J219" s="134"/>
      <c r="K219" s="214"/>
    </row>
    <row r="220" ht="22.5" customHeight="1">
      <c r="A220" s="212"/>
      <c r="B220" s="213"/>
      <c r="C220" s="213"/>
      <c r="D220" s="213"/>
      <c r="E220" s="213"/>
      <c r="F220" s="214"/>
      <c r="G220" s="99"/>
      <c r="H220" s="37"/>
      <c r="I220" s="96"/>
      <c r="J220" s="133"/>
      <c r="K220" s="214"/>
    </row>
    <row r="221" ht="22.5" customHeight="1">
      <c r="A221" s="212"/>
      <c r="B221" s="213"/>
      <c r="C221" s="213"/>
      <c r="D221" s="213"/>
      <c r="E221" s="213"/>
      <c r="F221" s="214"/>
      <c r="G221" s="141"/>
      <c r="H221" s="41"/>
      <c r="I221" s="142"/>
      <c r="J221" s="134"/>
      <c r="K221" s="214"/>
    </row>
    <row r="222" ht="22.5" customHeight="1">
      <c r="A222" s="212"/>
      <c r="B222" s="213"/>
      <c r="C222" s="213"/>
      <c r="D222" s="213"/>
      <c r="E222" s="213"/>
      <c r="F222" s="214"/>
      <c r="G222" s="143"/>
      <c r="H222" s="37"/>
      <c r="I222" s="144"/>
      <c r="J222" s="133"/>
      <c r="K222" s="214"/>
    </row>
    <row r="223" ht="22.5" customHeight="1">
      <c r="A223" s="212"/>
      <c r="B223" s="213"/>
      <c r="C223" s="213"/>
      <c r="D223" s="213"/>
      <c r="E223" s="213"/>
      <c r="F223" s="214"/>
      <c r="G223" s="141"/>
      <c r="H223" s="41"/>
      <c r="I223" s="142"/>
      <c r="J223" s="134"/>
      <c r="K223" s="214"/>
    </row>
    <row r="224" ht="22.5" customHeight="1">
      <c r="A224" s="212"/>
      <c r="B224" s="213"/>
      <c r="C224" s="213"/>
      <c r="D224" s="213"/>
      <c r="E224" s="213"/>
      <c r="F224" s="214"/>
      <c r="G224" s="143"/>
      <c r="H224" s="37"/>
      <c r="I224" s="144"/>
      <c r="J224" s="133"/>
      <c r="K224" s="214"/>
    </row>
    <row r="225" ht="22.5" customHeight="1">
      <c r="A225" s="212"/>
      <c r="B225" s="213"/>
      <c r="C225" s="213"/>
      <c r="D225" s="213"/>
      <c r="E225" s="213"/>
      <c r="F225" s="214"/>
      <c r="G225" s="141"/>
      <c r="H225" s="41"/>
      <c r="I225" s="142"/>
      <c r="J225" s="134"/>
      <c r="K225" s="214"/>
    </row>
    <row r="226" ht="22.5" customHeight="1">
      <c r="A226" s="212"/>
      <c r="B226" s="213"/>
      <c r="C226" s="213"/>
      <c r="D226" s="213"/>
      <c r="E226" s="213"/>
      <c r="F226" s="214"/>
      <c r="G226" s="143"/>
      <c r="H226" s="37"/>
      <c r="I226" s="144"/>
      <c r="J226" s="133"/>
      <c r="K226" s="214"/>
    </row>
    <row r="227" ht="22.5" customHeight="1">
      <c r="A227" s="212"/>
      <c r="B227" s="213"/>
      <c r="C227" s="213"/>
      <c r="D227" s="213"/>
      <c r="E227" s="213"/>
      <c r="F227" s="214"/>
      <c r="G227" s="141"/>
      <c r="H227" s="41"/>
      <c r="I227" s="142"/>
      <c r="J227" s="134"/>
      <c r="K227" s="214"/>
    </row>
    <row r="228" ht="22.5" customHeight="1">
      <c r="A228" s="212"/>
      <c r="B228" s="213"/>
      <c r="C228" s="213"/>
      <c r="D228" s="213"/>
      <c r="E228" s="213"/>
      <c r="F228" s="214"/>
      <c r="G228" s="143"/>
      <c r="H228" s="37"/>
      <c r="I228" s="144"/>
      <c r="J228" s="133"/>
      <c r="K228" s="214"/>
    </row>
    <row r="229" ht="22.5" customHeight="1">
      <c r="A229" s="212"/>
      <c r="B229" s="213"/>
      <c r="C229" s="213"/>
      <c r="D229" s="213"/>
      <c r="E229" s="213"/>
      <c r="F229" s="214"/>
      <c r="G229" s="141"/>
      <c r="H229" s="41"/>
      <c r="I229" s="142"/>
      <c r="J229" s="134"/>
      <c r="K229" s="214"/>
    </row>
    <row r="230" ht="22.5" customHeight="1">
      <c r="A230" s="212"/>
      <c r="B230" s="213"/>
      <c r="C230" s="213"/>
      <c r="D230" s="213"/>
      <c r="E230" s="213"/>
      <c r="F230" s="214"/>
      <c r="G230" s="143"/>
      <c r="H230" s="37"/>
      <c r="I230" s="144"/>
      <c r="J230" s="133"/>
      <c r="K230" s="214"/>
    </row>
    <row r="231" ht="22.5" customHeight="1">
      <c r="A231" s="212"/>
      <c r="B231" s="213"/>
      <c r="C231" s="213"/>
      <c r="D231" s="213"/>
      <c r="E231" s="213"/>
      <c r="F231" s="214"/>
      <c r="G231" s="141"/>
      <c r="H231" s="41"/>
      <c r="I231" s="142"/>
      <c r="J231" s="134"/>
      <c r="K231" s="214"/>
    </row>
    <row r="232" ht="22.5" customHeight="1">
      <c r="A232" s="212"/>
      <c r="B232" s="213"/>
      <c r="C232" s="213"/>
      <c r="D232" s="213"/>
      <c r="E232" s="213"/>
      <c r="F232" s="214"/>
      <c r="G232" s="143"/>
      <c r="H232" s="37"/>
      <c r="I232" s="144"/>
      <c r="J232" s="133"/>
      <c r="K232" s="214"/>
    </row>
    <row r="233" ht="22.5" customHeight="1">
      <c r="A233" s="212"/>
      <c r="B233" s="213"/>
      <c r="C233" s="213"/>
      <c r="D233" s="213"/>
      <c r="E233" s="213"/>
      <c r="F233" s="214"/>
      <c r="G233" s="141"/>
      <c r="H233" s="41"/>
      <c r="I233" s="142"/>
      <c r="J233" s="134"/>
      <c r="K233" s="214"/>
    </row>
    <row r="234" ht="22.5" customHeight="1">
      <c r="A234" s="212"/>
      <c r="B234" s="213"/>
      <c r="C234" s="213"/>
      <c r="D234" s="213"/>
      <c r="E234" s="213"/>
      <c r="F234" s="214"/>
      <c r="G234" s="143"/>
      <c r="H234" s="37"/>
      <c r="I234" s="144"/>
      <c r="J234" s="133"/>
      <c r="K234" s="214"/>
    </row>
    <row r="235" ht="22.5" customHeight="1">
      <c r="A235" s="212"/>
      <c r="B235" s="213"/>
      <c r="C235" s="213"/>
      <c r="D235" s="213"/>
      <c r="E235" s="213"/>
      <c r="F235" s="214"/>
      <c r="G235" s="141"/>
      <c r="H235" s="41"/>
      <c r="I235" s="142"/>
      <c r="J235" s="134"/>
      <c r="K235" s="214"/>
    </row>
    <row r="236" ht="22.5" customHeight="1">
      <c r="A236" s="212"/>
      <c r="B236" s="213"/>
      <c r="C236" s="213"/>
      <c r="D236" s="213"/>
      <c r="E236" s="213"/>
      <c r="F236" s="214"/>
      <c r="G236" s="143"/>
      <c r="H236" s="37"/>
      <c r="I236" s="144"/>
      <c r="J236" s="133"/>
      <c r="K236" s="214"/>
    </row>
    <row r="237" ht="22.5" customHeight="1">
      <c r="A237" s="212"/>
      <c r="B237" s="213"/>
      <c r="C237" s="213"/>
      <c r="D237" s="213"/>
      <c r="E237" s="213"/>
      <c r="F237" s="214"/>
      <c r="G237" s="141"/>
      <c r="H237" s="41"/>
      <c r="I237" s="142"/>
      <c r="J237" s="134"/>
      <c r="K237" s="214"/>
    </row>
    <row r="238" ht="22.5" customHeight="1">
      <c r="A238" s="212"/>
      <c r="B238" s="213"/>
      <c r="C238" s="213"/>
      <c r="D238" s="213"/>
      <c r="E238" s="213"/>
      <c r="F238" s="214"/>
      <c r="G238" s="143"/>
      <c r="H238" s="37"/>
      <c r="I238" s="144"/>
      <c r="J238" s="133"/>
      <c r="K238" s="214"/>
    </row>
    <row r="239" ht="22.5" customHeight="1">
      <c r="A239" s="212"/>
      <c r="B239" s="213"/>
      <c r="C239" s="213"/>
      <c r="D239" s="213"/>
      <c r="E239" s="213"/>
      <c r="F239" s="214"/>
      <c r="G239" s="141"/>
      <c r="H239" s="41"/>
      <c r="I239" s="142"/>
      <c r="J239" s="134"/>
      <c r="K239" s="214"/>
    </row>
    <row r="240" ht="22.5" customHeight="1">
      <c r="A240" s="212"/>
      <c r="B240" s="213"/>
      <c r="C240" s="213"/>
      <c r="D240" s="213"/>
      <c r="E240" s="213"/>
      <c r="F240" s="214"/>
      <c r="G240" s="143"/>
      <c r="H240" s="37"/>
      <c r="I240" s="144"/>
      <c r="J240" s="133"/>
      <c r="K240" s="214"/>
    </row>
    <row r="241" ht="22.5" customHeight="1">
      <c r="A241" s="212"/>
      <c r="B241" s="213"/>
      <c r="C241" s="213"/>
      <c r="D241" s="213"/>
      <c r="E241" s="213"/>
      <c r="F241" s="214"/>
      <c r="G241" s="141"/>
      <c r="H241" s="41"/>
      <c r="I241" s="142"/>
      <c r="J241" s="134"/>
      <c r="K241" s="214"/>
    </row>
    <row r="242" ht="22.5" customHeight="1">
      <c r="A242" s="212"/>
      <c r="B242" s="213"/>
      <c r="C242" s="213"/>
      <c r="D242" s="213"/>
      <c r="E242" s="213"/>
      <c r="F242" s="214"/>
      <c r="G242" s="143"/>
      <c r="H242" s="37"/>
      <c r="I242" s="144"/>
      <c r="J242" s="133"/>
      <c r="K242" s="214"/>
    </row>
    <row r="243" ht="22.5" customHeight="1">
      <c r="A243" s="212"/>
      <c r="B243" s="213"/>
      <c r="C243" s="213"/>
      <c r="D243" s="213"/>
      <c r="E243" s="213"/>
      <c r="F243" s="214"/>
      <c r="G243" s="141"/>
      <c r="H243" s="41"/>
      <c r="I243" s="142"/>
      <c r="J243" s="134"/>
      <c r="K243" s="214"/>
    </row>
    <row r="244" ht="22.5" customHeight="1">
      <c r="A244" s="212"/>
      <c r="B244" s="213"/>
      <c r="C244" s="213"/>
      <c r="D244" s="213"/>
      <c r="E244" s="213"/>
      <c r="F244" s="214"/>
      <c r="G244" s="143"/>
      <c r="H244" s="37"/>
      <c r="I244" s="144"/>
      <c r="J244" s="133"/>
      <c r="K244" s="214"/>
    </row>
    <row r="245" ht="22.5" customHeight="1">
      <c r="A245" s="212"/>
      <c r="B245" s="213"/>
      <c r="C245" s="213"/>
      <c r="D245" s="213"/>
      <c r="E245" s="213"/>
      <c r="F245" s="214"/>
      <c r="G245" s="141"/>
      <c r="H245" s="41"/>
      <c r="I245" s="142"/>
      <c r="J245" s="134"/>
      <c r="K245" s="214"/>
    </row>
    <row r="246" ht="22.5" customHeight="1">
      <c r="A246" s="212"/>
      <c r="B246" s="213"/>
      <c r="C246" s="213"/>
      <c r="D246" s="213"/>
      <c r="E246" s="213"/>
      <c r="F246" s="214"/>
      <c r="G246" s="143"/>
      <c r="H246" s="37"/>
      <c r="I246" s="144"/>
      <c r="J246" s="133"/>
      <c r="K246" s="214"/>
    </row>
    <row r="247" ht="22.5" customHeight="1">
      <c r="A247" s="212"/>
      <c r="B247" s="213"/>
      <c r="C247" s="213"/>
      <c r="D247" s="213"/>
      <c r="E247" s="213"/>
      <c r="F247" s="214"/>
      <c r="G247" s="141"/>
      <c r="H247" s="41"/>
      <c r="I247" s="142"/>
      <c r="J247" s="134"/>
      <c r="K247" s="214"/>
    </row>
    <row r="248" ht="22.5" customHeight="1">
      <c r="A248" s="212"/>
      <c r="B248" s="213"/>
      <c r="C248" s="213"/>
      <c r="D248" s="213"/>
      <c r="E248" s="213"/>
      <c r="F248" s="214"/>
      <c r="G248" s="143"/>
      <c r="H248" s="37"/>
      <c r="I248" s="144"/>
      <c r="J248" s="133"/>
      <c r="K248" s="214"/>
    </row>
    <row r="249" ht="22.5" customHeight="1">
      <c r="A249" s="212"/>
      <c r="B249" s="213"/>
      <c r="C249" s="213"/>
      <c r="D249" s="213"/>
      <c r="E249" s="213"/>
      <c r="F249" s="214"/>
      <c r="G249" s="141"/>
      <c r="H249" s="41"/>
      <c r="I249" s="142"/>
      <c r="J249" s="134"/>
      <c r="K249" s="214"/>
    </row>
    <row r="250" ht="22.5" customHeight="1">
      <c r="A250" s="212"/>
      <c r="B250" s="213"/>
      <c r="C250" s="213"/>
      <c r="D250" s="213"/>
      <c r="E250" s="213"/>
      <c r="F250" s="214"/>
      <c r="G250" s="143"/>
      <c r="H250" s="37"/>
      <c r="I250" s="144"/>
      <c r="J250" s="133"/>
      <c r="K250" s="214"/>
    </row>
    <row r="251" ht="22.5" customHeight="1">
      <c r="A251" s="212"/>
      <c r="B251" s="213"/>
      <c r="C251" s="213"/>
      <c r="D251" s="213"/>
      <c r="E251" s="213"/>
      <c r="F251" s="214"/>
      <c r="G251" s="141"/>
      <c r="H251" s="41"/>
      <c r="I251" s="142"/>
      <c r="J251" s="134"/>
      <c r="K251" s="214"/>
    </row>
    <row r="252" ht="22.5" customHeight="1">
      <c r="A252" s="212"/>
      <c r="B252" s="213"/>
      <c r="C252" s="213"/>
      <c r="D252" s="213"/>
      <c r="E252" s="213"/>
      <c r="F252" s="214"/>
      <c r="G252" s="143"/>
      <c r="H252" s="37"/>
      <c r="I252" s="144"/>
      <c r="J252" s="133"/>
      <c r="K252" s="214"/>
    </row>
    <row r="253" ht="22.5" customHeight="1">
      <c r="A253" s="212"/>
      <c r="B253" s="213"/>
      <c r="C253" s="213"/>
      <c r="D253" s="213"/>
      <c r="E253" s="213"/>
      <c r="F253" s="214"/>
      <c r="G253" s="141"/>
      <c r="H253" s="41"/>
      <c r="I253" s="142"/>
      <c r="J253" s="134"/>
      <c r="K253" s="214"/>
    </row>
    <row r="254" ht="22.5" customHeight="1">
      <c r="A254" s="212"/>
      <c r="B254" s="213"/>
      <c r="C254" s="213"/>
      <c r="D254" s="213"/>
      <c r="E254" s="213"/>
      <c r="F254" s="214"/>
      <c r="G254" s="143"/>
      <c r="H254" s="37"/>
      <c r="I254" s="144"/>
      <c r="J254" s="133"/>
      <c r="K254" s="214"/>
    </row>
    <row r="255" ht="22.5" customHeight="1">
      <c r="A255" s="212"/>
      <c r="B255" s="213"/>
      <c r="C255" s="213"/>
      <c r="D255" s="213"/>
      <c r="E255" s="213"/>
      <c r="F255" s="214"/>
      <c r="G255" s="141"/>
      <c r="H255" s="41"/>
      <c r="I255" s="142"/>
      <c r="J255" s="134"/>
      <c r="K255" s="214"/>
    </row>
    <row r="256" ht="22.5" customHeight="1">
      <c r="A256" s="212"/>
      <c r="B256" s="213"/>
      <c r="C256" s="213"/>
      <c r="D256" s="213"/>
      <c r="E256" s="213"/>
      <c r="F256" s="214"/>
      <c r="G256" s="143"/>
      <c r="H256" s="37"/>
      <c r="I256" s="144"/>
      <c r="J256" s="133"/>
      <c r="K256" s="214"/>
    </row>
    <row r="257" ht="22.5" customHeight="1">
      <c r="A257" s="212"/>
      <c r="B257" s="213"/>
      <c r="C257" s="213"/>
      <c r="D257" s="213"/>
      <c r="E257" s="213"/>
      <c r="F257" s="214"/>
      <c r="G257" s="141"/>
      <c r="H257" s="41"/>
      <c r="I257" s="142"/>
      <c r="J257" s="134"/>
      <c r="K257" s="214"/>
    </row>
    <row r="258" ht="22.5" customHeight="1">
      <c r="A258" s="212"/>
      <c r="B258" s="213"/>
      <c r="C258" s="213"/>
      <c r="D258" s="213"/>
      <c r="E258" s="213"/>
      <c r="F258" s="214"/>
      <c r="G258" s="143"/>
      <c r="H258" s="37"/>
      <c r="I258" s="144"/>
      <c r="J258" s="133"/>
      <c r="K258" s="214"/>
    </row>
    <row r="259" ht="22.5" customHeight="1">
      <c r="A259" s="212"/>
      <c r="B259" s="213"/>
      <c r="C259" s="213"/>
      <c r="D259" s="213"/>
      <c r="E259" s="213"/>
      <c r="F259" s="214"/>
      <c r="G259" s="141"/>
      <c r="H259" s="41"/>
      <c r="I259" s="142"/>
      <c r="J259" s="134"/>
      <c r="K259" s="214"/>
    </row>
    <row r="260" ht="22.5" customHeight="1">
      <c r="A260" s="212"/>
      <c r="B260" s="213"/>
      <c r="C260" s="213"/>
      <c r="D260" s="213"/>
      <c r="E260" s="213"/>
      <c r="F260" s="214"/>
      <c r="G260" s="143"/>
      <c r="H260" s="37"/>
      <c r="I260" s="144"/>
      <c r="J260" s="133"/>
      <c r="K260" s="214"/>
    </row>
    <row r="261" ht="22.5" customHeight="1">
      <c r="A261" s="212"/>
      <c r="B261" s="213"/>
      <c r="C261" s="213"/>
      <c r="D261" s="213"/>
      <c r="E261" s="213"/>
      <c r="F261" s="214"/>
      <c r="G261" s="141"/>
      <c r="H261" s="41"/>
      <c r="I261" s="142"/>
      <c r="J261" s="134"/>
      <c r="K261" s="214"/>
    </row>
    <row r="262" ht="22.5" customHeight="1">
      <c r="A262" s="212"/>
      <c r="B262" s="213"/>
      <c r="C262" s="213"/>
      <c r="D262" s="213"/>
      <c r="E262" s="213"/>
      <c r="F262" s="214"/>
      <c r="G262" s="143"/>
      <c r="H262" s="37"/>
      <c r="I262" s="144"/>
      <c r="J262" s="133"/>
      <c r="K262" s="214"/>
    </row>
    <row r="263" ht="22.5" customHeight="1">
      <c r="A263" s="212"/>
      <c r="B263" s="213"/>
      <c r="C263" s="213"/>
      <c r="D263" s="213"/>
      <c r="E263" s="213"/>
      <c r="F263" s="214"/>
      <c r="G263" s="141"/>
      <c r="H263" s="41"/>
      <c r="I263" s="142"/>
      <c r="J263" s="134"/>
      <c r="K263" s="214"/>
    </row>
    <row r="264" ht="22.5" customHeight="1">
      <c r="A264" s="212"/>
      <c r="B264" s="213"/>
      <c r="C264" s="213"/>
      <c r="D264" s="213"/>
      <c r="E264" s="213"/>
      <c r="F264" s="214"/>
      <c r="G264" s="143"/>
      <c r="H264" s="37"/>
      <c r="I264" s="144"/>
      <c r="J264" s="133"/>
      <c r="K264" s="214"/>
    </row>
    <row r="265" ht="22.5" customHeight="1">
      <c r="A265" s="212"/>
      <c r="B265" s="213"/>
      <c r="C265" s="213"/>
      <c r="D265" s="213"/>
      <c r="E265" s="213"/>
      <c r="F265" s="214"/>
      <c r="G265" s="141"/>
      <c r="H265" s="41"/>
      <c r="I265" s="142"/>
      <c r="J265" s="134"/>
      <c r="K265" s="214"/>
    </row>
    <row r="266" ht="22.5" customHeight="1">
      <c r="A266" s="212"/>
      <c r="B266" s="213"/>
      <c r="C266" s="213"/>
      <c r="D266" s="213"/>
      <c r="E266" s="213"/>
      <c r="F266" s="214"/>
      <c r="G266" s="143"/>
      <c r="H266" s="37"/>
      <c r="I266" s="144"/>
      <c r="J266" s="133"/>
      <c r="K266" s="214"/>
    </row>
    <row r="267" ht="22.5" customHeight="1">
      <c r="A267" s="212"/>
      <c r="B267" s="213"/>
      <c r="C267" s="213"/>
      <c r="D267" s="213"/>
      <c r="E267" s="213"/>
      <c r="F267" s="214"/>
      <c r="G267" s="141"/>
      <c r="H267" s="41"/>
      <c r="I267" s="142"/>
      <c r="J267" s="134"/>
      <c r="K267" s="214"/>
    </row>
    <row r="268" ht="22.5" customHeight="1">
      <c r="A268" s="212"/>
      <c r="B268" s="213"/>
      <c r="C268" s="213"/>
      <c r="D268" s="213"/>
      <c r="E268" s="213"/>
      <c r="F268" s="214"/>
      <c r="G268" s="143"/>
      <c r="H268" s="37"/>
      <c r="I268" s="144"/>
      <c r="J268" s="133"/>
      <c r="K268" s="214"/>
    </row>
    <row r="269" ht="22.5" customHeight="1">
      <c r="A269" s="212"/>
      <c r="B269" s="213"/>
      <c r="C269" s="213"/>
      <c r="D269" s="213"/>
      <c r="E269" s="213"/>
      <c r="F269" s="214"/>
      <c r="G269" s="141"/>
      <c r="H269" s="41"/>
      <c r="I269" s="142"/>
      <c r="J269" s="134"/>
      <c r="K269" s="214"/>
    </row>
    <row r="270" ht="22.5" customHeight="1">
      <c r="A270" s="212"/>
      <c r="B270" s="213"/>
      <c r="C270" s="213"/>
      <c r="D270" s="213"/>
      <c r="E270" s="213"/>
      <c r="F270" s="214"/>
      <c r="G270" s="143"/>
      <c r="H270" s="37"/>
      <c r="I270" s="144"/>
      <c r="J270" s="133"/>
      <c r="K270" s="214"/>
    </row>
    <row r="271" ht="22.5" customHeight="1">
      <c r="A271" s="212"/>
      <c r="B271" s="213"/>
      <c r="C271" s="213"/>
      <c r="D271" s="213"/>
      <c r="E271" s="213"/>
      <c r="F271" s="214"/>
      <c r="G271" s="141"/>
      <c r="H271" s="41"/>
      <c r="I271" s="142"/>
      <c r="J271" s="134"/>
      <c r="K271" s="214"/>
    </row>
    <row r="272" ht="22.5" customHeight="1">
      <c r="A272" s="212"/>
      <c r="B272" s="213"/>
      <c r="C272" s="213"/>
      <c r="D272" s="213"/>
      <c r="E272" s="213"/>
      <c r="F272" s="214"/>
      <c r="G272" s="143"/>
      <c r="H272" s="37"/>
      <c r="I272" s="144"/>
      <c r="J272" s="133"/>
      <c r="K272" s="214"/>
    </row>
    <row r="273" ht="22.5" customHeight="1">
      <c r="A273" s="212"/>
      <c r="B273" s="213"/>
      <c r="C273" s="213"/>
      <c r="D273" s="213"/>
      <c r="E273" s="213"/>
      <c r="F273" s="214"/>
      <c r="G273" s="141"/>
      <c r="H273" s="41"/>
      <c r="I273" s="142"/>
      <c r="J273" s="134"/>
      <c r="K273" s="214"/>
    </row>
    <row r="274" ht="22.5" customHeight="1">
      <c r="A274" s="212"/>
      <c r="B274" s="213"/>
      <c r="C274" s="213"/>
      <c r="D274" s="213"/>
      <c r="E274" s="213"/>
      <c r="F274" s="214"/>
      <c r="G274" s="143"/>
      <c r="H274" s="37"/>
      <c r="I274" s="144"/>
      <c r="J274" s="133"/>
      <c r="K274" s="214"/>
    </row>
    <row r="275" ht="22.5" customHeight="1">
      <c r="A275" s="212"/>
      <c r="B275" s="213"/>
      <c r="C275" s="213"/>
      <c r="D275" s="213"/>
      <c r="E275" s="213"/>
      <c r="F275" s="214"/>
      <c r="G275" s="141"/>
      <c r="H275" s="41"/>
      <c r="I275" s="142"/>
      <c r="J275" s="134"/>
      <c r="K275" s="214"/>
    </row>
    <row r="276" ht="22.5" customHeight="1">
      <c r="A276" s="212"/>
      <c r="B276" s="213"/>
      <c r="C276" s="213"/>
      <c r="D276" s="213"/>
      <c r="E276" s="213"/>
      <c r="F276" s="214"/>
      <c r="G276" s="143"/>
      <c r="H276" s="37"/>
      <c r="I276" s="144"/>
      <c r="J276" s="133"/>
      <c r="K276" s="214"/>
    </row>
    <row r="277" ht="22.5" customHeight="1">
      <c r="A277" s="212"/>
      <c r="B277" s="213"/>
      <c r="C277" s="213"/>
      <c r="D277" s="213"/>
      <c r="E277" s="213"/>
      <c r="F277" s="214"/>
      <c r="G277" s="141"/>
      <c r="H277" s="41"/>
      <c r="I277" s="142"/>
      <c r="J277" s="134"/>
      <c r="K277" s="214"/>
    </row>
    <row r="278" ht="22.5" customHeight="1">
      <c r="A278" s="212"/>
      <c r="B278" s="213"/>
      <c r="C278" s="213"/>
      <c r="D278" s="213"/>
      <c r="E278" s="213"/>
      <c r="F278" s="214"/>
      <c r="G278" s="143"/>
      <c r="H278" s="37"/>
      <c r="I278" s="144"/>
      <c r="J278" s="133"/>
      <c r="K278" s="214"/>
    </row>
    <row r="279" ht="22.5" customHeight="1">
      <c r="A279" s="212"/>
      <c r="B279" s="213"/>
      <c r="C279" s="213"/>
      <c r="D279" s="213"/>
      <c r="E279" s="213"/>
      <c r="F279" s="214"/>
      <c r="G279" s="141"/>
      <c r="H279" s="41"/>
      <c r="I279" s="142"/>
      <c r="J279" s="134"/>
      <c r="K279" s="214"/>
    </row>
    <row r="280" ht="22.5" customHeight="1">
      <c r="A280" s="212"/>
      <c r="B280" s="213"/>
      <c r="C280" s="213"/>
      <c r="D280" s="213"/>
      <c r="E280" s="213"/>
      <c r="F280" s="214"/>
      <c r="G280" s="143"/>
      <c r="H280" s="37"/>
      <c r="I280" s="144"/>
      <c r="J280" s="133"/>
      <c r="K280" s="214"/>
    </row>
    <row r="281" ht="22.5" customHeight="1">
      <c r="A281" s="212"/>
      <c r="B281" s="213"/>
      <c r="C281" s="213"/>
      <c r="D281" s="213"/>
      <c r="E281" s="213"/>
      <c r="F281" s="214"/>
      <c r="G281" s="141"/>
      <c r="H281" s="41"/>
      <c r="I281" s="142"/>
      <c r="J281" s="134"/>
      <c r="K281" s="214"/>
    </row>
    <row r="282" ht="22.5" customHeight="1">
      <c r="A282" s="212"/>
      <c r="B282" s="213"/>
      <c r="C282" s="213"/>
      <c r="D282" s="213"/>
      <c r="E282" s="213"/>
      <c r="F282" s="214"/>
      <c r="G282" s="143"/>
      <c r="H282" s="37"/>
      <c r="I282" s="144"/>
      <c r="J282" s="133"/>
      <c r="K282" s="214"/>
    </row>
    <row r="283" ht="22.5" customHeight="1">
      <c r="A283" s="212"/>
      <c r="B283" s="213"/>
      <c r="C283" s="213"/>
      <c r="D283" s="213"/>
      <c r="E283" s="213"/>
      <c r="F283" s="214"/>
      <c r="G283" s="141"/>
      <c r="H283" s="41"/>
      <c r="I283" s="142"/>
      <c r="J283" s="134"/>
      <c r="K283" s="214"/>
    </row>
    <row r="284" ht="22.5" customHeight="1">
      <c r="A284" s="212"/>
      <c r="B284" s="213"/>
      <c r="C284" s="213"/>
      <c r="D284" s="213"/>
      <c r="E284" s="213"/>
      <c r="F284" s="214"/>
      <c r="G284" s="143"/>
      <c r="H284" s="37"/>
      <c r="I284" s="144"/>
      <c r="J284" s="133"/>
      <c r="K284" s="214"/>
    </row>
    <row r="285" ht="22.5" customHeight="1">
      <c r="A285" s="212"/>
      <c r="B285" s="213"/>
      <c r="C285" s="213"/>
      <c r="D285" s="213"/>
      <c r="E285" s="213"/>
      <c r="F285" s="214"/>
      <c r="G285" s="141"/>
      <c r="H285" s="41"/>
      <c r="I285" s="142"/>
      <c r="J285" s="134"/>
      <c r="K285" s="214"/>
    </row>
    <row r="286" ht="22.5" customHeight="1">
      <c r="A286" s="212"/>
      <c r="B286" s="213"/>
      <c r="C286" s="213"/>
      <c r="D286" s="213"/>
      <c r="E286" s="213"/>
      <c r="F286" s="214"/>
      <c r="G286" s="143"/>
      <c r="H286" s="37"/>
      <c r="I286" s="144"/>
      <c r="J286" s="133"/>
      <c r="K286" s="214"/>
    </row>
    <row r="287" ht="22.5" customHeight="1">
      <c r="A287" s="212"/>
      <c r="B287" s="213"/>
      <c r="C287" s="213"/>
      <c r="D287" s="213"/>
      <c r="E287" s="213"/>
      <c r="F287" s="214"/>
      <c r="G287" s="141"/>
      <c r="H287" s="41"/>
      <c r="I287" s="142"/>
      <c r="J287" s="134"/>
      <c r="K287" s="214"/>
    </row>
    <row r="288" ht="22.5" customHeight="1">
      <c r="A288" s="212"/>
      <c r="B288" s="213"/>
      <c r="C288" s="213"/>
      <c r="D288" s="213"/>
      <c r="E288" s="213"/>
      <c r="F288" s="214"/>
      <c r="G288" s="143"/>
      <c r="H288" s="37"/>
      <c r="I288" s="144"/>
      <c r="J288" s="133"/>
      <c r="K288" s="214"/>
    </row>
    <row r="289" ht="22.5" customHeight="1">
      <c r="A289" s="212"/>
      <c r="B289" s="213"/>
      <c r="C289" s="213"/>
      <c r="D289" s="213"/>
      <c r="E289" s="213"/>
      <c r="F289" s="214"/>
      <c r="G289" s="141"/>
      <c r="H289" s="41"/>
      <c r="I289" s="142"/>
      <c r="J289" s="134"/>
      <c r="K289" s="214"/>
    </row>
    <row r="290" ht="22.5" customHeight="1">
      <c r="A290" s="212"/>
      <c r="B290" s="213"/>
      <c r="C290" s="213"/>
      <c r="D290" s="213"/>
      <c r="E290" s="213"/>
      <c r="F290" s="214"/>
      <c r="G290" s="143"/>
      <c r="H290" s="37"/>
      <c r="I290" s="144"/>
      <c r="J290" s="133"/>
      <c r="K290" s="214"/>
    </row>
    <row r="291" ht="22.5" customHeight="1">
      <c r="A291" s="212"/>
      <c r="B291" s="213"/>
      <c r="C291" s="213"/>
      <c r="D291" s="213"/>
      <c r="E291" s="213"/>
      <c r="F291" s="214"/>
      <c r="G291" s="141"/>
      <c r="H291" s="41"/>
      <c r="I291" s="142"/>
      <c r="J291" s="134"/>
      <c r="K291" s="214"/>
    </row>
    <row r="292" ht="22.5" customHeight="1">
      <c r="A292" s="212"/>
      <c r="B292" s="213"/>
      <c r="C292" s="213"/>
      <c r="D292" s="213"/>
      <c r="E292" s="213"/>
      <c r="F292" s="214"/>
      <c r="G292" s="143"/>
      <c r="H292" s="37"/>
      <c r="I292" s="144"/>
      <c r="J292" s="133"/>
      <c r="K292" s="214"/>
    </row>
    <row r="293" ht="22.5" customHeight="1">
      <c r="A293" s="212"/>
      <c r="B293" s="213"/>
      <c r="C293" s="213"/>
      <c r="D293" s="213"/>
      <c r="E293" s="213"/>
      <c r="F293" s="214"/>
      <c r="G293" s="141"/>
      <c r="H293" s="41"/>
      <c r="I293" s="142"/>
      <c r="J293" s="134"/>
      <c r="K293" s="214"/>
    </row>
    <row r="294" ht="22.5" customHeight="1">
      <c r="A294" s="212"/>
      <c r="B294" s="213"/>
      <c r="C294" s="213"/>
      <c r="D294" s="213"/>
      <c r="E294" s="213"/>
      <c r="F294" s="214"/>
      <c r="G294" s="143"/>
      <c r="H294" s="37"/>
      <c r="I294" s="144"/>
      <c r="J294" s="133"/>
      <c r="K294" s="214"/>
    </row>
    <row r="295" ht="22.5" customHeight="1">
      <c r="A295" s="212"/>
      <c r="B295" s="213"/>
      <c r="C295" s="213"/>
      <c r="D295" s="213"/>
      <c r="E295" s="213"/>
      <c r="F295" s="214"/>
      <c r="G295" s="141"/>
      <c r="H295" s="41"/>
      <c r="I295" s="142"/>
      <c r="J295" s="134"/>
      <c r="K295" s="214"/>
    </row>
    <row r="296" ht="22.5" customHeight="1">
      <c r="A296" s="212"/>
      <c r="B296" s="213"/>
      <c r="C296" s="213"/>
      <c r="D296" s="213"/>
      <c r="E296" s="213"/>
      <c r="F296" s="214"/>
      <c r="G296" s="143"/>
      <c r="H296" s="37"/>
      <c r="I296" s="144"/>
      <c r="J296" s="133"/>
      <c r="K296" s="214"/>
    </row>
    <row r="297" ht="22.5" customHeight="1">
      <c r="A297" s="212"/>
      <c r="B297" s="213"/>
      <c r="C297" s="213"/>
      <c r="D297" s="213"/>
      <c r="E297" s="213"/>
      <c r="F297" s="214"/>
      <c r="G297" s="141"/>
      <c r="H297" s="41"/>
      <c r="I297" s="142"/>
      <c r="J297" s="134"/>
      <c r="K297" s="214"/>
    </row>
    <row r="298" ht="22.5" customHeight="1">
      <c r="A298" s="212"/>
      <c r="B298" s="213"/>
      <c r="C298" s="213"/>
      <c r="D298" s="213"/>
      <c r="E298" s="213"/>
      <c r="F298" s="214"/>
      <c r="G298" s="143"/>
      <c r="H298" s="37"/>
      <c r="I298" s="144"/>
      <c r="J298" s="133"/>
      <c r="K298" s="214"/>
    </row>
    <row r="299" ht="22.5" customHeight="1">
      <c r="A299" s="212"/>
      <c r="B299" s="213"/>
      <c r="C299" s="213"/>
      <c r="D299" s="213"/>
      <c r="E299" s="213"/>
      <c r="F299" s="214"/>
      <c r="G299" s="141"/>
      <c r="H299" s="41"/>
      <c r="I299" s="142"/>
      <c r="J299" s="134"/>
      <c r="K299" s="214"/>
    </row>
    <row r="300" ht="22.5" customHeight="1">
      <c r="A300" s="212"/>
      <c r="B300" s="213"/>
      <c r="C300" s="213"/>
      <c r="D300" s="213"/>
      <c r="E300" s="213"/>
      <c r="F300" s="214"/>
      <c r="G300" s="143"/>
      <c r="H300" s="37"/>
      <c r="I300" s="144"/>
      <c r="J300" s="133"/>
      <c r="K300" s="214"/>
    </row>
    <row r="301" ht="22.5" customHeight="1">
      <c r="A301" s="212"/>
      <c r="B301" s="213"/>
      <c r="C301" s="213"/>
      <c r="D301" s="213"/>
      <c r="E301" s="213"/>
      <c r="F301" s="214"/>
      <c r="G301" s="141"/>
      <c r="H301" s="41"/>
      <c r="I301" s="142"/>
      <c r="J301" s="134"/>
      <c r="K301" s="214"/>
    </row>
    <row r="302" ht="22.5" customHeight="1">
      <c r="A302" s="212"/>
      <c r="B302" s="213"/>
      <c r="C302" s="213"/>
      <c r="D302" s="213"/>
      <c r="E302" s="213"/>
      <c r="F302" s="214"/>
      <c r="G302" s="143"/>
      <c r="H302" s="37"/>
      <c r="I302" s="144"/>
      <c r="J302" s="133"/>
      <c r="K302" s="214"/>
    </row>
    <row r="303" ht="22.5" customHeight="1">
      <c r="A303" s="212"/>
      <c r="B303" s="213"/>
      <c r="C303" s="213"/>
      <c r="D303" s="213"/>
      <c r="E303" s="213"/>
      <c r="F303" s="214"/>
      <c r="G303" s="141"/>
      <c r="H303" s="41"/>
      <c r="I303" s="142"/>
      <c r="J303" s="134"/>
      <c r="K303" s="214"/>
    </row>
    <row r="304" ht="22.5" customHeight="1">
      <c r="A304" s="212"/>
      <c r="B304" s="213"/>
      <c r="C304" s="213"/>
      <c r="D304" s="213"/>
      <c r="E304" s="213"/>
      <c r="F304" s="214"/>
      <c r="G304" s="143"/>
      <c r="H304" s="37"/>
      <c r="I304" s="144"/>
      <c r="J304" s="133"/>
      <c r="K304" s="214"/>
    </row>
    <row r="305" ht="22.5" customHeight="1">
      <c r="A305" s="212"/>
      <c r="B305" s="213"/>
      <c r="C305" s="213"/>
      <c r="D305" s="213"/>
      <c r="E305" s="213"/>
      <c r="F305" s="214"/>
      <c r="G305" s="141"/>
      <c r="H305" s="41"/>
      <c r="I305" s="142"/>
      <c r="J305" s="134"/>
      <c r="K305" s="214"/>
    </row>
    <row r="306" ht="22.5" customHeight="1">
      <c r="A306" s="212"/>
      <c r="B306" s="213"/>
      <c r="C306" s="213"/>
      <c r="D306" s="213"/>
      <c r="E306" s="213"/>
      <c r="F306" s="214"/>
      <c r="G306" s="143"/>
      <c r="H306" s="37"/>
      <c r="I306" s="144"/>
      <c r="J306" s="133"/>
      <c r="K306" s="214"/>
    </row>
    <row r="307" ht="22.5" customHeight="1">
      <c r="A307" s="212"/>
      <c r="B307" s="213"/>
      <c r="C307" s="213"/>
      <c r="D307" s="213"/>
      <c r="E307" s="213"/>
      <c r="F307" s="214"/>
      <c r="G307" s="141"/>
      <c r="H307" s="41"/>
      <c r="I307" s="142"/>
      <c r="J307" s="134"/>
      <c r="K307" s="214"/>
    </row>
    <row r="308" ht="22.5" customHeight="1">
      <c r="A308" s="212"/>
      <c r="B308" s="213"/>
      <c r="C308" s="213"/>
      <c r="D308" s="213"/>
      <c r="E308" s="213"/>
      <c r="F308" s="214"/>
      <c r="G308" s="143"/>
      <c r="H308" s="37"/>
      <c r="I308" s="144"/>
      <c r="J308" s="133"/>
      <c r="K308" s="214"/>
    </row>
    <row r="309" ht="22.5" customHeight="1">
      <c r="A309" s="212"/>
      <c r="B309" s="213"/>
      <c r="C309" s="213"/>
      <c r="D309" s="213"/>
      <c r="E309" s="213"/>
      <c r="F309" s="214"/>
      <c r="G309" s="141"/>
      <c r="H309" s="41"/>
      <c r="I309" s="142"/>
      <c r="J309" s="134"/>
      <c r="K309" s="214"/>
    </row>
    <row r="310" ht="22.5" customHeight="1">
      <c r="A310" s="212"/>
      <c r="B310" s="213"/>
      <c r="C310" s="213"/>
      <c r="D310" s="213"/>
      <c r="E310" s="213"/>
      <c r="F310" s="214"/>
      <c r="G310" s="143"/>
      <c r="H310" s="37"/>
      <c r="I310" s="144"/>
      <c r="J310" s="133"/>
      <c r="K310" s="214"/>
    </row>
    <row r="311" ht="22.5" customHeight="1">
      <c r="A311" s="212"/>
      <c r="B311" s="213"/>
      <c r="C311" s="213"/>
      <c r="D311" s="213"/>
      <c r="E311" s="213"/>
      <c r="F311" s="214"/>
      <c r="G311" s="141"/>
      <c r="H311" s="41"/>
      <c r="I311" s="142"/>
      <c r="J311" s="134"/>
      <c r="K311" s="214"/>
    </row>
    <row r="312" ht="22.5" customHeight="1">
      <c r="A312" s="212"/>
      <c r="B312" s="213"/>
      <c r="C312" s="213"/>
      <c r="D312" s="213"/>
      <c r="E312" s="213"/>
      <c r="F312" s="214"/>
      <c r="G312" s="143"/>
      <c r="H312" s="37"/>
      <c r="I312" s="144"/>
      <c r="J312" s="133"/>
      <c r="K312" s="214"/>
    </row>
    <row r="313" ht="22.5" customHeight="1">
      <c r="A313" s="212"/>
      <c r="B313" s="213"/>
      <c r="C313" s="213"/>
      <c r="D313" s="213"/>
      <c r="E313" s="213"/>
      <c r="F313" s="214"/>
      <c r="G313" s="141"/>
      <c r="H313" s="41"/>
      <c r="I313" s="142"/>
      <c r="J313" s="134"/>
      <c r="K313" s="214"/>
    </row>
    <row r="314" ht="22.5" customHeight="1">
      <c r="A314" s="212"/>
      <c r="B314" s="213"/>
      <c r="C314" s="213"/>
      <c r="D314" s="213"/>
      <c r="E314" s="213"/>
      <c r="F314" s="214"/>
      <c r="G314" s="143"/>
      <c r="H314" s="37"/>
      <c r="I314" s="144"/>
      <c r="J314" s="133"/>
      <c r="K314" s="214"/>
    </row>
    <row r="315" ht="22.5" customHeight="1">
      <c r="A315" s="212"/>
      <c r="B315" s="213"/>
      <c r="C315" s="213"/>
      <c r="D315" s="213"/>
      <c r="E315" s="213"/>
      <c r="F315" s="214"/>
      <c r="G315" s="141"/>
      <c r="H315" s="41"/>
      <c r="I315" s="142"/>
      <c r="J315" s="134"/>
      <c r="K315" s="214"/>
    </row>
    <row r="316" ht="22.5" customHeight="1">
      <c r="A316" s="212"/>
      <c r="B316" s="213"/>
      <c r="C316" s="213"/>
      <c r="D316" s="213"/>
      <c r="E316" s="213"/>
      <c r="F316" s="214"/>
      <c r="G316" s="143"/>
      <c r="H316" s="37"/>
      <c r="I316" s="144"/>
      <c r="J316" s="133"/>
      <c r="K316" s="214"/>
    </row>
    <row r="317" ht="22.5" customHeight="1">
      <c r="A317" s="212"/>
      <c r="B317" s="213"/>
      <c r="C317" s="213"/>
      <c r="D317" s="213"/>
      <c r="E317" s="213"/>
      <c r="F317" s="214"/>
      <c r="G317" s="141"/>
      <c r="H317" s="41"/>
      <c r="I317" s="142"/>
      <c r="J317" s="134"/>
      <c r="K317" s="214"/>
    </row>
    <row r="318" ht="22.5" customHeight="1">
      <c r="A318" s="212"/>
      <c r="B318" s="213"/>
      <c r="C318" s="213"/>
      <c r="D318" s="213"/>
      <c r="E318" s="213"/>
      <c r="F318" s="214"/>
      <c r="G318" s="143"/>
      <c r="H318" s="37"/>
      <c r="I318" s="144"/>
      <c r="J318" s="133"/>
      <c r="K318" s="214"/>
    </row>
    <row r="319" ht="22.5" customHeight="1">
      <c r="A319" s="212"/>
      <c r="B319" s="213"/>
      <c r="C319" s="213"/>
      <c r="D319" s="213"/>
      <c r="E319" s="213"/>
      <c r="F319" s="214"/>
      <c r="G319" s="141"/>
      <c r="H319" s="41"/>
      <c r="I319" s="142"/>
      <c r="J319" s="134"/>
      <c r="K319" s="214"/>
    </row>
    <row r="320" ht="22.5" customHeight="1">
      <c r="A320" s="212"/>
      <c r="B320" s="213"/>
      <c r="C320" s="213"/>
      <c r="D320" s="213"/>
      <c r="E320" s="213"/>
      <c r="F320" s="214"/>
      <c r="G320" s="143"/>
      <c r="H320" s="37"/>
      <c r="I320" s="144"/>
      <c r="J320" s="133"/>
      <c r="K320" s="214"/>
    </row>
    <row r="321" ht="22.5" customHeight="1">
      <c r="A321" s="212"/>
      <c r="B321" s="213"/>
      <c r="C321" s="213"/>
      <c r="D321" s="213"/>
      <c r="E321" s="213"/>
      <c r="F321" s="214"/>
      <c r="G321" s="141"/>
      <c r="H321" s="41"/>
      <c r="I321" s="142"/>
      <c r="J321" s="134"/>
      <c r="K321" s="214"/>
    </row>
    <row r="322" ht="22.5" customHeight="1">
      <c r="A322" s="212"/>
      <c r="B322" s="213"/>
      <c r="C322" s="213"/>
      <c r="D322" s="213"/>
      <c r="E322" s="213"/>
      <c r="F322" s="214"/>
      <c r="G322" s="143"/>
      <c r="H322" s="37"/>
      <c r="I322" s="144"/>
      <c r="J322" s="133"/>
      <c r="K322" s="214"/>
    </row>
    <row r="323" ht="22.5" customHeight="1">
      <c r="A323" s="212"/>
      <c r="B323" s="213"/>
      <c r="C323" s="213"/>
      <c r="D323" s="213"/>
      <c r="E323" s="213"/>
      <c r="F323" s="214"/>
      <c r="G323" s="141"/>
      <c r="H323" s="41"/>
      <c r="I323" s="142"/>
      <c r="J323" s="134"/>
      <c r="K323" s="214"/>
    </row>
    <row r="324" ht="22.5" customHeight="1">
      <c r="A324" s="212"/>
      <c r="B324" s="213"/>
      <c r="C324" s="213"/>
      <c r="D324" s="213"/>
      <c r="E324" s="213"/>
      <c r="F324" s="214"/>
      <c r="G324" s="143"/>
      <c r="H324" s="37"/>
      <c r="I324" s="144"/>
      <c r="J324" s="133"/>
      <c r="K324" s="214"/>
    </row>
    <row r="325" ht="22.5" customHeight="1">
      <c r="A325" s="212"/>
      <c r="B325" s="213"/>
      <c r="C325" s="213"/>
      <c r="D325" s="213"/>
      <c r="E325" s="213"/>
      <c r="F325" s="214"/>
      <c r="G325" s="141"/>
      <c r="H325" s="41"/>
      <c r="I325" s="142"/>
      <c r="J325" s="134"/>
      <c r="K325" s="214"/>
    </row>
    <row r="326" ht="22.5" customHeight="1">
      <c r="A326" s="212"/>
      <c r="B326" s="213"/>
      <c r="C326" s="213"/>
      <c r="D326" s="213"/>
      <c r="E326" s="213"/>
      <c r="F326" s="214"/>
      <c r="G326" s="143"/>
      <c r="H326" s="37"/>
      <c r="I326" s="144"/>
      <c r="J326" s="133"/>
      <c r="K326" s="214"/>
    </row>
    <row r="327" ht="22.5" customHeight="1">
      <c r="A327" s="212"/>
      <c r="B327" s="213"/>
      <c r="C327" s="213"/>
      <c r="D327" s="213"/>
      <c r="E327" s="213"/>
      <c r="F327" s="214"/>
      <c r="G327" s="141"/>
      <c r="H327" s="41"/>
      <c r="I327" s="142"/>
      <c r="J327" s="134"/>
      <c r="K327" s="214"/>
    </row>
    <row r="328" ht="22.5" customHeight="1">
      <c r="A328" s="212"/>
      <c r="B328" s="213"/>
      <c r="C328" s="213"/>
      <c r="D328" s="213"/>
      <c r="E328" s="213"/>
      <c r="F328" s="214"/>
      <c r="G328" s="143"/>
      <c r="H328" s="37"/>
      <c r="I328" s="144"/>
      <c r="J328" s="133"/>
      <c r="K328" s="214"/>
    </row>
    <row r="329" ht="22.5" customHeight="1">
      <c r="A329" s="212"/>
      <c r="B329" s="213"/>
      <c r="C329" s="213"/>
      <c r="D329" s="213"/>
      <c r="E329" s="213"/>
      <c r="F329" s="214"/>
      <c r="G329" s="141"/>
      <c r="H329" s="41"/>
      <c r="I329" s="142"/>
      <c r="J329" s="134"/>
      <c r="K329" s="214"/>
    </row>
    <row r="330" ht="22.5" customHeight="1">
      <c r="A330" s="212"/>
      <c r="B330" s="213"/>
      <c r="C330" s="213"/>
      <c r="D330" s="213"/>
      <c r="E330" s="213"/>
      <c r="F330" s="214"/>
      <c r="G330" s="143"/>
      <c r="H330" s="37"/>
      <c r="I330" s="144"/>
      <c r="J330" s="133"/>
      <c r="K330" s="214"/>
    </row>
    <row r="331" ht="22.5" customHeight="1">
      <c r="A331" s="212"/>
      <c r="B331" s="213"/>
      <c r="C331" s="213"/>
      <c r="D331" s="213"/>
      <c r="E331" s="213"/>
      <c r="F331" s="214"/>
      <c r="G331" s="141"/>
      <c r="H331" s="41"/>
      <c r="I331" s="142"/>
      <c r="J331" s="134"/>
      <c r="K331" s="214"/>
    </row>
    <row r="332" ht="22.5" customHeight="1">
      <c r="A332" s="212"/>
      <c r="B332" s="213"/>
      <c r="C332" s="213"/>
      <c r="D332" s="213"/>
      <c r="E332" s="213"/>
      <c r="F332" s="214"/>
      <c r="G332" s="143"/>
      <c r="H332" s="37"/>
      <c r="I332" s="144"/>
      <c r="J332" s="133"/>
      <c r="K332" s="214"/>
    </row>
    <row r="333" ht="22.5" customHeight="1">
      <c r="A333" s="212"/>
      <c r="B333" s="213"/>
      <c r="C333" s="213"/>
      <c r="D333" s="213"/>
      <c r="E333" s="213"/>
      <c r="F333" s="214"/>
      <c r="G333" s="141"/>
      <c r="H333" s="41"/>
      <c r="I333" s="142"/>
      <c r="J333" s="134"/>
      <c r="K333" s="214"/>
    </row>
    <row r="334" ht="22.5" customHeight="1">
      <c r="A334" s="212"/>
      <c r="B334" s="213"/>
      <c r="C334" s="213"/>
      <c r="D334" s="213"/>
      <c r="E334" s="213"/>
      <c r="F334" s="214"/>
      <c r="G334" s="143"/>
      <c r="H334" s="37"/>
      <c r="I334" s="144"/>
      <c r="J334" s="133"/>
      <c r="K334" s="214"/>
    </row>
    <row r="335" ht="22.5" customHeight="1">
      <c r="A335" s="212"/>
      <c r="B335" s="213"/>
      <c r="C335" s="213"/>
      <c r="D335" s="213"/>
      <c r="E335" s="213"/>
      <c r="F335" s="214"/>
      <c r="G335" s="141"/>
      <c r="H335" s="41"/>
      <c r="I335" s="142"/>
      <c r="J335" s="134"/>
      <c r="K335" s="214"/>
    </row>
    <row r="336" ht="22.5" customHeight="1">
      <c r="A336" s="212"/>
      <c r="B336" s="213"/>
      <c r="C336" s="213"/>
      <c r="D336" s="213"/>
      <c r="E336" s="213"/>
      <c r="F336" s="214"/>
      <c r="G336" s="143"/>
      <c r="H336" s="37"/>
      <c r="I336" s="144"/>
      <c r="J336" s="133"/>
      <c r="K336" s="214"/>
    </row>
    <row r="337" ht="22.5" customHeight="1">
      <c r="A337" s="212"/>
      <c r="B337" s="213"/>
      <c r="C337" s="213"/>
      <c r="D337" s="213"/>
      <c r="E337" s="213"/>
      <c r="F337" s="214"/>
      <c r="G337" s="141"/>
      <c r="H337" s="41"/>
      <c r="I337" s="142"/>
      <c r="J337" s="134"/>
      <c r="K337" s="214"/>
    </row>
    <row r="338" ht="22.5" customHeight="1">
      <c r="A338" s="212"/>
      <c r="B338" s="213"/>
      <c r="C338" s="213"/>
      <c r="D338" s="213"/>
      <c r="E338" s="213"/>
      <c r="F338" s="214"/>
      <c r="G338" s="143"/>
      <c r="H338" s="37"/>
      <c r="I338" s="144"/>
      <c r="J338" s="133"/>
      <c r="K338" s="214"/>
    </row>
    <row r="339" ht="22.5" customHeight="1">
      <c r="A339" s="212"/>
      <c r="B339" s="213"/>
      <c r="C339" s="213"/>
      <c r="D339" s="213"/>
      <c r="E339" s="213"/>
      <c r="F339" s="214"/>
      <c r="G339" s="141"/>
      <c r="H339" s="41"/>
      <c r="I339" s="142"/>
      <c r="J339" s="134"/>
      <c r="K339" s="214"/>
    </row>
    <row r="340" ht="22.5" customHeight="1">
      <c r="A340" s="212"/>
      <c r="B340" s="213"/>
      <c r="C340" s="213"/>
      <c r="D340" s="213"/>
      <c r="E340" s="213"/>
      <c r="F340" s="214"/>
      <c r="G340" s="143"/>
      <c r="H340" s="37"/>
      <c r="I340" s="144"/>
      <c r="J340" s="133"/>
      <c r="K340" s="214"/>
    </row>
    <row r="341" ht="22.5" customHeight="1">
      <c r="A341" s="212"/>
      <c r="B341" s="213"/>
      <c r="C341" s="213"/>
      <c r="D341" s="213"/>
      <c r="E341" s="213"/>
      <c r="F341" s="214"/>
      <c r="G341" s="141"/>
      <c r="H341" s="41"/>
      <c r="I341" s="142"/>
      <c r="J341" s="134"/>
      <c r="K341" s="214"/>
    </row>
    <row r="342" ht="22.5" customHeight="1">
      <c r="A342" s="212"/>
      <c r="B342" s="213"/>
      <c r="C342" s="213"/>
      <c r="D342" s="213"/>
      <c r="E342" s="213"/>
      <c r="F342" s="214"/>
      <c r="G342" s="143"/>
      <c r="H342" s="37"/>
      <c r="I342" s="144"/>
      <c r="J342" s="133"/>
      <c r="K342" s="214"/>
    </row>
    <row r="343" ht="22.5" customHeight="1">
      <c r="A343" s="212"/>
      <c r="B343" s="213"/>
      <c r="C343" s="213"/>
      <c r="D343" s="213"/>
      <c r="E343" s="213"/>
      <c r="F343" s="214"/>
      <c r="G343" s="141"/>
      <c r="H343" s="41"/>
      <c r="I343" s="142"/>
      <c r="J343" s="134"/>
      <c r="K343" s="214"/>
    </row>
    <row r="344" ht="22.5" customHeight="1">
      <c r="A344" s="212"/>
      <c r="B344" s="213"/>
      <c r="C344" s="213"/>
      <c r="D344" s="213"/>
      <c r="E344" s="213"/>
      <c r="F344" s="214"/>
      <c r="G344" s="143"/>
      <c r="H344" s="37"/>
      <c r="I344" s="144"/>
      <c r="J344" s="133"/>
      <c r="K344" s="214"/>
    </row>
    <row r="345" ht="22.5" customHeight="1">
      <c r="A345" s="212"/>
      <c r="B345" s="213"/>
      <c r="C345" s="213"/>
      <c r="D345" s="213"/>
      <c r="E345" s="213"/>
      <c r="F345" s="214"/>
      <c r="G345" s="141"/>
      <c r="H345" s="41"/>
      <c r="I345" s="142"/>
      <c r="J345" s="134"/>
      <c r="K345" s="214"/>
    </row>
    <row r="346" ht="22.5" customHeight="1">
      <c r="A346" s="212"/>
      <c r="B346" s="213"/>
      <c r="C346" s="213"/>
      <c r="D346" s="213"/>
      <c r="E346" s="213"/>
      <c r="F346" s="214"/>
      <c r="G346" s="143"/>
      <c r="H346" s="37"/>
      <c r="I346" s="144"/>
      <c r="J346" s="133"/>
      <c r="K346" s="214"/>
    </row>
    <row r="347" ht="22.5" customHeight="1">
      <c r="A347" s="212"/>
      <c r="B347" s="213"/>
      <c r="C347" s="213"/>
      <c r="D347" s="213"/>
      <c r="E347" s="213"/>
      <c r="F347" s="214"/>
      <c r="G347" s="141"/>
      <c r="H347" s="41"/>
      <c r="I347" s="142"/>
      <c r="J347" s="134"/>
      <c r="K347" s="214"/>
    </row>
    <row r="348" ht="22.5" customHeight="1">
      <c r="A348" s="212"/>
      <c r="B348" s="213"/>
      <c r="C348" s="213"/>
      <c r="D348" s="213"/>
      <c r="E348" s="213"/>
      <c r="F348" s="214"/>
      <c r="G348" s="143"/>
      <c r="H348" s="37"/>
      <c r="I348" s="144"/>
      <c r="J348" s="133"/>
      <c r="K348" s="214"/>
    </row>
    <row r="349" ht="22.5" customHeight="1">
      <c r="A349" s="212"/>
      <c r="B349" s="213"/>
      <c r="C349" s="213"/>
      <c r="D349" s="213"/>
      <c r="E349" s="213"/>
      <c r="F349" s="214"/>
      <c r="G349" s="141"/>
      <c r="H349" s="41"/>
      <c r="I349" s="142"/>
      <c r="J349" s="134"/>
      <c r="K349" s="214"/>
    </row>
    <row r="350" ht="22.5" customHeight="1">
      <c r="A350" s="212"/>
      <c r="B350" s="213"/>
      <c r="C350" s="213"/>
      <c r="D350" s="213"/>
      <c r="E350" s="213"/>
      <c r="F350" s="214"/>
      <c r="G350" s="143"/>
      <c r="H350" s="37"/>
      <c r="I350" s="144"/>
      <c r="J350" s="133"/>
      <c r="K350" s="214"/>
    </row>
    <row r="351" ht="22.5" customHeight="1">
      <c r="A351" s="212"/>
      <c r="B351" s="213"/>
      <c r="C351" s="213"/>
      <c r="D351" s="213"/>
      <c r="E351" s="213"/>
      <c r="F351" s="214"/>
      <c r="G351" s="141"/>
      <c r="H351" s="41"/>
      <c r="I351" s="142"/>
      <c r="J351" s="134"/>
      <c r="K351" s="214"/>
    </row>
    <row r="352" ht="22.5" customHeight="1">
      <c r="A352" s="212"/>
      <c r="B352" s="213"/>
      <c r="C352" s="213"/>
      <c r="D352" s="213"/>
      <c r="E352" s="213"/>
      <c r="F352" s="214"/>
      <c r="G352" s="143"/>
      <c r="H352" s="37"/>
      <c r="I352" s="144"/>
      <c r="J352" s="133"/>
      <c r="K352" s="214"/>
    </row>
    <row r="353" ht="22.5" customHeight="1">
      <c r="A353" s="212"/>
      <c r="B353" s="213"/>
      <c r="C353" s="213"/>
      <c r="D353" s="213"/>
      <c r="E353" s="213"/>
      <c r="F353" s="214"/>
      <c r="G353" s="141"/>
      <c r="H353" s="41"/>
      <c r="I353" s="142"/>
      <c r="J353" s="134"/>
      <c r="K353" s="214"/>
    </row>
    <row r="354" ht="22.5" customHeight="1">
      <c r="A354" s="212"/>
      <c r="B354" s="213"/>
      <c r="C354" s="213"/>
      <c r="D354" s="213"/>
      <c r="E354" s="213"/>
      <c r="F354" s="214"/>
      <c r="G354" s="143"/>
      <c r="H354" s="37"/>
      <c r="I354" s="144"/>
      <c r="J354" s="133"/>
      <c r="K354" s="214"/>
    </row>
    <row r="355" ht="22.5" customHeight="1">
      <c r="A355" s="212"/>
      <c r="B355" s="213"/>
      <c r="C355" s="213"/>
      <c r="D355" s="213"/>
      <c r="E355" s="213"/>
      <c r="F355" s="214"/>
      <c r="G355" s="141"/>
      <c r="H355" s="41"/>
      <c r="I355" s="142"/>
      <c r="J355" s="134"/>
      <c r="K355" s="214"/>
    </row>
    <row r="356" ht="22.5" customHeight="1">
      <c r="A356" s="212"/>
      <c r="B356" s="213"/>
      <c r="C356" s="213"/>
      <c r="D356" s="213"/>
      <c r="E356" s="213"/>
      <c r="F356" s="214"/>
      <c r="G356" s="143"/>
      <c r="H356" s="37"/>
      <c r="I356" s="144"/>
      <c r="J356" s="133"/>
      <c r="K356" s="214"/>
    </row>
    <row r="357" ht="22.5" customHeight="1">
      <c r="A357" s="212"/>
      <c r="B357" s="213"/>
      <c r="C357" s="213"/>
      <c r="D357" s="213"/>
      <c r="E357" s="213"/>
      <c r="F357" s="214"/>
      <c r="G357" s="141"/>
      <c r="H357" s="41"/>
      <c r="I357" s="142"/>
      <c r="J357" s="134"/>
      <c r="K357" s="214"/>
    </row>
    <row r="358" ht="22.5" customHeight="1">
      <c r="A358" s="212"/>
      <c r="B358" s="213"/>
      <c r="C358" s="213"/>
      <c r="D358" s="213"/>
      <c r="E358" s="213"/>
      <c r="F358" s="214"/>
      <c r="G358" s="143"/>
      <c r="H358" s="37"/>
      <c r="I358" s="144"/>
      <c r="J358" s="133"/>
      <c r="K358" s="214"/>
    </row>
    <row r="359" ht="22.5" customHeight="1">
      <c r="A359" s="212"/>
      <c r="B359" s="213"/>
      <c r="C359" s="213"/>
      <c r="D359" s="213"/>
      <c r="E359" s="213"/>
      <c r="F359" s="214"/>
      <c r="G359" s="141"/>
      <c r="H359" s="41"/>
      <c r="I359" s="142"/>
      <c r="J359" s="134"/>
      <c r="K359" s="214"/>
    </row>
    <row r="360" ht="22.5" customHeight="1">
      <c r="A360" s="212"/>
      <c r="B360" s="213"/>
      <c r="C360" s="213"/>
      <c r="D360" s="213"/>
      <c r="E360" s="213"/>
      <c r="F360" s="214"/>
      <c r="G360" s="143"/>
      <c r="H360" s="37"/>
      <c r="I360" s="144"/>
      <c r="J360" s="133"/>
      <c r="K360" s="214"/>
    </row>
    <row r="361" ht="22.5" customHeight="1">
      <c r="A361" s="212"/>
      <c r="B361" s="213"/>
      <c r="C361" s="213"/>
      <c r="D361" s="213"/>
      <c r="E361" s="213"/>
      <c r="F361" s="214"/>
      <c r="G361" s="141"/>
      <c r="H361" s="41"/>
      <c r="I361" s="142"/>
      <c r="J361" s="134"/>
      <c r="K361" s="214"/>
    </row>
    <row r="362" ht="22.5" customHeight="1">
      <c r="A362" s="212"/>
      <c r="B362" s="213"/>
      <c r="C362" s="213"/>
      <c r="D362" s="213"/>
      <c r="E362" s="213"/>
      <c r="F362" s="214"/>
      <c r="G362" s="143"/>
      <c r="H362" s="37"/>
      <c r="I362" s="144"/>
      <c r="J362" s="133"/>
      <c r="K362" s="214"/>
    </row>
    <row r="363" ht="22.5" customHeight="1">
      <c r="A363" s="212"/>
      <c r="B363" s="213"/>
      <c r="C363" s="213"/>
      <c r="D363" s="213"/>
      <c r="E363" s="213"/>
      <c r="F363" s="214"/>
      <c r="G363" s="141"/>
      <c r="H363" s="41"/>
      <c r="I363" s="142"/>
      <c r="J363" s="134"/>
      <c r="K363" s="214"/>
    </row>
    <row r="364" ht="22.5" customHeight="1">
      <c r="A364" s="212"/>
      <c r="B364" s="213"/>
      <c r="C364" s="213"/>
      <c r="D364" s="213"/>
      <c r="E364" s="213"/>
      <c r="F364" s="214"/>
      <c r="G364" s="143"/>
      <c r="H364" s="37"/>
      <c r="I364" s="144"/>
      <c r="J364" s="133"/>
      <c r="K364" s="214"/>
    </row>
    <row r="365" ht="22.5" customHeight="1">
      <c r="A365" s="212"/>
      <c r="B365" s="213"/>
      <c r="C365" s="213"/>
      <c r="D365" s="213"/>
      <c r="E365" s="213"/>
      <c r="F365" s="214"/>
      <c r="G365" s="141"/>
      <c r="H365" s="41"/>
      <c r="I365" s="142"/>
      <c r="J365" s="134"/>
      <c r="K365" s="214"/>
    </row>
    <row r="366" ht="22.5" customHeight="1">
      <c r="A366" s="212"/>
      <c r="B366" s="213"/>
      <c r="C366" s="213"/>
      <c r="D366" s="213"/>
      <c r="E366" s="213"/>
      <c r="F366" s="214"/>
      <c r="G366" s="143"/>
      <c r="H366" s="37"/>
      <c r="I366" s="144"/>
      <c r="J366" s="133"/>
      <c r="K366" s="214"/>
    </row>
    <row r="367" ht="22.5" customHeight="1">
      <c r="A367" s="212"/>
      <c r="B367" s="213"/>
      <c r="C367" s="213"/>
      <c r="D367" s="213"/>
      <c r="E367" s="213"/>
      <c r="F367" s="214"/>
      <c r="G367" s="141"/>
      <c r="H367" s="41"/>
      <c r="I367" s="142"/>
      <c r="J367" s="134"/>
      <c r="K367" s="214"/>
    </row>
    <row r="368" ht="22.5" customHeight="1">
      <c r="A368" s="212"/>
      <c r="B368" s="213"/>
      <c r="C368" s="213"/>
      <c r="D368" s="213"/>
      <c r="E368" s="213"/>
      <c r="F368" s="214"/>
      <c r="G368" s="143"/>
      <c r="H368" s="37"/>
      <c r="I368" s="144"/>
      <c r="J368" s="133"/>
      <c r="K368" s="214"/>
    </row>
    <row r="369" ht="22.5" customHeight="1">
      <c r="A369" s="212"/>
      <c r="B369" s="213"/>
      <c r="C369" s="213"/>
      <c r="D369" s="213"/>
      <c r="E369" s="213"/>
      <c r="F369" s="214"/>
      <c r="G369" s="141"/>
      <c r="H369" s="41"/>
      <c r="I369" s="142"/>
      <c r="J369" s="134"/>
      <c r="K369" s="214"/>
    </row>
    <row r="370" ht="22.5" customHeight="1">
      <c r="A370" s="212"/>
      <c r="B370" s="213"/>
      <c r="C370" s="213"/>
      <c r="D370" s="213"/>
      <c r="E370" s="213"/>
      <c r="F370" s="214"/>
      <c r="G370" s="143"/>
      <c r="H370" s="37"/>
      <c r="I370" s="144"/>
      <c r="J370" s="133"/>
      <c r="K370" s="214"/>
    </row>
    <row r="371" ht="22.5" customHeight="1">
      <c r="A371" s="212"/>
      <c r="B371" s="213"/>
      <c r="C371" s="213"/>
      <c r="D371" s="213"/>
      <c r="E371" s="213"/>
      <c r="F371" s="214"/>
      <c r="G371" s="141"/>
      <c r="H371" s="41"/>
      <c r="I371" s="142"/>
      <c r="J371" s="134"/>
      <c r="K371" s="214"/>
    </row>
    <row r="372" ht="22.5" customHeight="1">
      <c r="A372" s="212"/>
      <c r="B372" s="213"/>
      <c r="C372" s="213"/>
      <c r="D372" s="213"/>
      <c r="E372" s="213"/>
      <c r="F372" s="214"/>
      <c r="G372" s="143"/>
      <c r="H372" s="37"/>
      <c r="I372" s="144"/>
      <c r="J372" s="133"/>
      <c r="K372" s="214"/>
    </row>
    <row r="373" ht="22.5" customHeight="1">
      <c r="A373" s="212"/>
      <c r="B373" s="213"/>
      <c r="C373" s="213"/>
      <c r="D373" s="213"/>
      <c r="E373" s="213"/>
      <c r="F373" s="214"/>
      <c r="G373" s="141"/>
      <c r="H373" s="41"/>
      <c r="I373" s="142"/>
      <c r="J373" s="134"/>
      <c r="K373" s="214"/>
    </row>
    <row r="374" ht="22.5" customHeight="1">
      <c r="A374" s="212"/>
      <c r="B374" s="213"/>
      <c r="C374" s="213"/>
      <c r="D374" s="213"/>
      <c r="E374" s="213"/>
      <c r="F374" s="214"/>
      <c r="G374" s="143"/>
      <c r="H374" s="37"/>
      <c r="I374" s="144"/>
      <c r="J374" s="133"/>
      <c r="K374" s="214"/>
    </row>
    <row r="375" ht="22.5" customHeight="1">
      <c r="A375" s="212"/>
      <c r="B375" s="213"/>
      <c r="C375" s="213"/>
      <c r="D375" s="213"/>
      <c r="E375" s="213"/>
      <c r="F375" s="214"/>
      <c r="G375" s="141"/>
      <c r="H375" s="41"/>
      <c r="I375" s="142"/>
      <c r="J375" s="134"/>
      <c r="K375" s="214"/>
    </row>
    <row r="376" ht="22.5" customHeight="1">
      <c r="A376" s="212"/>
      <c r="B376" s="213"/>
      <c r="C376" s="213"/>
      <c r="D376" s="213"/>
      <c r="E376" s="213"/>
      <c r="F376" s="214"/>
      <c r="G376" s="143"/>
      <c r="H376" s="37"/>
      <c r="I376" s="144"/>
      <c r="J376" s="133"/>
      <c r="K376" s="214"/>
    </row>
    <row r="377" ht="22.5" customHeight="1">
      <c r="A377" s="212"/>
      <c r="B377" s="213"/>
      <c r="C377" s="213"/>
      <c r="D377" s="213"/>
      <c r="E377" s="213"/>
      <c r="F377" s="214"/>
      <c r="G377" s="141"/>
      <c r="H377" s="41"/>
      <c r="I377" s="142"/>
      <c r="J377" s="134"/>
      <c r="K377" s="214"/>
    </row>
    <row r="378" ht="22.5" customHeight="1">
      <c r="A378" s="212"/>
      <c r="B378" s="213"/>
      <c r="C378" s="213"/>
      <c r="D378" s="213"/>
      <c r="E378" s="213"/>
      <c r="F378" s="214"/>
      <c r="G378" s="143"/>
      <c r="H378" s="37"/>
      <c r="I378" s="144"/>
      <c r="J378" s="133"/>
      <c r="K378" s="214"/>
    </row>
    <row r="379" ht="22.5" customHeight="1">
      <c r="A379" s="212"/>
      <c r="B379" s="213"/>
      <c r="C379" s="213"/>
      <c r="D379" s="213"/>
      <c r="E379" s="213"/>
      <c r="F379" s="214"/>
      <c r="G379" s="141"/>
      <c r="H379" s="41"/>
      <c r="I379" s="142"/>
      <c r="J379" s="134"/>
      <c r="K379" s="214"/>
    </row>
    <row r="380" ht="22.5" customHeight="1">
      <c r="A380" s="212"/>
      <c r="B380" s="213"/>
      <c r="C380" s="213"/>
      <c r="D380" s="213"/>
      <c r="E380" s="213"/>
      <c r="F380" s="214"/>
      <c r="G380" s="143"/>
      <c r="H380" s="37"/>
      <c r="I380" s="144"/>
      <c r="J380" s="133"/>
      <c r="K380" s="214"/>
    </row>
    <row r="381" ht="22.5" customHeight="1">
      <c r="A381" s="212"/>
      <c r="B381" s="213"/>
      <c r="C381" s="213"/>
      <c r="D381" s="213"/>
      <c r="E381" s="213"/>
      <c r="F381" s="214"/>
      <c r="G381" s="141"/>
      <c r="H381" s="41"/>
      <c r="I381" s="142"/>
      <c r="J381" s="134"/>
      <c r="K381" s="214"/>
    </row>
    <row r="382" ht="22.5" customHeight="1">
      <c r="A382" s="212"/>
      <c r="B382" s="213"/>
      <c r="C382" s="213"/>
      <c r="D382" s="213"/>
      <c r="E382" s="213"/>
      <c r="F382" s="214"/>
      <c r="G382" s="143"/>
      <c r="H382" s="37"/>
      <c r="I382" s="144"/>
      <c r="J382" s="133"/>
      <c r="K382" s="214"/>
    </row>
    <row r="383" ht="22.5" customHeight="1">
      <c r="A383" s="212"/>
      <c r="B383" s="213"/>
      <c r="C383" s="213"/>
      <c r="D383" s="213"/>
      <c r="E383" s="213"/>
      <c r="F383" s="214"/>
      <c r="G383" s="141"/>
      <c r="H383" s="41"/>
      <c r="I383" s="142"/>
      <c r="J383" s="134"/>
      <c r="K383" s="214"/>
    </row>
    <row r="384" ht="22.5" customHeight="1">
      <c r="A384" s="212"/>
      <c r="B384" s="213"/>
      <c r="C384" s="213"/>
      <c r="D384" s="213"/>
      <c r="E384" s="213"/>
      <c r="F384" s="214"/>
      <c r="G384" s="143"/>
      <c r="H384" s="37"/>
      <c r="I384" s="144"/>
      <c r="J384" s="133"/>
      <c r="K384" s="214"/>
    </row>
    <row r="385" ht="22.5" customHeight="1">
      <c r="A385" s="212"/>
      <c r="B385" s="213"/>
      <c r="C385" s="213"/>
      <c r="D385" s="213"/>
      <c r="E385" s="213"/>
      <c r="F385" s="214"/>
      <c r="G385" s="141"/>
      <c r="H385" s="41"/>
      <c r="I385" s="142"/>
      <c r="J385" s="134"/>
      <c r="K385" s="214"/>
    </row>
    <row r="386" ht="22.5" customHeight="1">
      <c r="A386" s="212"/>
      <c r="B386" s="213"/>
      <c r="C386" s="213"/>
      <c r="D386" s="213"/>
      <c r="E386" s="213"/>
      <c r="F386" s="214"/>
      <c r="G386" s="143"/>
      <c r="H386" s="37"/>
      <c r="I386" s="144"/>
      <c r="J386" s="133"/>
      <c r="K386" s="214"/>
    </row>
    <row r="387" ht="22.5" customHeight="1">
      <c r="A387" s="212"/>
      <c r="B387" s="213"/>
      <c r="C387" s="213"/>
      <c r="D387" s="213"/>
      <c r="E387" s="213"/>
      <c r="F387" s="214"/>
      <c r="G387" s="141"/>
      <c r="H387" s="41"/>
      <c r="I387" s="142"/>
      <c r="J387" s="134"/>
      <c r="K387" s="214"/>
    </row>
    <row r="388" ht="22.5" customHeight="1">
      <c r="A388" s="212"/>
      <c r="B388" s="213"/>
      <c r="C388" s="213"/>
      <c r="D388" s="213"/>
      <c r="E388" s="213"/>
      <c r="F388" s="214"/>
      <c r="G388" s="143"/>
      <c r="H388" s="37"/>
      <c r="I388" s="144"/>
      <c r="J388" s="133"/>
      <c r="K388" s="214"/>
    </row>
    <row r="389" ht="22.5" customHeight="1">
      <c r="A389" s="212"/>
      <c r="B389" s="213"/>
      <c r="C389" s="213"/>
      <c r="D389" s="213"/>
      <c r="E389" s="213"/>
      <c r="F389" s="214"/>
      <c r="G389" s="141"/>
      <c r="H389" s="41"/>
      <c r="I389" s="142"/>
      <c r="J389" s="134"/>
      <c r="K389" s="214"/>
    </row>
    <row r="390" ht="22.5" customHeight="1">
      <c r="A390" s="212"/>
      <c r="B390" s="213"/>
      <c r="C390" s="213"/>
      <c r="D390" s="213"/>
      <c r="E390" s="213"/>
      <c r="F390" s="214"/>
      <c r="G390" s="143"/>
      <c r="H390" s="37"/>
      <c r="I390" s="144"/>
      <c r="J390" s="133"/>
      <c r="K390" s="214"/>
    </row>
    <row r="391" ht="22.5" customHeight="1">
      <c r="A391" s="212"/>
      <c r="B391" s="213"/>
      <c r="C391" s="213"/>
      <c r="D391" s="213"/>
      <c r="E391" s="213"/>
      <c r="F391" s="214"/>
      <c r="G391" s="141"/>
      <c r="H391" s="41"/>
      <c r="I391" s="142"/>
      <c r="J391" s="134"/>
      <c r="K391" s="214"/>
    </row>
    <row r="392" ht="22.5" customHeight="1">
      <c r="A392" s="212"/>
      <c r="B392" s="213"/>
      <c r="C392" s="213"/>
      <c r="D392" s="213"/>
      <c r="E392" s="213"/>
      <c r="F392" s="214"/>
      <c r="G392" s="143"/>
      <c r="H392" s="37"/>
      <c r="I392" s="144"/>
      <c r="J392" s="133"/>
      <c r="K392" s="214"/>
    </row>
    <row r="393" ht="22.5" customHeight="1">
      <c r="A393" s="212"/>
      <c r="B393" s="213"/>
      <c r="C393" s="213"/>
      <c r="D393" s="213"/>
      <c r="E393" s="213"/>
      <c r="F393" s="214"/>
      <c r="G393" s="141"/>
      <c r="H393" s="41"/>
      <c r="I393" s="142"/>
      <c r="J393" s="134"/>
      <c r="K393" s="214"/>
    </row>
    <row r="394" ht="22.5" customHeight="1">
      <c r="A394" s="212"/>
      <c r="B394" s="213"/>
      <c r="C394" s="213"/>
      <c r="D394" s="213"/>
      <c r="E394" s="213"/>
      <c r="F394" s="214"/>
      <c r="G394" s="143"/>
      <c r="H394" s="37"/>
      <c r="I394" s="144"/>
      <c r="J394" s="133"/>
      <c r="K394" s="214"/>
    </row>
    <row r="395" ht="22.5" customHeight="1">
      <c r="A395" s="212"/>
      <c r="B395" s="213"/>
      <c r="C395" s="213"/>
      <c r="D395" s="213"/>
      <c r="E395" s="213"/>
      <c r="F395" s="214"/>
      <c r="G395" s="141"/>
      <c r="H395" s="41"/>
      <c r="I395" s="142"/>
      <c r="J395" s="134"/>
      <c r="K395" s="214"/>
    </row>
    <row r="396" ht="22.5" customHeight="1">
      <c r="A396" s="212"/>
      <c r="B396" s="213"/>
      <c r="C396" s="213"/>
      <c r="D396" s="213"/>
      <c r="E396" s="213"/>
      <c r="F396" s="214"/>
      <c r="G396" s="143"/>
      <c r="H396" s="37"/>
      <c r="I396" s="144"/>
      <c r="J396" s="133"/>
      <c r="K396" s="214"/>
    </row>
    <row r="397" ht="22.5" customHeight="1">
      <c r="A397" s="212"/>
      <c r="B397" s="213"/>
      <c r="C397" s="213"/>
      <c r="D397" s="213"/>
      <c r="E397" s="213"/>
      <c r="F397" s="214"/>
      <c r="G397" s="141"/>
      <c r="H397" s="41"/>
      <c r="I397" s="142"/>
      <c r="J397" s="134"/>
      <c r="K397" s="214"/>
    </row>
    <row r="398" ht="22.5" customHeight="1">
      <c r="A398" s="212"/>
      <c r="B398" s="213"/>
      <c r="C398" s="213"/>
      <c r="D398" s="213"/>
      <c r="E398" s="213"/>
      <c r="F398" s="214"/>
      <c r="G398" s="143"/>
      <c r="H398" s="37"/>
      <c r="I398" s="144"/>
      <c r="J398" s="133"/>
      <c r="K398" s="214"/>
    </row>
    <row r="399" ht="22.5" customHeight="1">
      <c r="A399" s="212"/>
      <c r="B399" s="213"/>
      <c r="C399" s="213"/>
      <c r="D399" s="213"/>
      <c r="E399" s="213"/>
      <c r="F399" s="214"/>
      <c r="G399" s="141"/>
      <c r="H399" s="41"/>
      <c r="I399" s="142"/>
      <c r="J399" s="134"/>
      <c r="K399" s="214"/>
    </row>
    <row r="400" ht="22.5" customHeight="1">
      <c r="A400" s="212"/>
      <c r="B400" s="213"/>
      <c r="C400" s="213"/>
      <c r="D400" s="213"/>
      <c r="E400" s="213"/>
      <c r="F400" s="214"/>
      <c r="G400" s="143"/>
      <c r="H400" s="37"/>
      <c r="I400" s="144"/>
      <c r="J400" s="133"/>
      <c r="K400" s="214"/>
    </row>
    <row r="401" ht="22.5" customHeight="1">
      <c r="A401" s="212"/>
      <c r="B401" s="213"/>
      <c r="C401" s="213"/>
      <c r="D401" s="213"/>
      <c r="E401" s="213"/>
      <c r="F401" s="214"/>
      <c r="G401" s="141"/>
      <c r="H401" s="41"/>
      <c r="I401" s="142"/>
      <c r="J401" s="134"/>
      <c r="K401" s="214"/>
    </row>
    <row r="402" ht="22.5" customHeight="1">
      <c r="A402" s="212"/>
      <c r="B402" s="213"/>
      <c r="C402" s="213"/>
      <c r="D402" s="213"/>
      <c r="E402" s="213"/>
      <c r="F402" s="214"/>
      <c r="G402" s="143"/>
      <c r="H402" s="37"/>
      <c r="I402" s="144"/>
      <c r="J402" s="133"/>
      <c r="K402" s="214"/>
    </row>
    <row r="403" ht="22.5" customHeight="1">
      <c r="A403" s="212"/>
      <c r="B403" s="213"/>
      <c r="C403" s="213"/>
      <c r="D403" s="213"/>
      <c r="E403" s="213"/>
      <c r="F403" s="214"/>
      <c r="G403" s="141"/>
      <c r="H403" s="41"/>
      <c r="I403" s="142"/>
      <c r="J403" s="134"/>
      <c r="K403" s="214"/>
    </row>
    <row r="404" ht="22.5" customHeight="1">
      <c r="A404" s="212"/>
      <c r="B404" s="213"/>
      <c r="C404" s="213"/>
      <c r="D404" s="213"/>
      <c r="E404" s="213"/>
      <c r="F404" s="214"/>
      <c r="G404" s="143"/>
      <c r="H404" s="37"/>
      <c r="I404" s="144"/>
      <c r="J404" s="133"/>
      <c r="K404" s="214"/>
    </row>
    <row r="405" ht="22.5" customHeight="1">
      <c r="A405" s="212"/>
      <c r="B405" s="213"/>
      <c r="C405" s="213"/>
      <c r="D405" s="213"/>
      <c r="E405" s="213"/>
      <c r="F405" s="214"/>
      <c r="G405" s="141"/>
      <c r="H405" s="41"/>
      <c r="I405" s="142"/>
      <c r="J405" s="134"/>
      <c r="K405" s="214"/>
    </row>
    <row r="406" ht="22.5" customHeight="1">
      <c r="A406" s="212"/>
      <c r="B406" s="213"/>
      <c r="C406" s="213"/>
      <c r="D406" s="213"/>
      <c r="E406" s="213"/>
      <c r="F406" s="214"/>
      <c r="G406" s="143"/>
      <c r="H406" s="37"/>
      <c r="I406" s="144"/>
      <c r="J406" s="133"/>
      <c r="K406" s="214"/>
    </row>
    <row r="407" ht="22.5" customHeight="1">
      <c r="A407" s="212"/>
      <c r="B407" s="213"/>
      <c r="C407" s="213"/>
      <c r="D407" s="213"/>
      <c r="E407" s="213"/>
      <c r="F407" s="214"/>
      <c r="G407" s="141"/>
      <c r="H407" s="41"/>
      <c r="I407" s="142"/>
      <c r="J407" s="134"/>
      <c r="K407" s="214"/>
    </row>
    <row r="408" ht="22.5" customHeight="1">
      <c r="A408" s="212"/>
      <c r="B408" s="213"/>
      <c r="C408" s="213"/>
      <c r="D408" s="213"/>
      <c r="E408" s="213"/>
      <c r="F408" s="214"/>
      <c r="G408" s="143"/>
      <c r="H408" s="37"/>
      <c r="I408" s="144"/>
      <c r="J408" s="133"/>
      <c r="K408" s="214"/>
    </row>
    <row r="409" ht="22.5" customHeight="1">
      <c r="A409" s="212"/>
      <c r="B409" s="213"/>
      <c r="C409" s="213"/>
      <c r="D409" s="213"/>
      <c r="E409" s="213"/>
      <c r="F409" s="214"/>
      <c r="G409" s="141"/>
      <c r="H409" s="41"/>
      <c r="I409" s="142"/>
      <c r="J409" s="134"/>
      <c r="K409" s="214"/>
    </row>
    <row r="410" ht="22.5" customHeight="1">
      <c r="A410" s="212"/>
      <c r="B410" s="213"/>
      <c r="C410" s="213"/>
      <c r="D410" s="213"/>
      <c r="E410" s="213"/>
      <c r="F410" s="214"/>
      <c r="G410" s="143"/>
      <c r="H410" s="37"/>
      <c r="I410" s="144"/>
      <c r="J410" s="133"/>
      <c r="K410" s="214"/>
    </row>
    <row r="411" ht="22.5" customHeight="1">
      <c r="A411" s="212"/>
      <c r="B411" s="213"/>
      <c r="C411" s="213"/>
      <c r="D411" s="213"/>
      <c r="E411" s="213"/>
      <c r="F411" s="214"/>
      <c r="G411" s="141"/>
      <c r="H411" s="41"/>
      <c r="I411" s="142"/>
      <c r="J411" s="134"/>
      <c r="K411" s="214"/>
    </row>
    <row r="412" ht="22.5" customHeight="1">
      <c r="A412" s="212"/>
      <c r="B412" s="213"/>
      <c r="C412" s="213"/>
      <c r="D412" s="213"/>
      <c r="E412" s="213"/>
      <c r="F412" s="214"/>
      <c r="G412" s="143"/>
      <c r="H412" s="37"/>
      <c r="I412" s="144"/>
      <c r="J412" s="133"/>
      <c r="K412" s="214"/>
    </row>
    <row r="413" ht="22.5" customHeight="1">
      <c r="A413" s="212"/>
      <c r="B413" s="213"/>
      <c r="C413" s="213"/>
      <c r="D413" s="213"/>
      <c r="E413" s="213"/>
      <c r="F413" s="214"/>
      <c r="G413" s="141"/>
      <c r="H413" s="41"/>
      <c r="I413" s="142"/>
      <c r="J413" s="134"/>
      <c r="K413" s="214"/>
    </row>
    <row r="414" ht="22.5" customHeight="1">
      <c r="A414" s="212"/>
      <c r="B414" s="213"/>
      <c r="C414" s="213"/>
      <c r="D414" s="213"/>
      <c r="E414" s="213"/>
      <c r="F414" s="214"/>
      <c r="G414" s="143"/>
      <c r="H414" s="37"/>
      <c r="I414" s="144"/>
      <c r="J414" s="133"/>
      <c r="K414" s="214"/>
    </row>
    <row r="415" ht="22.5" customHeight="1">
      <c r="A415" s="212"/>
      <c r="B415" s="213"/>
      <c r="C415" s="213"/>
      <c r="D415" s="213"/>
      <c r="E415" s="213"/>
      <c r="F415" s="214"/>
      <c r="G415" s="141"/>
      <c r="H415" s="41"/>
      <c r="I415" s="142"/>
      <c r="J415" s="134"/>
      <c r="K415" s="214"/>
    </row>
    <row r="416" ht="22.5" customHeight="1">
      <c r="A416" s="212"/>
      <c r="B416" s="213"/>
      <c r="C416" s="213"/>
      <c r="D416" s="213"/>
      <c r="E416" s="213"/>
      <c r="F416" s="214"/>
      <c r="G416" s="143"/>
      <c r="H416" s="37"/>
      <c r="I416" s="144"/>
      <c r="J416" s="133"/>
      <c r="K416" s="214"/>
    </row>
    <row r="417" ht="22.5" customHeight="1">
      <c r="A417" s="212"/>
      <c r="B417" s="213"/>
      <c r="C417" s="213"/>
      <c r="D417" s="213"/>
      <c r="E417" s="213"/>
      <c r="F417" s="214"/>
      <c r="G417" s="141"/>
      <c r="H417" s="41"/>
      <c r="I417" s="142"/>
      <c r="J417" s="134"/>
      <c r="K417" s="214"/>
    </row>
    <row r="418" ht="22.5" customHeight="1">
      <c r="A418" s="212"/>
      <c r="B418" s="213"/>
      <c r="C418" s="213"/>
      <c r="D418" s="213"/>
      <c r="E418" s="213"/>
      <c r="F418" s="214"/>
      <c r="G418" s="143"/>
      <c r="H418" s="37"/>
      <c r="I418" s="144"/>
      <c r="J418" s="133"/>
      <c r="K418" s="214"/>
    </row>
    <row r="419" ht="22.5" customHeight="1">
      <c r="A419" s="212"/>
      <c r="B419" s="213"/>
      <c r="C419" s="213"/>
      <c r="D419" s="213"/>
      <c r="E419" s="213"/>
      <c r="F419" s="214"/>
      <c r="G419" s="141"/>
      <c r="H419" s="41"/>
      <c r="I419" s="142"/>
      <c r="J419" s="134"/>
      <c r="K419" s="214"/>
    </row>
    <row r="420" ht="22.5" customHeight="1">
      <c r="A420" s="212"/>
      <c r="B420" s="213"/>
      <c r="C420" s="213"/>
      <c r="D420" s="213"/>
      <c r="E420" s="213"/>
      <c r="F420" s="214"/>
      <c r="G420" s="143"/>
      <c r="H420" s="37"/>
      <c r="I420" s="144"/>
      <c r="J420" s="133"/>
      <c r="K420" s="214"/>
    </row>
    <row r="421" ht="22.5" customHeight="1">
      <c r="A421" s="212"/>
      <c r="B421" s="213"/>
      <c r="C421" s="213"/>
      <c r="D421" s="213"/>
      <c r="E421" s="213"/>
      <c r="F421" s="214"/>
      <c r="G421" s="141"/>
      <c r="H421" s="41"/>
      <c r="I421" s="142"/>
      <c r="J421" s="134"/>
      <c r="K421" s="214"/>
    </row>
    <row r="422" ht="22.5" customHeight="1">
      <c r="A422" s="212"/>
      <c r="B422" s="213"/>
      <c r="C422" s="213"/>
      <c r="D422" s="213"/>
      <c r="E422" s="213"/>
      <c r="F422" s="214"/>
      <c r="G422" s="143"/>
      <c r="H422" s="37"/>
      <c r="I422" s="144"/>
      <c r="J422" s="133"/>
      <c r="K422" s="214"/>
    </row>
    <row r="423" ht="22.5" customHeight="1">
      <c r="A423" s="212"/>
      <c r="B423" s="213"/>
      <c r="C423" s="213"/>
      <c r="D423" s="213"/>
      <c r="E423" s="213"/>
      <c r="F423" s="214"/>
      <c r="G423" s="141"/>
      <c r="H423" s="41"/>
      <c r="I423" s="142"/>
      <c r="J423" s="134"/>
      <c r="K423" s="214"/>
    </row>
    <row r="424" ht="22.5" customHeight="1">
      <c r="A424" s="212"/>
      <c r="B424" s="213"/>
      <c r="C424" s="213"/>
      <c r="D424" s="213"/>
      <c r="E424" s="213"/>
      <c r="F424" s="214"/>
      <c r="G424" s="143"/>
      <c r="H424" s="37"/>
      <c r="I424" s="144"/>
      <c r="J424" s="133"/>
      <c r="K424" s="214"/>
    </row>
    <row r="425" ht="22.5" customHeight="1">
      <c r="A425" s="212"/>
      <c r="B425" s="213"/>
      <c r="C425" s="213"/>
      <c r="D425" s="213"/>
      <c r="E425" s="213"/>
      <c r="F425" s="214"/>
      <c r="G425" s="141"/>
      <c r="H425" s="41"/>
      <c r="I425" s="142"/>
      <c r="J425" s="134"/>
      <c r="K425" s="214"/>
    </row>
    <row r="426" ht="22.5" customHeight="1">
      <c r="A426" s="212"/>
      <c r="B426" s="213"/>
      <c r="C426" s="213"/>
      <c r="D426" s="213"/>
      <c r="E426" s="213"/>
      <c r="F426" s="214"/>
      <c r="G426" s="143"/>
      <c r="H426" s="37"/>
      <c r="I426" s="144"/>
      <c r="J426" s="133"/>
      <c r="K426" s="214"/>
    </row>
    <row r="427" ht="22.5" customHeight="1">
      <c r="A427" s="212"/>
      <c r="B427" s="213"/>
      <c r="C427" s="213"/>
      <c r="D427" s="213"/>
      <c r="E427" s="213"/>
      <c r="F427" s="214"/>
      <c r="G427" s="141"/>
      <c r="H427" s="41"/>
      <c r="I427" s="142"/>
      <c r="J427" s="134"/>
      <c r="K427" s="214"/>
    </row>
    <row r="428" ht="22.5" customHeight="1">
      <c r="A428" s="212"/>
      <c r="B428" s="213"/>
      <c r="C428" s="213"/>
      <c r="D428" s="213"/>
      <c r="E428" s="213"/>
      <c r="F428" s="214"/>
      <c r="G428" s="143"/>
      <c r="H428" s="37"/>
      <c r="I428" s="144"/>
      <c r="J428" s="133"/>
      <c r="K428" s="214"/>
    </row>
    <row r="429" ht="22.5" customHeight="1">
      <c r="A429" s="212"/>
      <c r="B429" s="213"/>
      <c r="C429" s="213"/>
      <c r="D429" s="213"/>
      <c r="E429" s="213"/>
      <c r="F429" s="214"/>
      <c r="G429" s="141"/>
      <c r="H429" s="41"/>
      <c r="I429" s="142"/>
      <c r="J429" s="134"/>
      <c r="K429" s="214"/>
    </row>
    <row r="430" ht="22.5" customHeight="1">
      <c r="A430" s="212"/>
      <c r="B430" s="213"/>
      <c r="C430" s="213"/>
      <c r="D430" s="213"/>
      <c r="E430" s="213"/>
      <c r="F430" s="214"/>
      <c r="G430" s="143"/>
      <c r="H430" s="37"/>
      <c r="I430" s="144"/>
      <c r="J430" s="133"/>
      <c r="K430" s="214"/>
    </row>
    <row r="431" ht="22.5" customHeight="1">
      <c r="A431" s="212"/>
      <c r="B431" s="213"/>
      <c r="C431" s="213"/>
      <c r="D431" s="213"/>
      <c r="E431" s="213"/>
      <c r="F431" s="214"/>
      <c r="G431" s="141"/>
      <c r="H431" s="41"/>
      <c r="I431" s="142"/>
      <c r="J431" s="134"/>
      <c r="K431" s="214"/>
    </row>
    <row r="432" ht="22.5" customHeight="1">
      <c r="A432" s="212"/>
      <c r="B432" s="213"/>
      <c r="C432" s="213"/>
      <c r="D432" s="213"/>
      <c r="E432" s="213"/>
      <c r="F432" s="214"/>
      <c r="G432" s="143"/>
      <c r="H432" s="37"/>
      <c r="I432" s="144"/>
      <c r="J432" s="133"/>
      <c r="K432" s="214"/>
    </row>
    <row r="433" ht="22.5" customHeight="1">
      <c r="A433" s="212"/>
      <c r="B433" s="213"/>
      <c r="C433" s="213"/>
      <c r="D433" s="213"/>
      <c r="E433" s="213"/>
      <c r="F433" s="214"/>
      <c r="G433" s="141"/>
      <c r="H433" s="41"/>
      <c r="I433" s="142"/>
      <c r="J433" s="134"/>
      <c r="K433" s="214"/>
    </row>
    <row r="434" ht="22.5" customHeight="1">
      <c r="A434" s="212"/>
      <c r="B434" s="213"/>
      <c r="C434" s="213"/>
      <c r="D434" s="213"/>
      <c r="E434" s="213"/>
      <c r="F434" s="214"/>
      <c r="G434" s="143"/>
      <c r="H434" s="37"/>
      <c r="I434" s="144"/>
      <c r="J434" s="133"/>
      <c r="K434" s="214"/>
    </row>
    <row r="435" ht="22.5" customHeight="1">
      <c r="A435" s="212"/>
      <c r="B435" s="213"/>
      <c r="C435" s="213"/>
      <c r="D435" s="213"/>
      <c r="E435" s="213"/>
      <c r="F435" s="214"/>
      <c r="G435" s="141"/>
      <c r="H435" s="41"/>
      <c r="I435" s="142"/>
      <c r="J435" s="134"/>
      <c r="K435" s="214"/>
    </row>
    <row r="436" ht="22.5" customHeight="1">
      <c r="A436" s="212"/>
      <c r="B436" s="213"/>
      <c r="C436" s="213"/>
      <c r="D436" s="213"/>
      <c r="E436" s="213"/>
      <c r="F436" s="214"/>
      <c r="G436" s="143"/>
      <c r="H436" s="37"/>
      <c r="I436" s="144"/>
      <c r="J436" s="133"/>
      <c r="K436" s="214"/>
    </row>
    <row r="437" ht="22.5" customHeight="1">
      <c r="A437" s="212"/>
      <c r="B437" s="213"/>
      <c r="C437" s="213"/>
      <c r="D437" s="213"/>
      <c r="E437" s="213"/>
      <c r="F437" s="214"/>
      <c r="G437" s="141"/>
      <c r="H437" s="41"/>
      <c r="I437" s="142"/>
      <c r="J437" s="134"/>
      <c r="K437" s="214"/>
    </row>
    <row r="438" ht="22.5" customHeight="1">
      <c r="A438" s="212"/>
      <c r="B438" s="213"/>
      <c r="C438" s="213"/>
      <c r="D438" s="213"/>
      <c r="E438" s="213"/>
      <c r="F438" s="214"/>
      <c r="G438" s="143"/>
      <c r="H438" s="37"/>
      <c r="I438" s="144"/>
      <c r="J438" s="133"/>
      <c r="K438" s="214"/>
    </row>
    <row r="439" ht="22.5" customHeight="1">
      <c r="A439" s="212"/>
      <c r="B439" s="213"/>
      <c r="C439" s="213"/>
      <c r="D439" s="213"/>
      <c r="E439" s="213"/>
      <c r="F439" s="214"/>
      <c r="G439" s="141"/>
      <c r="H439" s="41"/>
      <c r="I439" s="142"/>
      <c r="J439" s="134"/>
      <c r="K439" s="214"/>
    </row>
    <row r="440" ht="22.5" customHeight="1">
      <c r="A440" s="212"/>
      <c r="B440" s="213"/>
      <c r="C440" s="213"/>
      <c r="D440" s="213"/>
      <c r="E440" s="213"/>
      <c r="F440" s="214"/>
      <c r="G440" s="143"/>
      <c r="H440" s="37"/>
      <c r="I440" s="144"/>
      <c r="J440" s="133"/>
      <c r="K440" s="214"/>
    </row>
    <row r="441" ht="22.5" customHeight="1">
      <c r="A441" s="212"/>
      <c r="B441" s="213"/>
      <c r="C441" s="213"/>
      <c r="D441" s="213"/>
      <c r="E441" s="213"/>
      <c r="F441" s="214"/>
      <c r="G441" s="141"/>
      <c r="H441" s="41"/>
      <c r="I441" s="142"/>
      <c r="J441" s="134"/>
      <c r="K441" s="214"/>
    </row>
    <row r="442" ht="22.5" customHeight="1">
      <c r="A442" s="212"/>
      <c r="B442" s="213"/>
      <c r="C442" s="213"/>
      <c r="D442" s="213"/>
      <c r="E442" s="213"/>
      <c r="F442" s="214"/>
      <c r="G442" s="143"/>
      <c r="H442" s="37"/>
      <c r="I442" s="144"/>
      <c r="J442" s="133"/>
      <c r="K442" s="214"/>
    </row>
    <row r="443" ht="22.5" customHeight="1">
      <c r="A443" s="212"/>
      <c r="B443" s="213"/>
      <c r="C443" s="213"/>
      <c r="D443" s="213"/>
      <c r="E443" s="213"/>
      <c r="F443" s="214"/>
      <c r="G443" s="141"/>
      <c r="H443" s="41"/>
      <c r="I443" s="142"/>
      <c r="J443" s="134"/>
      <c r="K443" s="214"/>
    </row>
    <row r="444" ht="22.5" customHeight="1">
      <c r="A444" s="212"/>
      <c r="B444" s="213"/>
      <c r="C444" s="213"/>
      <c r="D444" s="213"/>
      <c r="E444" s="213"/>
      <c r="F444" s="214"/>
      <c r="G444" s="143"/>
      <c r="H444" s="37"/>
      <c r="I444" s="144"/>
      <c r="J444" s="133"/>
      <c r="K444" s="214"/>
    </row>
    <row r="445" ht="22.5" customHeight="1">
      <c r="A445" s="212"/>
      <c r="B445" s="213"/>
      <c r="C445" s="213"/>
      <c r="D445" s="213"/>
      <c r="E445" s="213"/>
      <c r="F445" s="214"/>
      <c r="G445" s="141"/>
      <c r="H445" s="41"/>
      <c r="I445" s="142"/>
      <c r="J445" s="134"/>
      <c r="K445" s="214"/>
    </row>
    <row r="446" ht="22.5" customHeight="1">
      <c r="A446" s="212"/>
      <c r="B446" s="213"/>
      <c r="C446" s="213"/>
      <c r="D446" s="213"/>
      <c r="E446" s="213"/>
      <c r="F446" s="214"/>
      <c r="G446" s="143"/>
      <c r="H446" s="37"/>
      <c r="I446" s="144"/>
      <c r="J446" s="133"/>
      <c r="K446" s="214"/>
    </row>
    <row r="447" ht="22.5" customHeight="1">
      <c r="A447" s="212"/>
      <c r="B447" s="213"/>
      <c r="C447" s="213"/>
      <c r="D447" s="213"/>
      <c r="E447" s="213"/>
      <c r="F447" s="214"/>
      <c r="G447" s="141"/>
      <c r="H447" s="41"/>
      <c r="I447" s="142"/>
      <c r="J447" s="134"/>
      <c r="K447" s="214"/>
    </row>
    <row r="448" ht="22.5" customHeight="1">
      <c r="A448" s="212"/>
      <c r="B448" s="213"/>
      <c r="C448" s="213"/>
      <c r="D448" s="213"/>
      <c r="E448" s="213"/>
      <c r="F448" s="214"/>
      <c r="G448" s="143"/>
      <c r="H448" s="37"/>
      <c r="I448" s="144"/>
      <c r="J448" s="133"/>
      <c r="K448" s="214"/>
    </row>
    <row r="449" ht="22.5" customHeight="1">
      <c r="A449" s="212"/>
      <c r="B449" s="213"/>
      <c r="C449" s="213"/>
      <c r="D449" s="213"/>
      <c r="E449" s="213"/>
      <c r="F449" s="214"/>
      <c r="G449" s="141"/>
      <c r="H449" s="41"/>
      <c r="I449" s="142"/>
      <c r="J449" s="134"/>
      <c r="K449" s="214"/>
    </row>
    <row r="450" ht="22.5" customHeight="1">
      <c r="A450" s="212"/>
      <c r="B450" s="213"/>
      <c r="C450" s="213"/>
      <c r="D450" s="213"/>
      <c r="E450" s="213"/>
      <c r="F450" s="214"/>
      <c r="G450" s="143"/>
      <c r="H450" s="37"/>
      <c r="I450" s="144"/>
      <c r="J450" s="133"/>
      <c r="K450" s="214"/>
    </row>
    <row r="451" ht="22.5" customHeight="1">
      <c r="A451" s="212"/>
      <c r="B451" s="213"/>
      <c r="C451" s="213"/>
      <c r="D451" s="213"/>
      <c r="E451" s="213"/>
      <c r="F451" s="214"/>
      <c r="G451" s="141"/>
      <c r="H451" s="41"/>
      <c r="I451" s="142"/>
      <c r="J451" s="134"/>
      <c r="K451" s="214"/>
    </row>
    <row r="452" ht="22.5" customHeight="1">
      <c r="A452" s="212"/>
      <c r="B452" s="213"/>
      <c r="C452" s="213"/>
      <c r="D452" s="213"/>
      <c r="E452" s="213"/>
      <c r="F452" s="214"/>
      <c r="G452" s="143"/>
      <c r="H452" s="37"/>
      <c r="I452" s="144"/>
      <c r="J452" s="133"/>
      <c r="K452" s="214"/>
    </row>
    <row r="453" ht="22.5" customHeight="1">
      <c r="A453" s="212"/>
      <c r="B453" s="213"/>
      <c r="C453" s="213"/>
      <c r="D453" s="213"/>
      <c r="E453" s="213"/>
      <c r="F453" s="214"/>
      <c r="G453" s="141"/>
      <c r="H453" s="41"/>
      <c r="I453" s="142"/>
      <c r="J453" s="134"/>
      <c r="K453" s="214"/>
    </row>
    <row r="454" ht="22.5" customHeight="1">
      <c r="A454" s="212"/>
      <c r="B454" s="213"/>
      <c r="C454" s="213"/>
      <c r="D454" s="213"/>
      <c r="E454" s="213"/>
      <c r="F454" s="214"/>
      <c r="G454" s="143"/>
      <c r="H454" s="37"/>
      <c r="I454" s="144"/>
      <c r="J454" s="133"/>
      <c r="K454" s="214"/>
    </row>
    <row r="455" ht="22.5" customHeight="1">
      <c r="A455" s="212"/>
      <c r="B455" s="213"/>
      <c r="C455" s="213"/>
      <c r="D455" s="213"/>
      <c r="E455" s="213"/>
      <c r="F455" s="214"/>
      <c r="G455" s="141"/>
      <c r="H455" s="41"/>
      <c r="I455" s="142"/>
      <c r="J455" s="134"/>
      <c r="K455" s="214"/>
    </row>
    <row r="456" ht="22.5" customHeight="1">
      <c r="A456" s="212"/>
      <c r="B456" s="213"/>
      <c r="C456" s="213"/>
      <c r="D456" s="213"/>
      <c r="E456" s="213"/>
      <c r="F456" s="214"/>
      <c r="G456" s="143"/>
      <c r="H456" s="37"/>
      <c r="I456" s="144"/>
      <c r="J456" s="133"/>
      <c r="K456" s="214"/>
    </row>
    <row r="457" ht="22.5" customHeight="1">
      <c r="A457" s="212"/>
      <c r="B457" s="213"/>
      <c r="C457" s="213"/>
      <c r="D457" s="213"/>
      <c r="E457" s="213"/>
      <c r="F457" s="214"/>
      <c r="G457" s="141"/>
      <c r="H457" s="41"/>
      <c r="I457" s="142"/>
      <c r="J457" s="134"/>
      <c r="K457" s="214"/>
    </row>
    <row r="458" ht="22.5" customHeight="1">
      <c r="A458" s="212"/>
      <c r="B458" s="213"/>
      <c r="C458" s="213"/>
      <c r="D458" s="213"/>
      <c r="E458" s="213"/>
      <c r="F458" s="214"/>
      <c r="G458" s="143"/>
      <c r="H458" s="37"/>
      <c r="I458" s="144"/>
      <c r="J458" s="133"/>
      <c r="K458" s="214"/>
    </row>
    <row r="459" ht="22.5" customHeight="1">
      <c r="A459" s="212"/>
      <c r="B459" s="213"/>
      <c r="C459" s="213"/>
      <c r="D459" s="213"/>
      <c r="E459" s="213"/>
      <c r="F459" s="214"/>
      <c r="G459" s="141"/>
      <c r="H459" s="41"/>
      <c r="I459" s="142"/>
      <c r="J459" s="134"/>
      <c r="K459" s="214"/>
    </row>
    <row r="460" ht="22.5" customHeight="1">
      <c r="A460" s="212"/>
      <c r="B460" s="213"/>
      <c r="C460" s="213"/>
      <c r="D460" s="213"/>
      <c r="E460" s="213"/>
      <c r="F460" s="214"/>
      <c r="G460" s="143"/>
      <c r="H460" s="37"/>
      <c r="I460" s="144"/>
      <c r="J460" s="133"/>
      <c r="K460" s="214"/>
    </row>
    <row r="461" ht="22.5" customHeight="1">
      <c r="A461" s="212"/>
      <c r="B461" s="213"/>
      <c r="C461" s="213"/>
      <c r="D461" s="213"/>
      <c r="E461" s="213"/>
      <c r="F461" s="214"/>
      <c r="G461" s="141"/>
      <c r="H461" s="41"/>
      <c r="I461" s="142"/>
      <c r="J461" s="134"/>
      <c r="K461" s="214"/>
    </row>
    <row r="462" ht="22.5" customHeight="1">
      <c r="A462" s="212"/>
      <c r="B462" s="213"/>
      <c r="C462" s="213"/>
      <c r="D462" s="213"/>
      <c r="E462" s="213"/>
      <c r="F462" s="214"/>
      <c r="G462" s="143"/>
      <c r="H462" s="37"/>
      <c r="I462" s="144"/>
      <c r="J462" s="133"/>
      <c r="K462" s="214"/>
    </row>
    <row r="463" ht="22.5" customHeight="1">
      <c r="A463" s="212"/>
      <c r="B463" s="213"/>
      <c r="C463" s="213"/>
      <c r="D463" s="213"/>
      <c r="E463" s="213"/>
      <c r="F463" s="214"/>
      <c r="G463" s="141"/>
      <c r="H463" s="41"/>
      <c r="I463" s="142"/>
      <c r="J463" s="134"/>
      <c r="K463" s="214"/>
    </row>
    <row r="464" ht="22.5" customHeight="1">
      <c r="A464" s="212"/>
      <c r="B464" s="213"/>
      <c r="C464" s="213"/>
      <c r="D464" s="213"/>
      <c r="E464" s="213"/>
      <c r="F464" s="214"/>
      <c r="G464" s="143"/>
      <c r="H464" s="37"/>
      <c r="I464" s="144"/>
      <c r="J464" s="133"/>
      <c r="K464" s="214"/>
    </row>
    <row r="465" ht="22.5" customHeight="1">
      <c r="A465" s="212"/>
      <c r="B465" s="213"/>
      <c r="C465" s="213"/>
      <c r="D465" s="213"/>
      <c r="E465" s="213"/>
      <c r="F465" s="214"/>
      <c r="G465" s="141"/>
      <c r="H465" s="41"/>
      <c r="I465" s="142"/>
      <c r="J465" s="134"/>
      <c r="K465" s="214"/>
    </row>
    <row r="466" ht="22.5" customHeight="1">
      <c r="A466" s="212"/>
      <c r="B466" s="213"/>
      <c r="C466" s="213"/>
      <c r="D466" s="213"/>
      <c r="E466" s="213"/>
      <c r="F466" s="214"/>
      <c r="G466" s="143"/>
      <c r="H466" s="37"/>
      <c r="I466" s="144"/>
      <c r="J466" s="133"/>
      <c r="K466" s="214"/>
    </row>
    <row r="467" ht="22.5" customHeight="1">
      <c r="A467" s="212"/>
      <c r="B467" s="213"/>
      <c r="C467" s="213"/>
      <c r="D467" s="213"/>
      <c r="E467" s="213"/>
      <c r="F467" s="214"/>
      <c r="G467" s="141"/>
      <c r="H467" s="41"/>
      <c r="I467" s="142"/>
      <c r="J467" s="134"/>
      <c r="K467" s="214"/>
    </row>
    <row r="468" ht="22.5" customHeight="1">
      <c r="A468" s="212"/>
      <c r="B468" s="213"/>
      <c r="C468" s="213"/>
      <c r="D468" s="213"/>
      <c r="E468" s="213"/>
      <c r="F468" s="214"/>
      <c r="G468" s="143"/>
      <c r="H468" s="37"/>
      <c r="I468" s="144"/>
      <c r="J468" s="133"/>
      <c r="K468" s="214"/>
    </row>
    <row r="469" ht="22.5" customHeight="1">
      <c r="A469" s="212"/>
      <c r="B469" s="213"/>
      <c r="C469" s="213"/>
      <c r="D469" s="213"/>
      <c r="E469" s="213"/>
      <c r="F469" s="214"/>
      <c r="G469" s="141"/>
      <c r="H469" s="41"/>
      <c r="I469" s="142"/>
      <c r="J469" s="134"/>
      <c r="K469" s="214"/>
    </row>
    <row r="470" ht="22.5" customHeight="1">
      <c r="A470" s="212"/>
      <c r="B470" s="213"/>
      <c r="C470" s="213"/>
      <c r="D470" s="213"/>
      <c r="E470" s="213"/>
      <c r="F470" s="214"/>
      <c r="G470" s="143"/>
      <c r="H470" s="37"/>
      <c r="I470" s="144"/>
      <c r="J470" s="133"/>
      <c r="K470" s="214"/>
    </row>
    <row r="471" ht="22.5" customHeight="1">
      <c r="A471" s="212"/>
      <c r="B471" s="213"/>
      <c r="C471" s="213"/>
      <c r="D471" s="213"/>
      <c r="E471" s="213"/>
      <c r="F471" s="214"/>
      <c r="G471" s="141"/>
      <c r="H471" s="41"/>
      <c r="I471" s="142"/>
      <c r="J471" s="134"/>
      <c r="K471" s="214"/>
    </row>
    <row r="472" ht="22.5" customHeight="1">
      <c r="A472" s="212"/>
      <c r="B472" s="213"/>
      <c r="C472" s="213"/>
      <c r="D472" s="213"/>
      <c r="E472" s="213"/>
      <c r="F472" s="214"/>
      <c r="G472" s="143"/>
      <c r="H472" s="37"/>
      <c r="I472" s="144"/>
      <c r="J472" s="133"/>
      <c r="K472" s="214"/>
    </row>
    <row r="473" ht="22.5" customHeight="1">
      <c r="A473" s="212"/>
      <c r="B473" s="213"/>
      <c r="C473" s="213"/>
      <c r="D473" s="213"/>
      <c r="E473" s="213"/>
      <c r="F473" s="214"/>
      <c r="G473" s="141"/>
      <c r="H473" s="41"/>
      <c r="I473" s="142"/>
      <c r="J473" s="134"/>
      <c r="K473" s="214"/>
    </row>
    <row r="474" ht="22.5" customHeight="1">
      <c r="A474" s="212"/>
      <c r="B474" s="213"/>
      <c r="C474" s="213"/>
      <c r="D474" s="213"/>
      <c r="E474" s="213"/>
      <c r="F474" s="214"/>
      <c r="G474" s="143"/>
      <c r="H474" s="37"/>
      <c r="I474" s="144"/>
      <c r="J474" s="133"/>
      <c r="K474" s="214"/>
    </row>
    <row r="475" ht="22.5" customHeight="1">
      <c r="A475" s="212"/>
      <c r="B475" s="213"/>
      <c r="C475" s="213"/>
      <c r="D475" s="213"/>
      <c r="E475" s="213"/>
      <c r="F475" s="214"/>
      <c r="G475" s="141"/>
      <c r="H475" s="41"/>
      <c r="I475" s="142"/>
      <c r="J475" s="134"/>
      <c r="K475" s="214"/>
    </row>
    <row r="476" ht="22.5" customHeight="1">
      <c r="A476" s="212"/>
      <c r="B476" s="213"/>
      <c r="C476" s="213"/>
      <c r="D476" s="213"/>
      <c r="E476" s="213"/>
      <c r="F476" s="214"/>
      <c r="G476" s="143"/>
      <c r="H476" s="37"/>
      <c r="I476" s="144"/>
      <c r="J476" s="133"/>
      <c r="K476" s="214"/>
    </row>
    <row r="477" ht="22.5" customHeight="1">
      <c r="A477" s="212"/>
      <c r="B477" s="213"/>
      <c r="C477" s="213"/>
      <c r="D477" s="213"/>
      <c r="E477" s="213"/>
      <c r="F477" s="214"/>
      <c r="G477" s="141"/>
      <c r="H477" s="41"/>
      <c r="I477" s="142"/>
      <c r="J477" s="134"/>
      <c r="K477" s="214"/>
    </row>
    <row r="478" ht="22.5" customHeight="1">
      <c r="A478" s="212"/>
      <c r="B478" s="213"/>
      <c r="C478" s="213"/>
      <c r="D478" s="213"/>
      <c r="E478" s="213"/>
      <c r="F478" s="214"/>
      <c r="G478" s="143"/>
      <c r="H478" s="37"/>
      <c r="I478" s="144"/>
      <c r="J478" s="133"/>
      <c r="K478" s="214"/>
    </row>
    <row r="479" ht="22.5" customHeight="1">
      <c r="A479" s="212"/>
      <c r="B479" s="213"/>
      <c r="C479" s="213"/>
      <c r="D479" s="213"/>
      <c r="E479" s="213"/>
      <c r="F479" s="214"/>
      <c r="G479" s="141"/>
      <c r="H479" s="41"/>
      <c r="I479" s="142"/>
      <c r="J479" s="134"/>
      <c r="K479" s="214"/>
    </row>
    <row r="480" ht="22.5" customHeight="1">
      <c r="A480" s="212"/>
      <c r="B480" s="213"/>
      <c r="C480" s="213"/>
      <c r="D480" s="213"/>
      <c r="E480" s="213"/>
      <c r="F480" s="214"/>
      <c r="G480" s="143"/>
      <c r="H480" s="37"/>
      <c r="I480" s="144"/>
      <c r="J480" s="133"/>
      <c r="K480" s="214"/>
    </row>
    <row r="481" ht="22.5" customHeight="1">
      <c r="A481" s="212"/>
      <c r="B481" s="213"/>
      <c r="C481" s="213"/>
      <c r="D481" s="213"/>
      <c r="E481" s="213"/>
      <c r="F481" s="214"/>
      <c r="G481" s="141"/>
      <c r="H481" s="41"/>
      <c r="I481" s="142"/>
      <c r="J481" s="134"/>
      <c r="K481" s="214"/>
    </row>
    <row r="482" ht="22.5" customHeight="1">
      <c r="A482" s="212"/>
      <c r="B482" s="213"/>
      <c r="C482" s="213"/>
      <c r="D482" s="213"/>
      <c r="E482" s="213"/>
      <c r="F482" s="214"/>
      <c r="G482" s="143"/>
      <c r="H482" s="37"/>
      <c r="I482" s="144"/>
      <c r="J482" s="133"/>
      <c r="K482" s="214"/>
    </row>
    <row r="483" ht="22.5" customHeight="1">
      <c r="A483" s="212"/>
      <c r="B483" s="213"/>
      <c r="C483" s="213"/>
      <c r="D483" s="213"/>
      <c r="E483" s="213"/>
      <c r="F483" s="214"/>
      <c r="G483" s="141"/>
      <c r="H483" s="41"/>
      <c r="I483" s="142"/>
      <c r="J483" s="134"/>
      <c r="K483" s="214"/>
    </row>
    <row r="484" ht="22.5" customHeight="1">
      <c r="A484" s="212"/>
      <c r="B484" s="213"/>
      <c r="C484" s="213"/>
      <c r="D484" s="213"/>
      <c r="E484" s="213"/>
      <c r="F484" s="214"/>
      <c r="G484" s="143"/>
      <c r="H484" s="37"/>
      <c r="I484" s="144"/>
      <c r="J484" s="133"/>
      <c r="K484" s="214"/>
    </row>
    <row r="485" ht="22.5" customHeight="1">
      <c r="A485" s="212"/>
      <c r="B485" s="213"/>
      <c r="C485" s="213"/>
      <c r="D485" s="213"/>
      <c r="E485" s="213"/>
      <c r="F485" s="214"/>
      <c r="G485" s="141"/>
      <c r="H485" s="41"/>
      <c r="I485" s="142"/>
      <c r="J485" s="134"/>
      <c r="K485" s="214"/>
    </row>
    <row r="486" ht="22.5" customHeight="1">
      <c r="A486" s="212"/>
      <c r="B486" s="213"/>
      <c r="C486" s="213"/>
      <c r="D486" s="213"/>
      <c r="E486" s="213"/>
      <c r="F486" s="214"/>
      <c r="G486" s="143"/>
      <c r="H486" s="37"/>
      <c r="I486" s="144"/>
      <c r="J486" s="133"/>
      <c r="K486" s="214"/>
    </row>
    <row r="487" ht="22.5" customHeight="1">
      <c r="A487" s="212"/>
      <c r="B487" s="213"/>
      <c r="C487" s="213"/>
      <c r="D487" s="213"/>
      <c r="E487" s="213"/>
      <c r="F487" s="214"/>
      <c r="G487" s="141"/>
      <c r="H487" s="41"/>
      <c r="I487" s="142"/>
      <c r="J487" s="134"/>
      <c r="K487" s="214"/>
    </row>
    <row r="488" ht="22.5" customHeight="1">
      <c r="A488" s="212"/>
      <c r="B488" s="213"/>
      <c r="C488" s="213"/>
      <c r="D488" s="213"/>
      <c r="E488" s="213"/>
      <c r="F488" s="214"/>
      <c r="G488" s="143"/>
      <c r="H488" s="37"/>
      <c r="I488" s="144"/>
      <c r="J488" s="133"/>
      <c r="K488" s="214"/>
    </row>
    <row r="489" ht="22.5" customHeight="1">
      <c r="A489" s="212"/>
      <c r="B489" s="213"/>
      <c r="C489" s="213"/>
      <c r="D489" s="213"/>
      <c r="E489" s="213"/>
      <c r="F489" s="214"/>
      <c r="G489" s="141"/>
      <c r="H489" s="41"/>
      <c r="I489" s="142"/>
      <c r="J489" s="134"/>
      <c r="K489" s="214"/>
    </row>
    <row r="490" ht="22.5" customHeight="1">
      <c r="A490" s="212"/>
      <c r="B490" s="213"/>
      <c r="C490" s="213"/>
      <c r="D490" s="213"/>
      <c r="E490" s="213"/>
      <c r="F490" s="214"/>
      <c r="G490" s="143"/>
      <c r="H490" s="37"/>
      <c r="I490" s="144"/>
      <c r="J490" s="133"/>
      <c r="K490" s="214"/>
    </row>
    <row r="491" ht="22.5" customHeight="1">
      <c r="A491" s="212"/>
      <c r="B491" s="213"/>
      <c r="C491" s="213"/>
      <c r="D491" s="213"/>
      <c r="E491" s="213"/>
      <c r="F491" s="214"/>
      <c r="G491" s="141"/>
      <c r="H491" s="41"/>
      <c r="I491" s="142"/>
      <c r="J491" s="134"/>
      <c r="K491" s="214"/>
    </row>
    <row r="492" ht="22.5" customHeight="1">
      <c r="A492" s="212"/>
      <c r="B492" s="213"/>
      <c r="C492" s="213"/>
      <c r="D492" s="213"/>
      <c r="E492" s="213"/>
      <c r="F492" s="214"/>
      <c r="G492" s="143"/>
      <c r="H492" s="37"/>
      <c r="I492" s="144"/>
      <c r="J492" s="133"/>
      <c r="K492" s="214"/>
    </row>
    <row r="493" ht="22.5" customHeight="1">
      <c r="A493" s="212"/>
      <c r="B493" s="213"/>
      <c r="C493" s="213"/>
      <c r="D493" s="213"/>
      <c r="E493" s="213"/>
      <c r="F493" s="214"/>
      <c r="G493" s="141"/>
      <c r="H493" s="41"/>
      <c r="I493" s="142"/>
      <c r="J493" s="134"/>
      <c r="K493" s="214"/>
    </row>
    <row r="494" ht="22.5" customHeight="1">
      <c r="A494" s="212"/>
      <c r="B494" s="213"/>
      <c r="C494" s="213"/>
      <c r="D494" s="213"/>
      <c r="E494" s="213"/>
      <c r="F494" s="214"/>
      <c r="G494" s="143"/>
      <c r="H494" s="37"/>
      <c r="I494" s="144"/>
      <c r="J494" s="133"/>
      <c r="K494" s="214"/>
    </row>
    <row r="495" ht="22.5" customHeight="1">
      <c r="A495" s="212"/>
      <c r="B495" s="213"/>
      <c r="C495" s="213"/>
      <c r="D495" s="213"/>
      <c r="E495" s="213"/>
      <c r="F495" s="214"/>
      <c r="G495" s="141"/>
      <c r="H495" s="41"/>
      <c r="I495" s="142"/>
      <c r="J495" s="134"/>
      <c r="K495" s="214"/>
    </row>
    <row r="496" ht="22.5" customHeight="1">
      <c r="A496" s="212"/>
      <c r="B496" s="213"/>
      <c r="C496" s="213"/>
      <c r="D496" s="213"/>
      <c r="E496" s="213"/>
      <c r="F496" s="214"/>
      <c r="G496" s="143"/>
      <c r="H496" s="37"/>
      <c r="I496" s="144"/>
      <c r="J496" s="133"/>
      <c r="K496" s="214"/>
    </row>
    <row r="497" ht="22.5" customHeight="1">
      <c r="A497" s="212"/>
      <c r="B497" s="213"/>
      <c r="C497" s="213"/>
      <c r="D497" s="213"/>
      <c r="E497" s="213"/>
      <c r="F497" s="214"/>
      <c r="G497" s="141"/>
      <c r="H497" s="41"/>
      <c r="I497" s="142"/>
      <c r="J497" s="134"/>
      <c r="K497" s="214"/>
    </row>
    <row r="498" ht="22.5" customHeight="1">
      <c r="A498" s="212"/>
      <c r="B498" s="213"/>
      <c r="C498" s="213"/>
      <c r="D498" s="213"/>
      <c r="E498" s="213"/>
      <c r="F498" s="214"/>
      <c r="G498" s="143"/>
      <c r="H498" s="37"/>
      <c r="I498" s="144"/>
      <c r="J498" s="133"/>
      <c r="K498" s="214"/>
    </row>
    <row r="499" ht="22.5" customHeight="1">
      <c r="A499" s="212"/>
      <c r="B499" s="213"/>
      <c r="C499" s="213"/>
      <c r="D499" s="213"/>
      <c r="E499" s="213"/>
      <c r="F499" s="214"/>
      <c r="G499" s="141"/>
      <c r="H499" s="41"/>
      <c r="I499" s="142"/>
      <c r="J499" s="134"/>
      <c r="K499" s="214"/>
    </row>
    <row r="500" ht="22.5" customHeight="1">
      <c r="A500" s="212"/>
      <c r="B500" s="213"/>
      <c r="C500" s="213"/>
      <c r="D500" s="213"/>
      <c r="E500" s="213"/>
      <c r="F500" s="214"/>
      <c r="G500" s="143"/>
      <c r="H500" s="37"/>
      <c r="I500" s="144"/>
      <c r="J500" s="133"/>
      <c r="K500" s="214"/>
    </row>
    <row r="501" ht="22.5" customHeight="1">
      <c r="A501" s="212"/>
      <c r="B501" s="213"/>
      <c r="C501" s="213"/>
      <c r="D501" s="213"/>
      <c r="E501" s="213"/>
      <c r="F501" s="214"/>
      <c r="G501" s="141"/>
      <c r="H501" s="41"/>
      <c r="I501" s="142"/>
      <c r="J501" s="134"/>
      <c r="K501" s="214"/>
    </row>
    <row r="502" ht="22.5" customHeight="1">
      <c r="A502" s="212"/>
      <c r="B502" s="213"/>
      <c r="C502" s="213"/>
      <c r="D502" s="213"/>
      <c r="E502" s="213"/>
      <c r="F502" s="214"/>
      <c r="G502" s="143"/>
      <c r="H502" s="37"/>
      <c r="I502" s="144"/>
      <c r="J502" s="133"/>
      <c r="K502" s="214"/>
    </row>
    <row r="503" ht="22.5" customHeight="1">
      <c r="A503" s="212"/>
      <c r="B503" s="213"/>
      <c r="C503" s="213"/>
      <c r="D503" s="213"/>
      <c r="E503" s="213"/>
      <c r="F503" s="214"/>
      <c r="G503" s="141"/>
      <c r="H503" s="41"/>
      <c r="I503" s="142"/>
      <c r="J503" s="134"/>
      <c r="K503" s="214"/>
    </row>
    <row r="504" ht="22.5" customHeight="1">
      <c r="A504" s="212"/>
      <c r="B504" s="213"/>
      <c r="C504" s="213"/>
      <c r="D504" s="213"/>
      <c r="E504" s="213"/>
      <c r="F504" s="214"/>
      <c r="G504" s="143"/>
      <c r="H504" s="37"/>
      <c r="I504" s="144"/>
      <c r="J504" s="133"/>
      <c r="K504" s="214"/>
    </row>
    <row r="505" ht="22.5" customHeight="1">
      <c r="A505" s="212"/>
      <c r="B505" s="213"/>
      <c r="C505" s="213"/>
      <c r="D505" s="213"/>
      <c r="E505" s="213"/>
      <c r="F505" s="214"/>
      <c r="G505" s="141"/>
      <c r="H505" s="41"/>
      <c r="I505" s="142"/>
      <c r="J505" s="134"/>
      <c r="K505" s="214"/>
    </row>
    <row r="506" ht="22.5" customHeight="1">
      <c r="A506" s="212"/>
      <c r="B506" s="213"/>
      <c r="C506" s="213"/>
      <c r="D506" s="213"/>
      <c r="E506" s="213"/>
      <c r="F506" s="214"/>
      <c r="G506" s="143"/>
      <c r="H506" s="37"/>
      <c r="I506" s="144"/>
      <c r="J506" s="133"/>
      <c r="K506" s="214"/>
    </row>
    <row r="507" ht="22.5" customHeight="1">
      <c r="A507" s="212"/>
      <c r="B507" s="213"/>
      <c r="C507" s="213"/>
      <c r="D507" s="213"/>
      <c r="E507" s="213"/>
      <c r="F507" s="214"/>
      <c r="G507" s="141"/>
      <c r="H507" s="41"/>
      <c r="I507" s="142"/>
      <c r="J507" s="134"/>
      <c r="K507" s="214"/>
    </row>
    <row r="508" ht="22.5" customHeight="1">
      <c r="A508" s="212"/>
      <c r="B508" s="213"/>
      <c r="C508" s="213"/>
      <c r="D508" s="213"/>
      <c r="E508" s="213"/>
      <c r="F508" s="214"/>
      <c r="G508" s="143"/>
      <c r="H508" s="37"/>
      <c r="I508" s="144"/>
      <c r="J508" s="133"/>
      <c r="K508" s="214"/>
    </row>
    <row r="509" ht="22.5" customHeight="1">
      <c r="A509" s="212"/>
      <c r="B509" s="213"/>
      <c r="C509" s="213"/>
      <c r="D509" s="213"/>
      <c r="E509" s="213"/>
      <c r="F509" s="214"/>
      <c r="G509" s="141"/>
      <c r="H509" s="41"/>
      <c r="I509" s="142"/>
      <c r="J509" s="134"/>
      <c r="K509" s="214"/>
    </row>
    <row r="510" ht="22.5" customHeight="1">
      <c r="A510" s="212"/>
      <c r="B510" s="213"/>
      <c r="C510" s="213"/>
      <c r="D510" s="213"/>
      <c r="E510" s="213"/>
      <c r="F510" s="214"/>
      <c r="G510" s="143"/>
      <c r="H510" s="37"/>
      <c r="I510" s="144"/>
      <c r="J510" s="133"/>
      <c r="K510" s="214"/>
    </row>
    <row r="511" ht="22.5" customHeight="1">
      <c r="A511" s="212"/>
      <c r="B511" s="213"/>
      <c r="C511" s="213"/>
      <c r="D511" s="213"/>
      <c r="E511" s="213"/>
      <c r="F511" s="214"/>
      <c r="G511" s="141"/>
      <c r="H511" s="41"/>
      <c r="I511" s="142"/>
      <c r="J511" s="134"/>
      <c r="K511" s="214"/>
    </row>
    <row r="512" ht="22.5" customHeight="1">
      <c r="A512" s="212"/>
      <c r="B512" s="213"/>
      <c r="C512" s="213"/>
      <c r="D512" s="213"/>
      <c r="E512" s="213"/>
      <c r="F512" s="214"/>
      <c r="G512" s="143"/>
      <c r="H512" s="37"/>
      <c r="I512" s="144"/>
      <c r="J512" s="133"/>
      <c r="K512" s="214"/>
    </row>
    <row r="513" ht="22.5" customHeight="1">
      <c r="A513" s="212"/>
      <c r="B513" s="213"/>
      <c r="C513" s="213"/>
      <c r="D513" s="213"/>
      <c r="E513" s="213"/>
      <c r="F513" s="214"/>
      <c r="G513" s="141"/>
      <c r="H513" s="41"/>
      <c r="I513" s="142"/>
      <c r="J513" s="134"/>
      <c r="K513" s="214"/>
    </row>
    <row r="514" ht="22.5" customHeight="1">
      <c r="A514" s="212"/>
      <c r="B514" s="213"/>
      <c r="C514" s="213"/>
      <c r="D514" s="213"/>
      <c r="E514" s="213"/>
      <c r="F514" s="214"/>
      <c r="G514" s="143"/>
      <c r="H514" s="37"/>
      <c r="I514" s="144"/>
      <c r="J514" s="133"/>
      <c r="K514" s="214"/>
    </row>
    <row r="515" ht="22.5" customHeight="1">
      <c r="A515" s="212"/>
      <c r="B515" s="213"/>
      <c r="C515" s="213"/>
      <c r="D515" s="213"/>
      <c r="E515" s="213"/>
      <c r="F515" s="214"/>
      <c r="G515" s="141"/>
      <c r="H515" s="41"/>
      <c r="I515" s="142"/>
      <c r="J515" s="134"/>
      <c r="K515" s="214"/>
    </row>
    <row r="516" ht="22.5" customHeight="1">
      <c r="A516" s="212"/>
      <c r="B516" s="213"/>
      <c r="C516" s="213"/>
      <c r="D516" s="213"/>
      <c r="E516" s="213"/>
      <c r="F516" s="214"/>
      <c r="G516" s="143"/>
      <c r="H516" s="37"/>
      <c r="I516" s="144"/>
      <c r="J516" s="133"/>
      <c r="K516" s="214"/>
    </row>
    <row r="517" ht="22.5" customHeight="1">
      <c r="A517" s="212"/>
      <c r="B517" s="213"/>
      <c r="C517" s="213"/>
      <c r="D517" s="213"/>
      <c r="E517" s="213"/>
      <c r="F517" s="214"/>
      <c r="G517" s="141"/>
      <c r="H517" s="41"/>
      <c r="I517" s="142"/>
      <c r="J517" s="134"/>
      <c r="K517" s="214"/>
    </row>
    <row r="518" ht="22.5" customHeight="1">
      <c r="A518" s="212"/>
      <c r="B518" s="213"/>
      <c r="C518" s="213"/>
      <c r="D518" s="213"/>
      <c r="E518" s="213"/>
      <c r="F518" s="214"/>
      <c r="G518" s="143"/>
      <c r="H518" s="37"/>
      <c r="I518" s="144"/>
      <c r="J518" s="133"/>
      <c r="K518" s="214"/>
    </row>
    <row r="519" ht="22.5" customHeight="1">
      <c r="A519" s="212"/>
      <c r="B519" s="213"/>
      <c r="C519" s="213"/>
      <c r="D519" s="213"/>
      <c r="E519" s="213"/>
      <c r="F519" s="214"/>
      <c r="G519" s="141"/>
      <c r="H519" s="41"/>
      <c r="I519" s="142"/>
      <c r="J519" s="134"/>
      <c r="K519" s="214"/>
    </row>
    <row r="520" ht="22.5" customHeight="1">
      <c r="A520" s="212"/>
      <c r="B520" s="213"/>
      <c r="C520" s="213"/>
      <c r="D520" s="213"/>
      <c r="E520" s="213"/>
      <c r="F520" s="214"/>
      <c r="G520" s="143"/>
      <c r="H520" s="37"/>
      <c r="I520" s="144"/>
      <c r="J520" s="133"/>
      <c r="K520" s="214"/>
    </row>
    <row r="521" ht="22.5" customHeight="1">
      <c r="A521" s="212"/>
      <c r="B521" s="213"/>
      <c r="C521" s="213"/>
      <c r="D521" s="213"/>
      <c r="E521" s="213"/>
      <c r="F521" s="214"/>
      <c r="G521" s="141"/>
      <c r="H521" s="41"/>
      <c r="I521" s="142"/>
      <c r="J521" s="134"/>
      <c r="K521" s="214"/>
    </row>
    <row r="522" ht="22.5" customHeight="1">
      <c r="A522" s="212"/>
      <c r="B522" s="213"/>
      <c r="C522" s="213"/>
      <c r="D522" s="213"/>
      <c r="E522" s="213"/>
      <c r="F522" s="214"/>
      <c r="G522" s="143"/>
      <c r="H522" s="37"/>
      <c r="I522" s="144"/>
      <c r="J522" s="133"/>
      <c r="K522" s="214"/>
    </row>
    <row r="523" ht="22.5" customHeight="1">
      <c r="A523" s="212"/>
      <c r="B523" s="213"/>
      <c r="C523" s="213"/>
      <c r="D523" s="213"/>
      <c r="E523" s="213"/>
      <c r="F523" s="214"/>
      <c r="G523" s="141"/>
      <c r="H523" s="41"/>
      <c r="I523" s="142"/>
      <c r="J523" s="134"/>
      <c r="K523" s="214"/>
    </row>
    <row r="524" ht="22.5" customHeight="1">
      <c r="A524" s="212"/>
      <c r="B524" s="213"/>
      <c r="C524" s="213"/>
      <c r="D524" s="213"/>
      <c r="E524" s="213"/>
      <c r="F524" s="214"/>
      <c r="G524" s="143"/>
      <c r="H524" s="37"/>
      <c r="I524" s="144"/>
      <c r="J524" s="133"/>
      <c r="K524" s="214"/>
    </row>
    <row r="525" ht="22.5" customHeight="1">
      <c r="A525" s="212"/>
      <c r="B525" s="213"/>
      <c r="C525" s="213"/>
      <c r="D525" s="213"/>
      <c r="E525" s="213"/>
      <c r="F525" s="214"/>
      <c r="G525" s="141"/>
      <c r="H525" s="41"/>
      <c r="I525" s="142"/>
      <c r="J525" s="134"/>
      <c r="K525" s="214"/>
    </row>
    <row r="526" ht="22.5" customHeight="1">
      <c r="A526" s="212"/>
      <c r="B526" s="213"/>
      <c r="C526" s="213"/>
      <c r="D526" s="213"/>
      <c r="E526" s="213"/>
      <c r="F526" s="214"/>
      <c r="G526" s="143"/>
      <c r="H526" s="37"/>
      <c r="I526" s="144"/>
      <c r="J526" s="133"/>
      <c r="K526" s="214"/>
    </row>
    <row r="527" ht="22.5" customHeight="1">
      <c r="A527" s="212"/>
      <c r="B527" s="213"/>
      <c r="C527" s="213"/>
      <c r="D527" s="213"/>
      <c r="E527" s="213"/>
      <c r="F527" s="214"/>
      <c r="G527" s="141"/>
      <c r="H527" s="41"/>
      <c r="I527" s="142"/>
      <c r="J527" s="134"/>
      <c r="K527" s="214"/>
    </row>
    <row r="528" ht="22.5" customHeight="1">
      <c r="A528" s="212"/>
      <c r="B528" s="213"/>
      <c r="C528" s="213"/>
      <c r="D528" s="213"/>
      <c r="E528" s="213"/>
      <c r="F528" s="214"/>
      <c r="G528" s="143"/>
      <c r="H528" s="37"/>
      <c r="I528" s="144"/>
      <c r="J528" s="133"/>
      <c r="K528" s="214"/>
    </row>
    <row r="529" ht="22.5" customHeight="1">
      <c r="A529" s="212"/>
      <c r="B529" s="213"/>
      <c r="C529" s="213"/>
      <c r="D529" s="213"/>
      <c r="E529" s="213"/>
      <c r="F529" s="214"/>
      <c r="G529" s="141"/>
      <c r="H529" s="41"/>
      <c r="I529" s="142"/>
      <c r="J529" s="134"/>
      <c r="K529" s="214"/>
    </row>
    <row r="530" ht="22.5" customHeight="1">
      <c r="A530" s="212"/>
      <c r="B530" s="213"/>
      <c r="C530" s="213"/>
      <c r="D530" s="213"/>
      <c r="E530" s="213"/>
      <c r="F530" s="214"/>
      <c r="G530" s="143"/>
      <c r="H530" s="37"/>
      <c r="I530" s="144"/>
      <c r="J530" s="133"/>
      <c r="K530" s="214"/>
    </row>
    <row r="531" ht="22.5" customHeight="1">
      <c r="A531" s="212"/>
      <c r="B531" s="213"/>
      <c r="C531" s="213"/>
      <c r="D531" s="213"/>
      <c r="E531" s="213"/>
      <c r="F531" s="214"/>
      <c r="G531" s="141"/>
      <c r="H531" s="41"/>
      <c r="I531" s="142"/>
      <c r="J531" s="134"/>
      <c r="K531" s="214"/>
    </row>
    <row r="532" ht="22.5" customHeight="1">
      <c r="A532" s="212"/>
      <c r="B532" s="213"/>
      <c r="C532" s="213"/>
      <c r="D532" s="213"/>
      <c r="E532" s="213"/>
      <c r="F532" s="214"/>
      <c r="G532" s="143"/>
      <c r="H532" s="37"/>
      <c r="I532" s="144"/>
      <c r="J532" s="133"/>
      <c r="K532" s="214"/>
    </row>
    <row r="533" ht="22.5" customHeight="1">
      <c r="A533" s="212"/>
      <c r="B533" s="213"/>
      <c r="C533" s="213"/>
      <c r="D533" s="213"/>
      <c r="E533" s="213"/>
      <c r="F533" s="214"/>
      <c r="G533" s="141"/>
      <c r="H533" s="41"/>
      <c r="I533" s="142"/>
      <c r="J533" s="134"/>
      <c r="K533" s="214"/>
    </row>
    <row r="534" ht="22.5" customHeight="1">
      <c r="A534" s="212"/>
      <c r="B534" s="213"/>
      <c r="C534" s="213"/>
      <c r="D534" s="213"/>
      <c r="E534" s="213"/>
      <c r="F534" s="214"/>
      <c r="G534" s="143"/>
      <c r="H534" s="37"/>
      <c r="I534" s="144"/>
      <c r="J534" s="133"/>
      <c r="K534" s="214"/>
    </row>
    <row r="535" ht="22.5" customHeight="1">
      <c r="A535" s="212"/>
      <c r="B535" s="213"/>
      <c r="C535" s="213"/>
      <c r="D535" s="213"/>
      <c r="E535" s="213"/>
      <c r="F535" s="214"/>
      <c r="G535" s="141"/>
      <c r="H535" s="41"/>
      <c r="I535" s="142"/>
      <c r="J535" s="134"/>
      <c r="K535" s="214"/>
    </row>
    <row r="536" ht="22.5" customHeight="1">
      <c r="A536" s="212"/>
      <c r="B536" s="213"/>
      <c r="C536" s="213"/>
      <c r="D536" s="213"/>
      <c r="E536" s="213"/>
      <c r="F536" s="214"/>
      <c r="G536" s="143"/>
      <c r="H536" s="37"/>
      <c r="I536" s="144"/>
      <c r="J536" s="133"/>
      <c r="K536" s="214"/>
    </row>
    <row r="537" ht="22.5" customHeight="1">
      <c r="A537" s="212"/>
      <c r="B537" s="213"/>
      <c r="C537" s="213"/>
      <c r="D537" s="213"/>
      <c r="E537" s="213"/>
      <c r="F537" s="214"/>
      <c r="G537" s="141"/>
      <c r="H537" s="41"/>
      <c r="I537" s="142"/>
      <c r="J537" s="134"/>
      <c r="K537" s="214"/>
    </row>
    <row r="538" ht="22.5" customHeight="1">
      <c r="A538" s="212"/>
      <c r="B538" s="213"/>
      <c r="C538" s="213"/>
      <c r="D538" s="213"/>
      <c r="E538" s="213"/>
      <c r="F538" s="214"/>
      <c r="G538" s="143"/>
      <c r="H538" s="37"/>
      <c r="I538" s="144"/>
      <c r="J538" s="133"/>
      <c r="K538" s="214"/>
    </row>
    <row r="539" ht="22.5" customHeight="1">
      <c r="A539" s="212"/>
      <c r="B539" s="213"/>
      <c r="C539" s="213"/>
      <c r="D539" s="213"/>
      <c r="E539" s="213"/>
      <c r="F539" s="214"/>
      <c r="G539" s="141"/>
      <c r="H539" s="41"/>
      <c r="I539" s="142"/>
      <c r="J539" s="134"/>
      <c r="K539" s="214"/>
    </row>
    <row r="540" ht="22.5" customHeight="1">
      <c r="A540" s="212"/>
      <c r="B540" s="213"/>
      <c r="C540" s="213"/>
      <c r="D540" s="213"/>
      <c r="E540" s="213"/>
      <c r="F540" s="214"/>
      <c r="G540" s="143"/>
      <c r="H540" s="37"/>
      <c r="I540" s="144"/>
      <c r="J540" s="133"/>
      <c r="K540" s="214"/>
    </row>
    <row r="541" ht="22.5" customHeight="1">
      <c r="A541" s="212"/>
      <c r="B541" s="213"/>
      <c r="C541" s="213"/>
      <c r="D541" s="213"/>
      <c r="E541" s="213"/>
      <c r="F541" s="214"/>
      <c r="G541" s="141"/>
      <c r="H541" s="41"/>
      <c r="I541" s="142"/>
      <c r="J541" s="134"/>
      <c r="K541" s="214"/>
    </row>
    <row r="542" ht="22.5" customHeight="1">
      <c r="A542" s="212"/>
      <c r="B542" s="213"/>
      <c r="C542" s="213"/>
      <c r="D542" s="213"/>
      <c r="E542" s="213"/>
      <c r="F542" s="214"/>
      <c r="G542" s="143"/>
      <c r="H542" s="37"/>
      <c r="I542" s="144"/>
      <c r="J542" s="133"/>
      <c r="K542" s="214"/>
    </row>
    <row r="543" ht="22.5" customHeight="1">
      <c r="A543" s="212"/>
      <c r="B543" s="213"/>
      <c r="C543" s="213"/>
      <c r="D543" s="213"/>
      <c r="E543" s="213"/>
      <c r="F543" s="214"/>
      <c r="G543" s="141"/>
      <c r="H543" s="41"/>
      <c r="I543" s="142"/>
      <c r="J543" s="134"/>
      <c r="K543" s="214"/>
    </row>
    <row r="544" ht="22.5" customHeight="1">
      <c r="A544" s="212"/>
      <c r="B544" s="213"/>
      <c r="C544" s="213"/>
      <c r="D544" s="213"/>
      <c r="E544" s="213"/>
      <c r="F544" s="214"/>
      <c r="G544" s="143"/>
      <c r="H544" s="37"/>
      <c r="I544" s="144"/>
      <c r="J544" s="133"/>
      <c r="K544" s="214"/>
    </row>
    <row r="545" ht="22.5" customHeight="1">
      <c r="A545" s="212"/>
      <c r="B545" s="213"/>
      <c r="C545" s="213"/>
      <c r="D545" s="213"/>
      <c r="E545" s="213"/>
      <c r="F545" s="214"/>
      <c r="G545" s="141"/>
      <c r="H545" s="41"/>
      <c r="I545" s="142"/>
      <c r="J545" s="134"/>
      <c r="K545" s="214"/>
    </row>
    <row r="546" ht="22.5" customHeight="1">
      <c r="A546" s="212"/>
      <c r="B546" s="213"/>
      <c r="C546" s="213"/>
      <c r="D546" s="213"/>
      <c r="E546" s="213"/>
      <c r="F546" s="214"/>
      <c r="G546" s="143"/>
      <c r="H546" s="37"/>
      <c r="I546" s="144"/>
      <c r="J546" s="133"/>
      <c r="K546" s="214"/>
    </row>
    <row r="547" ht="22.5" customHeight="1">
      <c r="A547" s="212"/>
      <c r="B547" s="213"/>
      <c r="C547" s="213"/>
      <c r="D547" s="213"/>
      <c r="E547" s="213"/>
      <c r="F547" s="214"/>
      <c r="G547" s="141"/>
      <c r="H547" s="41"/>
      <c r="I547" s="142"/>
      <c r="J547" s="134"/>
      <c r="K547" s="214"/>
    </row>
    <row r="548" ht="22.5" customHeight="1">
      <c r="A548" s="212"/>
      <c r="B548" s="213"/>
      <c r="C548" s="213"/>
      <c r="D548" s="213"/>
      <c r="E548" s="213"/>
      <c r="F548" s="214"/>
      <c r="G548" s="143"/>
      <c r="H548" s="37"/>
      <c r="I548" s="144"/>
      <c r="J548" s="133"/>
      <c r="K548" s="214"/>
    </row>
    <row r="549" ht="22.5" customHeight="1">
      <c r="A549" s="212"/>
      <c r="B549" s="213"/>
      <c r="C549" s="213"/>
      <c r="D549" s="213"/>
      <c r="E549" s="213"/>
      <c r="F549" s="214"/>
      <c r="G549" s="141"/>
      <c r="H549" s="41"/>
      <c r="I549" s="142"/>
      <c r="J549" s="134"/>
      <c r="K549" s="214"/>
    </row>
    <row r="550" ht="22.5" customHeight="1">
      <c r="A550" s="212"/>
      <c r="B550" s="213"/>
      <c r="C550" s="213"/>
      <c r="D550" s="213"/>
      <c r="E550" s="213"/>
      <c r="F550" s="214"/>
      <c r="G550" s="143"/>
      <c r="H550" s="37"/>
      <c r="I550" s="144"/>
      <c r="J550" s="133"/>
      <c r="K550" s="214"/>
    </row>
    <row r="551" ht="22.5" customHeight="1">
      <c r="A551" s="212"/>
      <c r="B551" s="213"/>
      <c r="C551" s="213"/>
      <c r="D551" s="213"/>
      <c r="E551" s="213"/>
      <c r="F551" s="214"/>
      <c r="G551" s="141"/>
      <c r="H551" s="41"/>
      <c r="I551" s="142"/>
      <c r="J551" s="134"/>
      <c r="K551" s="214"/>
    </row>
    <row r="552" ht="22.5" customHeight="1">
      <c r="A552" s="212"/>
      <c r="B552" s="213"/>
      <c r="C552" s="213"/>
      <c r="D552" s="213"/>
      <c r="E552" s="213"/>
      <c r="F552" s="214"/>
      <c r="G552" s="143"/>
      <c r="H552" s="37"/>
      <c r="I552" s="144"/>
      <c r="J552" s="133"/>
      <c r="K552" s="214"/>
    </row>
    <row r="553" ht="22.5" customHeight="1">
      <c r="A553" s="212"/>
      <c r="B553" s="213"/>
      <c r="C553" s="213"/>
      <c r="D553" s="213"/>
      <c r="E553" s="213"/>
      <c r="F553" s="214"/>
      <c r="G553" s="141"/>
      <c r="H553" s="41"/>
      <c r="I553" s="142"/>
      <c r="J553" s="134"/>
      <c r="K553" s="214"/>
    </row>
    <row r="554" ht="22.5" customHeight="1">
      <c r="A554" s="212"/>
      <c r="B554" s="213"/>
      <c r="C554" s="213"/>
      <c r="D554" s="213"/>
      <c r="E554" s="213"/>
      <c r="F554" s="214"/>
      <c r="G554" s="143"/>
      <c r="H554" s="37"/>
      <c r="I554" s="144"/>
      <c r="J554" s="133"/>
      <c r="K554" s="214"/>
    </row>
    <row r="555" ht="22.5" customHeight="1">
      <c r="A555" s="212"/>
      <c r="B555" s="213"/>
      <c r="C555" s="213"/>
      <c r="D555" s="213"/>
      <c r="E555" s="213"/>
      <c r="F555" s="214"/>
      <c r="G555" s="141"/>
      <c r="H555" s="41"/>
      <c r="I555" s="142"/>
      <c r="J555" s="134"/>
      <c r="K555" s="214"/>
    </row>
    <row r="556" ht="22.5" customHeight="1">
      <c r="A556" s="212"/>
      <c r="B556" s="213"/>
      <c r="C556" s="213"/>
      <c r="D556" s="213"/>
      <c r="E556" s="213"/>
      <c r="F556" s="214"/>
      <c r="G556" s="143"/>
      <c r="H556" s="37"/>
      <c r="I556" s="144"/>
      <c r="J556" s="133"/>
      <c r="K556" s="214"/>
    </row>
    <row r="557" ht="22.5" customHeight="1">
      <c r="A557" s="212"/>
      <c r="B557" s="213"/>
      <c r="C557" s="213"/>
      <c r="D557" s="213"/>
      <c r="E557" s="213"/>
      <c r="F557" s="214"/>
      <c r="G557" s="141"/>
      <c r="H557" s="41"/>
      <c r="I557" s="142"/>
      <c r="J557" s="134"/>
      <c r="K557" s="214"/>
    </row>
    <row r="558" ht="22.5" customHeight="1">
      <c r="A558" s="212"/>
      <c r="B558" s="213"/>
      <c r="C558" s="213"/>
      <c r="D558" s="213"/>
      <c r="E558" s="213"/>
      <c r="F558" s="214"/>
      <c r="G558" s="143"/>
      <c r="H558" s="37"/>
      <c r="I558" s="144"/>
      <c r="J558" s="133"/>
      <c r="K558" s="214"/>
    </row>
    <row r="559" ht="22.5" customHeight="1">
      <c r="A559" s="212"/>
      <c r="B559" s="213"/>
      <c r="C559" s="213"/>
      <c r="D559" s="213"/>
      <c r="E559" s="213"/>
      <c r="F559" s="214"/>
      <c r="G559" s="141"/>
      <c r="H559" s="41"/>
      <c r="I559" s="142"/>
      <c r="J559" s="134"/>
      <c r="K559" s="214"/>
    </row>
    <row r="560" ht="22.5" customHeight="1">
      <c r="A560" s="212"/>
      <c r="B560" s="213"/>
      <c r="C560" s="213"/>
      <c r="D560" s="213"/>
      <c r="E560" s="213"/>
      <c r="F560" s="214"/>
      <c r="G560" s="143"/>
      <c r="H560" s="37"/>
      <c r="I560" s="144"/>
      <c r="J560" s="133"/>
      <c r="K560" s="214"/>
    </row>
    <row r="561" ht="22.5" customHeight="1">
      <c r="A561" s="212"/>
      <c r="B561" s="213"/>
      <c r="C561" s="213"/>
      <c r="D561" s="213"/>
      <c r="E561" s="213"/>
      <c r="F561" s="214"/>
      <c r="G561" s="141"/>
      <c r="H561" s="41"/>
      <c r="I561" s="142"/>
      <c r="J561" s="134"/>
      <c r="K561" s="214"/>
    </row>
    <row r="562" ht="22.5" customHeight="1">
      <c r="A562" s="212"/>
      <c r="B562" s="213"/>
      <c r="C562" s="213"/>
      <c r="D562" s="213"/>
      <c r="E562" s="213"/>
      <c r="F562" s="214"/>
      <c r="G562" s="143"/>
      <c r="H562" s="37"/>
      <c r="I562" s="144"/>
      <c r="J562" s="133"/>
      <c r="K562" s="214"/>
    </row>
    <row r="563" ht="22.5" customHeight="1">
      <c r="A563" s="212"/>
      <c r="B563" s="213"/>
      <c r="C563" s="213"/>
      <c r="D563" s="213"/>
      <c r="E563" s="213"/>
      <c r="F563" s="214"/>
      <c r="G563" s="141"/>
      <c r="H563" s="41"/>
      <c r="I563" s="142"/>
      <c r="J563" s="134"/>
      <c r="K563" s="214"/>
    </row>
    <row r="564" ht="22.5" customHeight="1">
      <c r="A564" s="212"/>
      <c r="B564" s="213"/>
      <c r="C564" s="213"/>
      <c r="D564" s="213"/>
      <c r="E564" s="213"/>
      <c r="F564" s="214"/>
      <c r="G564" s="143"/>
      <c r="H564" s="37"/>
      <c r="I564" s="144"/>
      <c r="J564" s="133"/>
      <c r="K564" s="214"/>
    </row>
    <row r="565" ht="22.5" customHeight="1">
      <c r="A565" s="212"/>
      <c r="B565" s="213"/>
      <c r="C565" s="213"/>
      <c r="D565" s="213"/>
      <c r="E565" s="213"/>
      <c r="F565" s="214"/>
      <c r="G565" s="141"/>
      <c r="H565" s="41"/>
      <c r="I565" s="142"/>
      <c r="J565" s="134"/>
      <c r="K565" s="214"/>
    </row>
    <row r="566" ht="22.5" customHeight="1">
      <c r="A566" s="212"/>
      <c r="B566" s="213"/>
      <c r="C566" s="213"/>
      <c r="D566" s="213"/>
      <c r="E566" s="213"/>
      <c r="F566" s="214"/>
      <c r="G566" s="143"/>
      <c r="H566" s="37"/>
      <c r="I566" s="144"/>
      <c r="J566" s="133"/>
      <c r="K566" s="214"/>
    </row>
    <row r="567" ht="22.5" customHeight="1">
      <c r="A567" s="212"/>
      <c r="B567" s="213"/>
      <c r="C567" s="213"/>
      <c r="D567" s="213"/>
      <c r="E567" s="213"/>
      <c r="F567" s="214"/>
      <c r="G567" s="141"/>
      <c r="H567" s="41"/>
      <c r="I567" s="142"/>
      <c r="J567" s="134"/>
      <c r="K567" s="214"/>
    </row>
    <row r="568" ht="22.5" customHeight="1">
      <c r="A568" s="212"/>
      <c r="B568" s="213"/>
      <c r="C568" s="213"/>
      <c r="D568" s="213"/>
      <c r="E568" s="213"/>
      <c r="F568" s="214"/>
      <c r="G568" s="143"/>
      <c r="H568" s="37"/>
      <c r="I568" s="144"/>
      <c r="J568" s="133"/>
      <c r="K568" s="214"/>
    </row>
    <row r="569" ht="22.5" customHeight="1">
      <c r="A569" s="212"/>
      <c r="B569" s="213"/>
      <c r="C569" s="213"/>
      <c r="D569" s="213"/>
      <c r="E569" s="213"/>
      <c r="F569" s="214"/>
      <c r="G569" s="141"/>
      <c r="H569" s="41"/>
      <c r="I569" s="142"/>
      <c r="J569" s="134"/>
      <c r="K569" s="214"/>
    </row>
    <row r="570" ht="22.5" customHeight="1">
      <c r="A570" s="212"/>
      <c r="B570" s="213"/>
      <c r="C570" s="213"/>
      <c r="D570" s="213"/>
      <c r="E570" s="213"/>
      <c r="F570" s="214"/>
      <c r="G570" s="143"/>
      <c r="H570" s="37"/>
      <c r="I570" s="144"/>
      <c r="J570" s="133"/>
      <c r="K570" s="214"/>
    </row>
    <row r="571" ht="22.5" customHeight="1">
      <c r="A571" s="212"/>
      <c r="B571" s="213"/>
      <c r="C571" s="213"/>
      <c r="D571" s="213"/>
      <c r="E571" s="213"/>
      <c r="F571" s="214"/>
      <c r="G571" s="141"/>
      <c r="H571" s="41"/>
      <c r="I571" s="142"/>
      <c r="J571" s="134"/>
      <c r="K571" s="214"/>
    </row>
    <row r="572" ht="22.5" customHeight="1">
      <c r="A572" s="212"/>
      <c r="B572" s="213"/>
      <c r="C572" s="213"/>
      <c r="D572" s="213"/>
      <c r="E572" s="213"/>
      <c r="F572" s="214"/>
      <c r="G572" s="143"/>
      <c r="H572" s="37"/>
      <c r="I572" s="144"/>
      <c r="J572" s="133"/>
      <c r="K572" s="214"/>
    </row>
    <row r="573" ht="22.5" customHeight="1">
      <c r="A573" s="212"/>
      <c r="B573" s="213"/>
      <c r="C573" s="213"/>
      <c r="D573" s="213"/>
      <c r="E573" s="213"/>
      <c r="F573" s="214"/>
      <c r="G573" s="141"/>
      <c r="H573" s="41"/>
      <c r="I573" s="142"/>
      <c r="J573" s="134"/>
      <c r="K573" s="214"/>
    </row>
    <row r="574" ht="22.5" customHeight="1">
      <c r="A574" s="212"/>
      <c r="B574" s="213"/>
      <c r="C574" s="213"/>
      <c r="D574" s="213"/>
      <c r="E574" s="213"/>
      <c r="F574" s="214"/>
      <c r="G574" s="143"/>
      <c r="H574" s="37"/>
      <c r="I574" s="144"/>
      <c r="J574" s="133"/>
      <c r="K574" s="214"/>
    </row>
    <row r="575" ht="22.5" customHeight="1">
      <c r="A575" s="212"/>
      <c r="B575" s="213"/>
      <c r="C575" s="213"/>
      <c r="D575" s="213"/>
      <c r="E575" s="213"/>
      <c r="F575" s="214"/>
      <c r="G575" s="141"/>
      <c r="H575" s="41"/>
      <c r="I575" s="142"/>
      <c r="J575" s="134"/>
      <c r="K575" s="214"/>
    </row>
    <row r="576" ht="22.5" customHeight="1">
      <c r="A576" s="212"/>
      <c r="B576" s="213"/>
      <c r="C576" s="213"/>
      <c r="D576" s="213"/>
      <c r="E576" s="213"/>
      <c r="F576" s="214"/>
      <c r="G576" s="143"/>
      <c r="H576" s="37"/>
      <c r="I576" s="144"/>
      <c r="J576" s="133"/>
      <c r="K576" s="214"/>
    </row>
    <row r="577" ht="22.5" customHeight="1">
      <c r="A577" s="212"/>
      <c r="B577" s="213"/>
      <c r="C577" s="213"/>
      <c r="D577" s="213"/>
      <c r="E577" s="213"/>
      <c r="F577" s="214"/>
      <c r="G577" s="141"/>
      <c r="H577" s="41"/>
      <c r="I577" s="142"/>
      <c r="J577" s="134"/>
      <c r="K577" s="214"/>
    </row>
    <row r="578" ht="22.5" customHeight="1">
      <c r="A578" s="212"/>
      <c r="B578" s="213"/>
      <c r="C578" s="213"/>
      <c r="D578" s="213"/>
      <c r="E578" s="213"/>
      <c r="F578" s="214"/>
      <c r="G578" s="143"/>
      <c r="H578" s="37"/>
      <c r="I578" s="144"/>
      <c r="J578" s="133"/>
      <c r="K578" s="214"/>
    </row>
    <row r="579" ht="22.5" customHeight="1">
      <c r="A579" s="212"/>
      <c r="B579" s="213"/>
      <c r="C579" s="213"/>
      <c r="D579" s="213"/>
      <c r="E579" s="213"/>
      <c r="F579" s="214"/>
      <c r="G579" s="141"/>
      <c r="H579" s="41"/>
      <c r="I579" s="142"/>
      <c r="J579" s="134"/>
      <c r="K579" s="214"/>
    </row>
    <row r="580" ht="22.5" customHeight="1">
      <c r="A580" s="212"/>
      <c r="B580" s="213"/>
      <c r="C580" s="213"/>
      <c r="D580" s="213"/>
      <c r="E580" s="213"/>
      <c r="F580" s="214"/>
      <c r="G580" s="143"/>
      <c r="H580" s="37"/>
      <c r="I580" s="144"/>
      <c r="J580" s="133"/>
      <c r="K580" s="214"/>
    </row>
    <row r="581" ht="22.5" customHeight="1">
      <c r="A581" s="212"/>
      <c r="B581" s="213"/>
      <c r="C581" s="213"/>
      <c r="D581" s="213"/>
      <c r="E581" s="213"/>
      <c r="F581" s="214"/>
      <c r="G581" s="141"/>
      <c r="H581" s="41"/>
      <c r="I581" s="142"/>
      <c r="J581" s="134"/>
      <c r="K581" s="214"/>
    </row>
    <row r="582" ht="22.5" customHeight="1">
      <c r="A582" s="212"/>
      <c r="B582" s="213"/>
      <c r="C582" s="213"/>
      <c r="D582" s="213"/>
      <c r="E582" s="213"/>
      <c r="F582" s="214"/>
      <c r="G582" s="143"/>
      <c r="H582" s="37"/>
      <c r="I582" s="144"/>
      <c r="J582" s="133"/>
      <c r="K582" s="214"/>
    </row>
    <row r="583" ht="22.5" customHeight="1">
      <c r="A583" s="212"/>
      <c r="B583" s="213"/>
      <c r="C583" s="213"/>
      <c r="D583" s="213"/>
      <c r="E583" s="213"/>
      <c r="F583" s="214"/>
      <c r="G583" s="141"/>
      <c r="H583" s="41"/>
      <c r="I583" s="142"/>
      <c r="J583" s="134"/>
      <c r="K583" s="214"/>
    </row>
    <row r="584" ht="22.5" customHeight="1">
      <c r="A584" s="212"/>
      <c r="B584" s="213"/>
      <c r="C584" s="213"/>
      <c r="D584" s="213"/>
      <c r="E584" s="213"/>
      <c r="F584" s="214"/>
      <c r="G584" s="143"/>
      <c r="H584" s="37"/>
      <c r="I584" s="144"/>
      <c r="J584" s="133"/>
      <c r="K584" s="214"/>
    </row>
    <row r="585" ht="22.5" customHeight="1">
      <c r="A585" s="212"/>
      <c r="B585" s="213"/>
      <c r="C585" s="213"/>
      <c r="D585" s="213"/>
      <c r="E585" s="213"/>
      <c r="F585" s="214"/>
      <c r="G585" s="141"/>
      <c r="H585" s="41"/>
      <c r="I585" s="142"/>
      <c r="J585" s="134"/>
      <c r="K585" s="214"/>
    </row>
    <row r="586" ht="22.5" customHeight="1">
      <c r="A586" s="212"/>
      <c r="B586" s="213"/>
      <c r="C586" s="213"/>
      <c r="D586" s="213"/>
      <c r="E586" s="213"/>
      <c r="F586" s="214"/>
      <c r="G586" s="143"/>
      <c r="H586" s="37"/>
      <c r="I586" s="144"/>
      <c r="J586" s="133"/>
      <c r="K586" s="214"/>
    </row>
    <row r="587" ht="22.5" customHeight="1">
      <c r="A587" s="212"/>
      <c r="B587" s="213"/>
      <c r="C587" s="213"/>
      <c r="D587" s="213"/>
      <c r="E587" s="213"/>
      <c r="F587" s="214"/>
      <c r="G587" s="141"/>
      <c r="H587" s="41"/>
      <c r="I587" s="142"/>
      <c r="J587" s="134"/>
      <c r="K587" s="214"/>
    </row>
    <row r="588" ht="22.5" customHeight="1">
      <c r="A588" s="212"/>
      <c r="B588" s="213"/>
      <c r="C588" s="213"/>
      <c r="D588" s="213"/>
      <c r="E588" s="213"/>
      <c r="F588" s="214"/>
      <c r="G588" s="143"/>
      <c r="H588" s="37"/>
      <c r="I588" s="144"/>
      <c r="J588" s="133"/>
      <c r="K588" s="214"/>
    </row>
    <row r="589" ht="22.5" customHeight="1">
      <c r="A589" s="212"/>
      <c r="B589" s="213"/>
      <c r="C589" s="213"/>
      <c r="D589" s="213"/>
      <c r="E589" s="213"/>
      <c r="F589" s="214"/>
      <c r="G589" s="141"/>
      <c r="H589" s="41"/>
      <c r="I589" s="142"/>
      <c r="J589" s="134"/>
      <c r="K589" s="214"/>
    </row>
    <row r="590" ht="22.5" customHeight="1">
      <c r="A590" s="212"/>
      <c r="B590" s="213"/>
      <c r="C590" s="213"/>
      <c r="D590" s="213"/>
      <c r="E590" s="213"/>
      <c r="F590" s="214"/>
      <c r="G590" s="143"/>
      <c r="H590" s="37"/>
      <c r="I590" s="144"/>
      <c r="J590" s="133"/>
      <c r="K590" s="214"/>
    </row>
    <row r="591" ht="22.5" customHeight="1">
      <c r="A591" s="212"/>
      <c r="B591" s="213"/>
      <c r="C591" s="213"/>
      <c r="D591" s="213"/>
      <c r="E591" s="213"/>
      <c r="F591" s="214"/>
      <c r="G591" s="141"/>
      <c r="H591" s="41"/>
      <c r="I591" s="142"/>
      <c r="J591" s="134"/>
      <c r="K591" s="214"/>
    </row>
    <row r="592" ht="22.5" customHeight="1">
      <c r="A592" s="212"/>
      <c r="B592" s="213"/>
      <c r="C592" s="213"/>
      <c r="D592" s="213"/>
      <c r="E592" s="213"/>
      <c r="F592" s="214"/>
      <c r="G592" s="143"/>
      <c r="H592" s="37"/>
      <c r="I592" s="144"/>
      <c r="J592" s="133"/>
      <c r="K592" s="214"/>
    </row>
    <row r="593" ht="22.5" customHeight="1">
      <c r="A593" s="212"/>
      <c r="B593" s="213"/>
      <c r="C593" s="213"/>
      <c r="D593" s="213"/>
      <c r="E593" s="213"/>
      <c r="F593" s="214"/>
      <c r="G593" s="141"/>
      <c r="H593" s="41"/>
      <c r="I593" s="142"/>
      <c r="J593" s="134"/>
      <c r="K593" s="214"/>
    </row>
    <row r="594" ht="22.5" customHeight="1">
      <c r="A594" s="212"/>
      <c r="B594" s="213"/>
      <c r="C594" s="213"/>
      <c r="D594" s="213"/>
      <c r="E594" s="213"/>
      <c r="F594" s="214"/>
      <c r="G594" s="143"/>
      <c r="H594" s="37"/>
      <c r="I594" s="144"/>
      <c r="J594" s="133"/>
      <c r="K594" s="214"/>
    </row>
    <row r="595" ht="22.5" customHeight="1">
      <c r="A595" s="212"/>
      <c r="B595" s="213"/>
      <c r="C595" s="213"/>
      <c r="D595" s="213"/>
      <c r="E595" s="213"/>
      <c r="F595" s="214"/>
      <c r="G595" s="141"/>
      <c r="H595" s="41"/>
      <c r="I595" s="142"/>
      <c r="J595" s="134"/>
      <c r="K595" s="214"/>
    </row>
    <row r="596" ht="22.5" customHeight="1">
      <c r="A596" s="212"/>
      <c r="B596" s="213"/>
      <c r="C596" s="213"/>
      <c r="D596" s="213"/>
      <c r="E596" s="213"/>
      <c r="F596" s="214"/>
      <c r="G596" s="143"/>
      <c r="H596" s="37"/>
      <c r="I596" s="144"/>
      <c r="J596" s="133"/>
      <c r="K596" s="214"/>
    </row>
    <row r="597" ht="22.5" customHeight="1">
      <c r="A597" s="212"/>
      <c r="B597" s="213"/>
      <c r="C597" s="213"/>
      <c r="D597" s="213"/>
      <c r="E597" s="213"/>
      <c r="F597" s="214"/>
      <c r="G597" s="141"/>
      <c r="H597" s="41"/>
      <c r="I597" s="142"/>
      <c r="J597" s="134"/>
      <c r="K597" s="214"/>
    </row>
    <row r="598" ht="22.5" customHeight="1">
      <c r="A598" s="212"/>
      <c r="B598" s="213"/>
      <c r="C598" s="213"/>
      <c r="D598" s="213"/>
      <c r="E598" s="213"/>
      <c r="F598" s="214"/>
      <c r="G598" s="143"/>
      <c r="H598" s="37"/>
      <c r="I598" s="144"/>
      <c r="J598" s="133"/>
      <c r="K598" s="214"/>
    </row>
    <row r="599" ht="22.5" customHeight="1">
      <c r="A599" s="212"/>
      <c r="B599" s="213"/>
      <c r="C599" s="213"/>
      <c r="D599" s="213"/>
      <c r="E599" s="213"/>
      <c r="F599" s="214"/>
      <c r="G599" s="141"/>
      <c r="H599" s="41"/>
      <c r="I599" s="142"/>
      <c r="J599" s="134"/>
      <c r="K599" s="214"/>
    </row>
    <row r="600" ht="22.5" customHeight="1">
      <c r="A600" s="212"/>
      <c r="B600" s="213"/>
      <c r="C600" s="213"/>
      <c r="D600" s="213"/>
      <c r="E600" s="213"/>
      <c r="F600" s="214"/>
      <c r="G600" s="143"/>
      <c r="H600" s="37"/>
      <c r="I600" s="144"/>
      <c r="J600" s="133"/>
      <c r="K600" s="214"/>
    </row>
    <row r="601" ht="22.5" customHeight="1">
      <c r="A601" s="212"/>
      <c r="B601" s="213"/>
      <c r="C601" s="213"/>
      <c r="D601" s="213"/>
      <c r="E601" s="213"/>
      <c r="F601" s="214"/>
      <c r="G601" s="141"/>
      <c r="H601" s="41"/>
      <c r="I601" s="142"/>
      <c r="J601" s="134"/>
      <c r="K601" s="214"/>
    </row>
    <row r="602" ht="22.5" customHeight="1">
      <c r="A602" s="212"/>
      <c r="B602" s="213"/>
      <c r="C602" s="213"/>
      <c r="D602" s="213"/>
      <c r="E602" s="213"/>
      <c r="F602" s="214"/>
      <c r="G602" s="143"/>
      <c r="H602" s="37"/>
      <c r="I602" s="144"/>
      <c r="J602" s="133"/>
      <c r="K602" s="214"/>
    </row>
    <row r="603" ht="22.5" customHeight="1">
      <c r="A603" s="212"/>
      <c r="B603" s="213"/>
      <c r="C603" s="213"/>
      <c r="D603" s="213"/>
      <c r="E603" s="213"/>
      <c r="F603" s="214"/>
      <c r="G603" s="141"/>
      <c r="H603" s="41"/>
      <c r="I603" s="142"/>
      <c r="J603" s="134"/>
      <c r="K603" s="214"/>
    </row>
    <row r="604" ht="22.5" customHeight="1">
      <c r="A604" s="212"/>
      <c r="B604" s="213"/>
      <c r="C604" s="213"/>
      <c r="D604" s="213"/>
      <c r="E604" s="213"/>
      <c r="F604" s="214"/>
      <c r="G604" s="143"/>
      <c r="H604" s="37"/>
      <c r="I604" s="144"/>
      <c r="J604" s="133"/>
      <c r="K604" s="214"/>
    </row>
    <row r="605" ht="22.5" customHeight="1">
      <c r="A605" s="212"/>
      <c r="B605" s="213"/>
      <c r="C605" s="213"/>
      <c r="D605" s="213"/>
      <c r="E605" s="213"/>
      <c r="F605" s="214"/>
      <c r="G605" s="141"/>
      <c r="H605" s="41"/>
      <c r="I605" s="142"/>
      <c r="J605" s="134"/>
      <c r="K605" s="214"/>
    </row>
    <row r="606" ht="22.5" customHeight="1">
      <c r="A606" s="212"/>
      <c r="B606" s="213"/>
      <c r="C606" s="213"/>
      <c r="D606" s="213"/>
      <c r="E606" s="213"/>
      <c r="F606" s="214"/>
      <c r="G606" s="143"/>
      <c r="H606" s="37"/>
      <c r="I606" s="144"/>
      <c r="J606" s="133"/>
      <c r="K606" s="214"/>
    </row>
    <row r="607" ht="22.5" customHeight="1">
      <c r="A607" s="212"/>
      <c r="B607" s="213"/>
      <c r="C607" s="213"/>
      <c r="D607" s="213"/>
      <c r="E607" s="213"/>
      <c r="F607" s="214"/>
      <c r="G607" s="141"/>
      <c r="H607" s="41"/>
      <c r="I607" s="142"/>
      <c r="J607" s="134"/>
      <c r="K607" s="214"/>
    </row>
    <row r="608" ht="22.5" customHeight="1">
      <c r="A608" s="212"/>
      <c r="B608" s="213"/>
      <c r="C608" s="213"/>
      <c r="D608" s="213"/>
      <c r="E608" s="213"/>
      <c r="F608" s="214"/>
      <c r="G608" s="143"/>
      <c r="H608" s="37"/>
      <c r="I608" s="144"/>
      <c r="J608" s="133"/>
      <c r="K608" s="214"/>
    </row>
    <row r="609" ht="22.5" customHeight="1">
      <c r="A609" s="212"/>
      <c r="B609" s="213"/>
      <c r="C609" s="213"/>
      <c r="D609" s="213"/>
      <c r="E609" s="213"/>
      <c r="F609" s="214"/>
      <c r="G609" s="141"/>
      <c r="H609" s="41"/>
      <c r="I609" s="142"/>
      <c r="J609" s="134"/>
      <c r="K609" s="214"/>
    </row>
    <row r="610" ht="22.5" customHeight="1">
      <c r="A610" s="212"/>
      <c r="B610" s="213"/>
      <c r="C610" s="213"/>
      <c r="D610" s="213"/>
      <c r="E610" s="213"/>
      <c r="F610" s="214"/>
      <c r="G610" s="143"/>
      <c r="H610" s="37"/>
      <c r="I610" s="144"/>
      <c r="J610" s="133"/>
      <c r="K610" s="214"/>
    </row>
    <row r="611" ht="22.5" customHeight="1">
      <c r="A611" s="212"/>
      <c r="B611" s="213"/>
      <c r="C611" s="213"/>
      <c r="D611" s="213"/>
      <c r="E611" s="213"/>
      <c r="F611" s="214"/>
      <c r="G611" s="141"/>
      <c r="H611" s="41"/>
      <c r="I611" s="142"/>
      <c r="J611" s="134"/>
      <c r="K611" s="214"/>
    </row>
    <row r="612" ht="22.5" customHeight="1">
      <c r="A612" s="212"/>
      <c r="B612" s="213"/>
      <c r="C612" s="213"/>
      <c r="D612" s="213"/>
      <c r="E612" s="213"/>
      <c r="F612" s="214"/>
      <c r="G612" s="143"/>
      <c r="H612" s="37"/>
      <c r="I612" s="144"/>
      <c r="J612" s="133"/>
      <c r="K612" s="214"/>
    </row>
    <row r="613" ht="22.5" customHeight="1">
      <c r="A613" s="212"/>
      <c r="B613" s="213"/>
      <c r="C613" s="213"/>
      <c r="D613" s="213"/>
      <c r="E613" s="213"/>
      <c r="F613" s="214"/>
      <c r="G613" s="141"/>
      <c r="H613" s="41"/>
      <c r="I613" s="142"/>
      <c r="J613" s="134"/>
      <c r="K613" s="214"/>
    </row>
    <row r="614" ht="22.5" customHeight="1">
      <c r="A614" s="212"/>
      <c r="B614" s="213"/>
      <c r="C614" s="213"/>
      <c r="D614" s="213"/>
      <c r="E614" s="213"/>
      <c r="F614" s="214"/>
      <c r="G614" s="143"/>
      <c r="H614" s="37"/>
      <c r="I614" s="144"/>
      <c r="J614" s="133"/>
      <c r="K614" s="214"/>
    </row>
    <row r="615" ht="22.5" customHeight="1">
      <c r="A615" s="212"/>
      <c r="B615" s="213"/>
      <c r="C615" s="213"/>
      <c r="D615" s="213"/>
      <c r="E615" s="213"/>
      <c r="F615" s="214"/>
      <c r="G615" s="141"/>
      <c r="H615" s="41"/>
      <c r="I615" s="142"/>
      <c r="J615" s="134"/>
      <c r="K615" s="214"/>
    </row>
    <row r="616" ht="22.5" customHeight="1">
      <c r="A616" s="212"/>
      <c r="B616" s="213"/>
      <c r="C616" s="213"/>
      <c r="D616" s="213"/>
      <c r="E616" s="213"/>
      <c r="F616" s="214"/>
      <c r="G616" s="143"/>
      <c r="H616" s="37"/>
      <c r="I616" s="144"/>
      <c r="J616" s="133"/>
      <c r="K616" s="214"/>
    </row>
    <row r="617" ht="22.5" customHeight="1">
      <c r="A617" s="212"/>
      <c r="B617" s="213"/>
      <c r="C617" s="213"/>
      <c r="D617" s="213"/>
      <c r="E617" s="213"/>
      <c r="F617" s="214"/>
      <c r="G617" s="141"/>
      <c r="H617" s="41"/>
      <c r="I617" s="142"/>
      <c r="J617" s="134"/>
      <c r="K617" s="214"/>
    </row>
    <row r="618" ht="22.5" customHeight="1">
      <c r="A618" s="212"/>
      <c r="B618" s="213"/>
      <c r="C618" s="213"/>
      <c r="D618" s="213"/>
      <c r="E618" s="213"/>
      <c r="F618" s="214"/>
      <c r="G618" s="143"/>
      <c r="H618" s="37"/>
      <c r="I618" s="144"/>
      <c r="J618" s="133"/>
      <c r="K618" s="214"/>
    </row>
    <row r="619" ht="22.5" customHeight="1">
      <c r="A619" s="212"/>
      <c r="B619" s="213"/>
      <c r="C619" s="213"/>
      <c r="D619" s="213"/>
      <c r="E619" s="213"/>
      <c r="F619" s="214"/>
      <c r="G619" s="141"/>
      <c r="H619" s="41"/>
      <c r="I619" s="142"/>
      <c r="J619" s="134"/>
      <c r="K619" s="214"/>
    </row>
    <row r="620" ht="22.5" customHeight="1">
      <c r="A620" s="212"/>
      <c r="B620" s="213"/>
      <c r="C620" s="213"/>
      <c r="D620" s="213"/>
      <c r="E620" s="213"/>
      <c r="F620" s="214"/>
      <c r="G620" s="143"/>
      <c r="H620" s="37"/>
      <c r="I620" s="144"/>
      <c r="J620" s="133"/>
      <c r="K620" s="214"/>
    </row>
    <row r="621" ht="22.5" customHeight="1">
      <c r="A621" s="212"/>
      <c r="B621" s="213"/>
      <c r="C621" s="213"/>
      <c r="D621" s="213"/>
      <c r="E621" s="213"/>
      <c r="F621" s="214"/>
      <c r="G621" s="141"/>
      <c r="H621" s="41"/>
      <c r="I621" s="142"/>
      <c r="J621" s="134"/>
      <c r="K621" s="214"/>
    </row>
    <row r="622" ht="22.5" customHeight="1">
      <c r="A622" s="212"/>
      <c r="B622" s="213"/>
      <c r="C622" s="213"/>
      <c r="D622" s="213"/>
      <c r="E622" s="213"/>
      <c r="F622" s="214"/>
      <c r="G622" s="143"/>
      <c r="H622" s="37"/>
      <c r="I622" s="144"/>
      <c r="J622" s="133"/>
      <c r="K622" s="214"/>
    </row>
    <row r="623" ht="22.5" customHeight="1">
      <c r="A623" s="212"/>
      <c r="B623" s="213"/>
      <c r="C623" s="213"/>
      <c r="D623" s="213"/>
      <c r="E623" s="213"/>
      <c r="F623" s="214"/>
      <c r="G623" s="141"/>
      <c r="H623" s="41"/>
      <c r="I623" s="142"/>
      <c r="J623" s="134"/>
      <c r="K623" s="214"/>
    </row>
    <row r="624" ht="22.5" customHeight="1">
      <c r="A624" s="212"/>
      <c r="B624" s="213"/>
      <c r="C624" s="213"/>
      <c r="D624" s="213"/>
      <c r="E624" s="213"/>
      <c r="F624" s="214"/>
      <c r="G624" s="143"/>
      <c r="H624" s="37"/>
      <c r="I624" s="144"/>
      <c r="J624" s="133"/>
      <c r="K624" s="214"/>
    </row>
    <row r="625" ht="22.5" customHeight="1">
      <c r="A625" s="212"/>
      <c r="B625" s="213"/>
      <c r="C625" s="213"/>
      <c r="D625" s="213"/>
      <c r="E625" s="213"/>
      <c r="F625" s="214"/>
      <c r="G625" s="141"/>
      <c r="H625" s="41"/>
      <c r="I625" s="142"/>
      <c r="J625" s="134"/>
      <c r="K625" s="214"/>
    </row>
    <row r="626" ht="22.5" customHeight="1">
      <c r="A626" s="212"/>
      <c r="B626" s="213"/>
      <c r="C626" s="213"/>
      <c r="D626" s="213"/>
      <c r="E626" s="213"/>
      <c r="F626" s="214"/>
      <c r="G626" s="143"/>
      <c r="H626" s="37"/>
      <c r="I626" s="144"/>
      <c r="J626" s="133"/>
      <c r="K626" s="214"/>
    </row>
    <row r="627" ht="22.5" customHeight="1">
      <c r="A627" s="212"/>
      <c r="B627" s="213"/>
      <c r="C627" s="213"/>
      <c r="D627" s="213"/>
      <c r="E627" s="213"/>
      <c r="F627" s="214"/>
      <c r="G627" s="141"/>
      <c r="H627" s="41"/>
      <c r="I627" s="142"/>
      <c r="J627" s="134"/>
      <c r="K627" s="214"/>
    </row>
    <row r="628" ht="22.5" customHeight="1">
      <c r="A628" s="212"/>
      <c r="B628" s="213"/>
      <c r="C628" s="213"/>
      <c r="D628" s="213"/>
      <c r="E628" s="213"/>
      <c r="F628" s="214"/>
      <c r="G628" s="143"/>
      <c r="H628" s="37"/>
      <c r="I628" s="144"/>
      <c r="J628" s="133"/>
      <c r="K628" s="214"/>
    </row>
    <row r="629" ht="22.5" customHeight="1">
      <c r="A629" s="212"/>
      <c r="B629" s="213"/>
      <c r="C629" s="213"/>
      <c r="D629" s="213"/>
      <c r="E629" s="213"/>
      <c r="F629" s="214"/>
      <c r="G629" s="141"/>
      <c r="H629" s="41"/>
      <c r="I629" s="142"/>
      <c r="J629" s="134"/>
      <c r="K629" s="214"/>
    </row>
    <row r="630" ht="22.5" customHeight="1">
      <c r="A630" s="212"/>
      <c r="B630" s="213"/>
      <c r="C630" s="213"/>
      <c r="D630" s="213"/>
      <c r="E630" s="213"/>
      <c r="F630" s="214"/>
      <c r="G630" s="143"/>
      <c r="H630" s="37"/>
      <c r="I630" s="144"/>
      <c r="J630" s="133"/>
      <c r="K630" s="214"/>
    </row>
    <row r="631" ht="22.5" customHeight="1">
      <c r="A631" s="212"/>
      <c r="B631" s="213"/>
      <c r="C631" s="213"/>
      <c r="D631" s="213"/>
      <c r="E631" s="213"/>
      <c r="F631" s="214"/>
      <c r="G631" s="141"/>
      <c r="H631" s="41"/>
      <c r="I631" s="142"/>
      <c r="J631" s="134"/>
      <c r="K631" s="214"/>
    </row>
    <row r="632" ht="22.5" customHeight="1">
      <c r="A632" s="212"/>
      <c r="B632" s="213"/>
      <c r="C632" s="213"/>
      <c r="D632" s="213"/>
      <c r="E632" s="213"/>
      <c r="F632" s="214"/>
      <c r="G632" s="143"/>
      <c r="H632" s="37"/>
      <c r="I632" s="144"/>
      <c r="J632" s="133"/>
      <c r="K632" s="214"/>
    </row>
    <row r="633" ht="22.5" customHeight="1">
      <c r="A633" s="212"/>
      <c r="B633" s="213"/>
      <c r="C633" s="213"/>
      <c r="D633" s="213"/>
      <c r="E633" s="213"/>
      <c r="F633" s="214"/>
      <c r="G633" s="141"/>
      <c r="H633" s="41"/>
      <c r="I633" s="142"/>
      <c r="J633" s="134"/>
      <c r="K633" s="214"/>
    </row>
    <row r="634" ht="22.5" customHeight="1">
      <c r="A634" s="212"/>
      <c r="B634" s="213"/>
      <c r="C634" s="213"/>
      <c r="D634" s="213"/>
      <c r="E634" s="213"/>
      <c r="F634" s="214"/>
      <c r="G634" s="143"/>
      <c r="H634" s="37"/>
      <c r="I634" s="144"/>
      <c r="J634" s="133"/>
      <c r="K634" s="214"/>
    </row>
    <row r="635" ht="22.5" customHeight="1">
      <c r="A635" s="212"/>
      <c r="B635" s="213"/>
      <c r="C635" s="213"/>
      <c r="D635" s="213"/>
      <c r="E635" s="213"/>
      <c r="F635" s="214"/>
      <c r="G635" s="141"/>
      <c r="H635" s="41"/>
      <c r="I635" s="142"/>
      <c r="J635" s="134"/>
      <c r="K635" s="214"/>
    </row>
    <row r="636" ht="22.5" customHeight="1">
      <c r="A636" s="212"/>
      <c r="B636" s="213"/>
      <c r="C636" s="213"/>
      <c r="D636" s="213"/>
      <c r="E636" s="213"/>
      <c r="F636" s="214"/>
      <c r="G636" s="143"/>
      <c r="H636" s="37"/>
      <c r="I636" s="144"/>
      <c r="J636" s="133"/>
      <c r="K636" s="214"/>
    </row>
    <row r="637" ht="22.5" customHeight="1">
      <c r="A637" s="212"/>
      <c r="B637" s="213"/>
      <c r="C637" s="213"/>
      <c r="D637" s="213"/>
      <c r="E637" s="213"/>
      <c r="F637" s="214"/>
      <c r="G637" s="141"/>
      <c r="H637" s="41"/>
      <c r="I637" s="142"/>
      <c r="J637" s="134"/>
      <c r="K637" s="214"/>
    </row>
    <row r="638" ht="22.5" customHeight="1">
      <c r="A638" s="212"/>
      <c r="B638" s="213"/>
      <c r="C638" s="213"/>
      <c r="D638" s="213"/>
      <c r="E638" s="213"/>
      <c r="F638" s="214"/>
      <c r="G638" s="143"/>
      <c r="H638" s="37"/>
      <c r="I638" s="144"/>
      <c r="J638" s="133"/>
      <c r="K638" s="214"/>
    </row>
    <row r="639" ht="22.5" customHeight="1">
      <c r="A639" s="212"/>
      <c r="B639" s="213"/>
      <c r="C639" s="213"/>
      <c r="D639" s="213"/>
      <c r="E639" s="213"/>
      <c r="F639" s="214"/>
      <c r="G639" s="141"/>
      <c r="H639" s="41"/>
      <c r="I639" s="142"/>
      <c r="J639" s="134"/>
      <c r="K639" s="214"/>
    </row>
    <row r="640" ht="22.5" customHeight="1">
      <c r="A640" s="212"/>
      <c r="B640" s="213"/>
      <c r="C640" s="213"/>
      <c r="D640" s="213"/>
      <c r="E640" s="213"/>
      <c r="F640" s="214"/>
      <c r="G640" s="143"/>
      <c r="H640" s="37"/>
      <c r="I640" s="144"/>
      <c r="J640" s="133"/>
      <c r="K640" s="214"/>
    </row>
    <row r="641" ht="22.5" customHeight="1">
      <c r="A641" s="212"/>
      <c r="B641" s="213"/>
      <c r="C641" s="213"/>
      <c r="D641" s="213"/>
      <c r="E641" s="213"/>
      <c r="F641" s="214"/>
      <c r="G641" s="141"/>
      <c r="H641" s="41"/>
      <c r="I641" s="142"/>
      <c r="J641" s="134"/>
      <c r="K641" s="214"/>
    </row>
    <row r="642" ht="22.5" customHeight="1">
      <c r="A642" s="212"/>
      <c r="B642" s="213"/>
      <c r="C642" s="213"/>
      <c r="D642" s="213"/>
      <c r="E642" s="213"/>
      <c r="F642" s="214"/>
      <c r="G642" s="143"/>
      <c r="H642" s="37"/>
      <c r="I642" s="144"/>
      <c r="J642" s="133"/>
      <c r="K642" s="214"/>
    </row>
    <row r="643" ht="22.5" customHeight="1">
      <c r="A643" s="212"/>
      <c r="B643" s="213"/>
      <c r="C643" s="213"/>
      <c r="D643" s="213"/>
      <c r="E643" s="213"/>
      <c r="F643" s="214"/>
      <c r="G643" s="141"/>
      <c r="H643" s="41"/>
      <c r="I643" s="142"/>
      <c r="J643" s="134"/>
      <c r="K643" s="214"/>
    </row>
    <row r="644" ht="22.5" customHeight="1">
      <c r="A644" s="212"/>
      <c r="B644" s="213"/>
      <c r="C644" s="213"/>
      <c r="D644" s="213"/>
      <c r="E644" s="213"/>
      <c r="F644" s="214"/>
      <c r="G644" s="143"/>
      <c r="H644" s="37"/>
      <c r="I644" s="144"/>
      <c r="J644" s="133"/>
      <c r="K644" s="214"/>
    </row>
    <row r="645" ht="22.5" customHeight="1">
      <c r="A645" s="212"/>
      <c r="B645" s="213"/>
      <c r="C645" s="213"/>
      <c r="D645" s="213"/>
      <c r="E645" s="213"/>
      <c r="F645" s="214"/>
      <c r="G645" s="141"/>
      <c r="H645" s="41"/>
      <c r="I645" s="142"/>
      <c r="J645" s="134"/>
      <c r="K645" s="214"/>
    </row>
    <row r="646" ht="22.5" customHeight="1">
      <c r="A646" s="212"/>
      <c r="B646" s="213"/>
      <c r="C646" s="213"/>
      <c r="D646" s="213"/>
      <c r="E646" s="213"/>
      <c r="F646" s="214"/>
      <c r="G646" s="143"/>
      <c r="H646" s="37"/>
      <c r="I646" s="144"/>
      <c r="J646" s="133"/>
      <c r="K646" s="214"/>
    </row>
    <row r="647" ht="22.5" customHeight="1">
      <c r="A647" s="212"/>
      <c r="B647" s="213"/>
      <c r="C647" s="213"/>
      <c r="D647" s="213"/>
      <c r="E647" s="213"/>
      <c r="F647" s="214"/>
      <c r="G647" s="141"/>
      <c r="H647" s="41"/>
      <c r="I647" s="142"/>
      <c r="J647" s="134"/>
      <c r="K647" s="214"/>
    </row>
    <row r="648" ht="22.5" customHeight="1">
      <c r="A648" s="212"/>
      <c r="B648" s="213"/>
      <c r="C648" s="213"/>
      <c r="D648" s="213"/>
      <c r="E648" s="213"/>
      <c r="F648" s="214"/>
      <c r="G648" s="143"/>
      <c r="H648" s="37"/>
      <c r="I648" s="144"/>
      <c r="J648" s="133"/>
      <c r="K648" s="214"/>
    </row>
    <row r="649" ht="22.5" customHeight="1">
      <c r="A649" s="212"/>
      <c r="B649" s="213"/>
      <c r="C649" s="213"/>
      <c r="D649" s="213"/>
      <c r="E649" s="213"/>
      <c r="F649" s="214"/>
      <c r="G649" s="141"/>
      <c r="H649" s="41"/>
      <c r="I649" s="142"/>
      <c r="J649" s="134"/>
      <c r="K649" s="214"/>
    </row>
    <row r="650" ht="22.5" customHeight="1">
      <c r="A650" s="212"/>
      <c r="B650" s="213"/>
      <c r="C650" s="213"/>
      <c r="D650" s="213"/>
      <c r="E650" s="213"/>
      <c r="F650" s="214"/>
      <c r="G650" s="143"/>
      <c r="H650" s="37"/>
      <c r="I650" s="144"/>
      <c r="J650" s="133"/>
      <c r="K650" s="214"/>
    </row>
    <row r="651" ht="22.5" customHeight="1">
      <c r="A651" s="212"/>
      <c r="B651" s="213"/>
      <c r="C651" s="213"/>
      <c r="D651" s="213"/>
      <c r="E651" s="213"/>
      <c r="F651" s="214"/>
      <c r="G651" s="141"/>
      <c r="H651" s="41"/>
      <c r="I651" s="142"/>
      <c r="J651" s="134"/>
      <c r="K651" s="214"/>
    </row>
    <row r="652" ht="22.5" customHeight="1">
      <c r="A652" s="212"/>
      <c r="B652" s="213"/>
      <c r="C652" s="213"/>
      <c r="D652" s="213"/>
      <c r="E652" s="213"/>
      <c r="F652" s="214"/>
      <c r="G652" s="143"/>
      <c r="H652" s="37"/>
      <c r="I652" s="144"/>
      <c r="J652" s="133"/>
      <c r="K652" s="214"/>
    </row>
    <row r="653" ht="22.5" customHeight="1">
      <c r="A653" s="212"/>
      <c r="B653" s="213"/>
      <c r="C653" s="213"/>
      <c r="D653" s="213"/>
      <c r="E653" s="213"/>
      <c r="F653" s="214"/>
      <c r="G653" s="141"/>
      <c r="H653" s="41"/>
      <c r="I653" s="142"/>
      <c r="J653" s="134"/>
      <c r="K653" s="214"/>
    </row>
    <row r="654" ht="22.5" customHeight="1">
      <c r="A654" s="212"/>
      <c r="B654" s="213"/>
      <c r="C654" s="213"/>
      <c r="D654" s="213"/>
      <c r="E654" s="213"/>
      <c r="F654" s="214"/>
      <c r="G654" s="143"/>
      <c r="H654" s="37"/>
      <c r="I654" s="144"/>
      <c r="J654" s="133"/>
      <c r="K654" s="214"/>
    </row>
    <row r="655" ht="22.5" customHeight="1">
      <c r="A655" s="212"/>
      <c r="B655" s="213"/>
      <c r="C655" s="213"/>
      <c r="D655" s="213"/>
      <c r="E655" s="213"/>
      <c r="F655" s="214"/>
      <c r="G655" s="141"/>
      <c r="H655" s="41"/>
      <c r="I655" s="142"/>
      <c r="J655" s="134"/>
      <c r="K655" s="214"/>
    </row>
    <row r="656" ht="22.5" customHeight="1">
      <c r="A656" s="212"/>
      <c r="B656" s="213"/>
      <c r="C656" s="213"/>
      <c r="D656" s="213"/>
      <c r="E656" s="213"/>
      <c r="F656" s="214"/>
      <c r="G656" s="143"/>
      <c r="H656" s="37"/>
      <c r="I656" s="144"/>
      <c r="J656" s="133"/>
      <c r="K656" s="214"/>
    </row>
    <row r="657" ht="22.5" customHeight="1">
      <c r="A657" s="212"/>
      <c r="B657" s="213"/>
      <c r="C657" s="213"/>
      <c r="D657" s="213"/>
      <c r="E657" s="213"/>
      <c r="F657" s="214"/>
      <c r="G657" s="141"/>
      <c r="H657" s="41"/>
      <c r="I657" s="142"/>
      <c r="J657" s="134"/>
      <c r="K657" s="214"/>
    </row>
    <row r="658" ht="22.5" customHeight="1">
      <c r="A658" s="212"/>
      <c r="B658" s="213"/>
      <c r="C658" s="213"/>
      <c r="D658" s="213"/>
      <c r="E658" s="213"/>
      <c r="F658" s="214"/>
      <c r="G658" s="143"/>
      <c r="H658" s="37"/>
      <c r="I658" s="144"/>
      <c r="J658" s="133"/>
      <c r="K658" s="214"/>
    </row>
    <row r="659" ht="22.5" customHeight="1">
      <c r="A659" s="212"/>
      <c r="B659" s="213"/>
      <c r="C659" s="213"/>
      <c r="D659" s="213"/>
      <c r="E659" s="213"/>
      <c r="F659" s="214"/>
      <c r="G659" s="141"/>
      <c r="H659" s="41"/>
      <c r="I659" s="142"/>
      <c r="J659" s="134"/>
      <c r="K659" s="214"/>
    </row>
    <row r="660" ht="22.5" customHeight="1">
      <c r="A660" s="212"/>
      <c r="B660" s="213"/>
      <c r="C660" s="213"/>
      <c r="D660" s="213"/>
      <c r="E660" s="213"/>
      <c r="F660" s="214"/>
      <c r="G660" s="143"/>
      <c r="H660" s="37"/>
      <c r="I660" s="144"/>
      <c r="J660" s="133"/>
      <c r="K660" s="214"/>
    </row>
    <row r="661" ht="22.5" customHeight="1">
      <c r="A661" s="212"/>
      <c r="B661" s="213"/>
      <c r="C661" s="213"/>
      <c r="D661" s="213"/>
      <c r="E661" s="213"/>
      <c r="F661" s="214"/>
      <c r="G661" s="141"/>
      <c r="H661" s="41"/>
      <c r="I661" s="142"/>
      <c r="J661" s="134"/>
      <c r="K661" s="214"/>
    </row>
    <row r="662" ht="22.5" customHeight="1">
      <c r="A662" s="212"/>
      <c r="B662" s="213"/>
      <c r="C662" s="213"/>
      <c r="D662" s="213"/>
      <c r="E662" s="213"/>
      <c r="F662" s="214"/>
      <c r="G662" s="143"/>
      <c r="H662" s="37"/>
      <c r="I662" s="144"/>
      <c r="J662" s="133"/>
      <c r="K662" s="214"/>
    </row>
    <row r="663" ht="22.5" customHeight="1">
      <c r="A663" s="212"/>
      <c r="B663" s="213"/>
      <c r="C663" s="213"/>
      <c r="D663" s="213"/>
      <c r="E663" s="213"/>
      <c r="F663" s="214"/>
      <c r="G663" s="141"/>
      <c r="H663" s="41"/>
      <c r="I663" s="142"/>
      <c r="J663" s="134"/>
      <c r="K663" s="214"/>
    </row>
    <row r="664" ht="22.5" customHeight="1">
      <c r="A664" s="212"/>
      <c r="B664" s="213"/>
      <c r="C664" s="213"/>
      <c r="D664" s="213"/>
      <c r="E664" s="213"/>
      <c r="F664" s="214"/>
      <c r="G664" s="143"/>
      <c r="H664" s="37"/>
      <c r="I664" s="144"/>
      <c r="J664" s="133"/>
      <c r="K664" s="214"/>
    </row>
    <row r="665" ht="22.5" customHeight="1">
      <c r="A665" s="212"/>
      <c r="B665" s="213"/>
      <c r="C665" s="213"/>
      <c r="D665" s="213"/>
      <c r="E665" s="213"/>
      <c r="F665" s="214"/>
      <c r="G665" s="141"/>
      <c r="H665" s="41"/>
      <c r="I665" s="142"/>
      <c r="J665" s="134"/>
      <c r="K665" s="214"/>
    </row>
    <row r="666" ht="22.5" customHeight="1">
      <c r="A666" s="212"/>
      <c r="B666" s="213"/>
      <c r="C666" s="213"/>
      <c r="D666" s="213"/>
      <c r="E666" s="213"/>
      <c r="F666" s="214"/>
      <c r="G666" s="143"/>
      <c r="H666" s="37"/>
      <c r="I666" s="144"/>
      <c r="J666" s="133"/>
      <c r="K666" s="214"/>
    </row>
    <row r="667" ht="22.5" customHeight="1">
      <c r="A667" s="212"/>
      <c r="B667" s="213"/>
      <c r="C667" s="213"/>
      <c r="D667" s="213"/>
      <c r="E667" s="213"/>
      <c r="F667" s="214"/>
      <c r="G667" s="141"/>
      <c r="H667" s="41"/>
      <c r="I667" s="142"/>
      <c r="J667" s="134"/>
      <c r="K667" s="214"/>
    </row>
    <row r="668" ht="22.5" customHeight="1">
      <c r="A668" s="212"/>
      <c r="B668" s="213"/>
      <c r="C668" s="213"/>
      <c r="D668" s="213"/>
      <c r="E668" s="213"/>
      <c r="F668" s="214"/>
      <c r="G668" s="143"/>
      <c r="H668" s="37"/>
      <c r="I668" s="144"/>
      <c r="J668" s="133"/>
      <c r="K668" s="214"/>
    </row>
    <row r="669" ht="22.5" customHeight="1">
      <c r="A669" s="212"/>
      <c r="B669" s="213"/>
      <c r="C669" s="213"/>
      <c r="D669" s="213"/>
      <c r="E669" s="213"/>
      <c r="F669" s="214"/>
      <c r="G669" s="141"/>
      <c r="H669" s="41"/>
      <c r="I669" s="142"/>
      <c r="J669" s="134"/>
      <c r="K669" s="214"/>
    </row>
    <row r="670" ht="22.5" customHeight="1">
      <c r="A670" s="212"/>
      <c r="B670" s="213"/>
      <c r="C670" s="213"/>
      <c r="D670" s="213"/>
      <c r="E670" s="213"/>
      <c r="F670" s="214"/>
      <c r="G670" s="143"/>
      <c r="H670" s="37"/>
      <c r="I670" s="144"/>
      <c r="J670" s="133"/>
      <c r="K670" s="214"/>
    </row>
    <row r="671" ht="22.5" customHeight="1">
      <c r="A671" s="212"/>
      <c r="B671" s="213"/>
      <c r="C671" s="213"/>
      <c r="D671" s="213"/>
      <c r="E671" s="213"/>
      <c r="F671" s="214"/>
      <c r="G671" s="141"/>
      <c r="H671" s="41"/>
      <c r="I671" s="142"/>
      <c r="J671" s="134"/>
      <c r="K671" s="214"/>
    </row>
    <row r="672" ht="22.5" customHeight="1">
      <c r="A672" s="212"/>
      <c r="B672" s="213"/>
      <c r="C672" s="213"/>
      <c r="D672" s="213"/>
      <c r="E672" s="213"/>
      <c r="F672" s="214"/>
      <c r="G672" s="143"/>
      <c r="H672" s="37"/>
      <c r="I672" s="144"/>
      <c r="J672" s="133"/>
      <c r="K672" s="214"/>
    </row>
    <row r="673" ht="22.5" customHeight="1">
      <c r="A673" s="212"/>
      <c r="B673" s="213"/>
      <c r="C673" s="213"/>
      <c r="D673" s="213"/>
      <c r="E673" s="213"/>
      <c r="F673" s="214"/>
      <c r="G673" s="141"/>
      <c r="H673" s="41"/>
      <c r="I673" s="142"/>
      <c r="J673" s="134"/>
      <c r="K673" s="214"/>
    </row>
    <row r="674" ht="22.5" customHeight="1">
      <c r="A674" s="212"/>
      <c r="B674" s="213"/>
      <c r="C674" s="213"/>
      <c r="D674" s="213"/>
      <c r="E674" s="213"/>
      <c r="F674" s="214"/>
      <c r="G674" s="143"/>
      <c r="H674" s="37"/>
      <c r="I674" s="144"/>
      <c r="J674" s="133"/>
      <c r="K674" s="214"/>
    </row>
    <row r="675" ht="22.5" customHeight="1">
      <c r="A675" s="212"/>
      <c r="B675" s="213"/>
      <c r="C675" s="213"/>
      <c r="D675" s="213"/>
      <c r="E675" s="213"/>
      <c r="F675" s="214"/>
      <c r="G675" s="141"/>
      <c r="H675" s="41"/>
      <c r="I675" s="142"/>
      <c r="J675" s="134"/>
      <c r="K675" s="214"/>
    </row>
    <row r="676" ht="22.5" customHeight="1">
      <c r="A676" s="212"/>
      <c r="B676" s="213"/>
      <c r="C676" s="213"/>
      <c r="D676" s="213"/>
      <c r="E676" s="213"/>
      <c r="F676" s="214"/>
      <c r="G676" s="143"/>
      <c r="H676" s="37"/>
      <c r="I676" s="144"/>
      <c r="J676" s="133"/>
      <c r="K676" s="214"/>
    </row>
    <row r="677" ht="22.5" customHeight="1">
      <c r="A677" s="212"/>
      <c r="B677" s="213"/>
      <c r="C677" s="213"/>
      <c r="D677" s="213"/>
      <c r="E677" s="213"/>
      <c r="F677" s="214"/>
      <c r="G677" s="141"/>
      <c r="H677" s="41"/>
      <c r="I677" s="142"/>
      <c r="J677" s="134"/>
      <c r="K677" s="214"/>
    </row>
    <row r="678" ht="22.5" customHeight="1">
      <c r="A678" s="212"/>
      <c r="B678" s="213"/>
      <c r="C678" s="213"/>
      <c r="D678" s="213"/>
      <c r="E678" s="213"/>
      <c r="F678" s="214"/>
      <c r="G678" s="143"/>
      <c r="H678" s="37"/>
      <c r="I678" s="144"/>
      <c r="J678" s="133"/>
      <c r="K678" s="214"/>
    </row>
    <row r="679" ht="22.5" customHeight="1">
      <c r="A679" s="212"/>
      <c r="B679" s="213"/>
      <c r="C679" s="213"/>
      <c r="D679" s="213"/>
      <c r="E679" s="213"/>
      <c r="F679" s="214"/>
      <c r="G679" s="141"/>
      <c r="H679" s="41"/>
      <c r="I679" s="142"/>
      <c r="J679" s="134"/>
      <c r="K679" s="214"/>
    </row>
    <row r="680" ht="22.5" customHeight="1">
      <c r="A680" s="212"/>
      <c r="B680" s="213"/>
      <c r="C680" s="213"/>
      <c r="D680" s="213"/>
      <c r="E680" s="213"/>
      <c r="F680" s="214"/>
      <c r="G680" s="143"/>
      <c r="H680" s="37"/>
      <c r="I680" s="144"/>
      <c r="J680" s="133"/>
      <c r="K680" s="214"/>
    </row>
    <row r="681" ht="22.5" customHeight="1">
      <c r="A681" s="212"/>
      <c r="B681" s="213"/>
      <c r="C681" s="213"/>
      <c r="D681" s="213"/>
      <c r="E681" s="213"/>
      <c r="F681" s="214"/>
      <c r="G681" s="141"/>
      <c r="H681" s="41"/>
      <c r="I681" s="142"/>
      <c r="J681" s="134"/>
      <c r="K681" s="214"/>
    </row>
    <row r="682" ht="22.5" customHeight="1">
      <c r="A682" s="212"/>
      <c r="B682" s="213"/>
      <c r="C682" s="213"/>
      <c r="D682" s="213"/>
      <c r="E682" s="213"/>
      <c r="F682" s="214"/>
      <c r="G682" s="143"/>
      <c r="H682" s="37"/>
      <c r="I682" s="144"/>
      <c r="J682" s="133"/>
      <c r="K682" s="214"/>
    </row>
    <row r="683" ht="22.5" customHeight="1">
      <c r="A683" s="212"/>
      <c r="B683" s="213"/>
      <c r="C683" s="213"/>
      <c r="D683" s="213"/>
      <c r="E683" s="213"/>
      <c r="F683" s="214"/>
      <c r="G683" s="141"/>
      <c r="H683" s="41"/>
      <c r="I683" s="142"/>
      <c r="J683" s="134"/>
      <c r="K683" s="214"/>
    </row>
    <row r="684" ht="22.5" customHeight="1">
      <c r="A684" s="212"/>
      <c r="B684" s="213"/>
      <c r="C684" s="213"/>
      <c r="D684" s="213"/>
      <c r="E684" s="213"/>
      <c r="F684" s="214"/>
      <c r="G684" s="143"/>
      <c r="H684" s="37"/>
      <c r="I684" s="144"/>
      <c r="J684" s="133"/>
      <c r="K684" s="214"/>
    </row>
    <row r="685" ht="22.5" customHeight="1">
      <c r="A685" s="212"/>
      <c r="B685" s="213"/>
      <c r="C685" s="213"/>
      <c r="D685" s="213"/>
      <c r="E685" s="213"/>
      <c r="F685" s="214"/>
      <c r="G685" s="141"/>
      <c r="H685" s="41"/>
      <c r="I685" s="142"/>
      <c r="J685" s="134"/>
      <c r="K685" s="214"/>
    </row>
    <row r="686" ht="22.5" customHeight="1">
      <c r="A686" s="212"/>
      <c r="B686" s="213"/>
      <c r="C686" s="213"/>
      <c r="D686" s="213"/>
      <c r="E686" s="213"/>
      <c r="F686" s="214"/>
      <c r="G686" s="143"/>
      <c r="H686" s="37"/>
      <c r="I686" s="144"/>
      <c r="J686" s="133"/>
      <c r="K686" s="214"/>
    </row>
    <row r="687" ht="22.5" customHeight="1">
      <c r="A687" s="212"/>
      <c r="B687" s="213"/>
      <c r="C687" s="213"/>
      <c r="D687" s="213"/>
      <c r="E687" s="213"/>
      <c r="F687" s="214"/>
      <c r="G687" s="141"/>
      <c r="H687" s="41"/>
      <c r="I687" s="142"/>
      <c r="J687" s="134"/>
      <c r="K687" s="214"/>
    </row>
    <row r="688" ht="22.5" customHeight="1">
      <c r="A688" s="212"/>
      <c r="B688" s="213"/>
      <c r="C688" s="213"/>
      <c r="D688" s="213"/>
      <c r="E688" s="213"/>
      <c r="F688" s="214"/>
      <c r="G688" s="143"/>
      <c r="H688" s="37"/>
      <c r="I688" s="144"/>
      <c r="J688" s="133"/>
      <c r="K688" s="214"/>
    </row>
    <row r="689" ht="22.5" customHeight="1">
      <c r="A689" s="212"/>
      <c r="B689" s="213"/>
      <c r="C689" s="213"/>
      <c r="D689" s="213"/>
      <c r="E689" s="213"/>
      <c r="F689" s="214"/>
      <c r="G689" s="141"/>
      <c r="H689" s="41"/>
      <c r="I689" s="142"/>
      <c r="J689" s="134"/>
      <c r="K689" s="214"/>
    </row>
    <row r="690" ht="22.5" customHeight="1">
      <c r="A690" s="212"/>
      <c r="B690" s="213"/>
      <c r="C690" s="213"/>
      <c r="D690" s="213"/>
      <c r="E690" s="213"/>
      <c r="F690" s="214"/>
      <c r="G690" s="143"/>
      <c r="H690" s="37"/>
      <c r="I690" s="144"/>
      <c r="J690" s="133"/>
      <c r="K690" s="214"/>
    </row>
    <row r="691" ht="22.5" customHeight="1">
      <c r="A691" s="212"/>
      <c r="B691" s="213"/>
      <c r="C691" s="213"/>
      <c r="D691" s="213"/>
      <c r="E691" s="213"/>
      <c r="F691" s="214"/>
      <c r="G691" s="141"/>
      <c r="H691" s="41"/>
      <c r="I691" s="142"/>
      <c r="J691" s="134"/>
      <c r="K691" s="214"/>
    </row>
    <row r="692" ht="22.5" customHeight="1">
      <c r="A692" s="212"/>
      <c r="B692" s="213"/>
      <c r="C692" s="213"/>
      <c r="D692" s="213"/>
      <c r="E692" s="213"/>
      <c r="F692" s="214"/>
      <c r="G692" s="143"/>
      <c r="H692" s="37"/>
      <c r="I692" s="144"/>
      <c r="J692" s="133"/>
      <c r="K692" s="214"/>
    </row>
    <row r="693" ht="22.5" customHeight="1">
      <c r="A693" s="212"/>
      <c r="B693" s="213"/>
      <c r="C693" s="213"/>
      <c r="D693" s="213"/>
      <c r="E693" s="213"/>
      <c r="F693" s="214"/>
      <c r="G693" s="141"/>
      <c r="H693" s="41"/>
      <c r="I693" s="142"/>
      <c r="J693" s="134"/>
      <c r="K693" s="214"/>
    </row>
    <row r="694" ht="22.5" customHeight="1">
      <c r="A694" s="212"/>
      <c r="B694" s="213"/>
      <c r="C694" s="213"/>
      <c r="D694" s="213"/>
      <c r="E694" s="213"/>
      <c r="F694" s="214"/>
      <c r="G694" s="143"/>
      <c r="H694" s="37"/>
      <c r="I694" s="144"/>
      <c r="J694" s="133"/>
      <c r="K694" s="214"/>
    </row>
    <row r="695" ht="22.5" customHeight="1">
      <c r="A695" s="212"/>
      <c r="B695" s="213"/>
      <c r="C695" s="213"/>
      <c r="D695" s="213"/>
      <c r="E695" s="213"/>
      <c r="F695" s="214"/>
      <c r="G695" s="141"/>
      <c r="H695" s="41"/>
      <c r="I695" s="142"/>
      <c r="J695" s="134"/>
      <c r="K695" s="214"/>
    </row>
    <row r="696" ht="22.5" customHeight="1">
      <c r="A696" s="212"/>
      <c r="B696" s="213"/>
      <c r="C696" s="213"/>
      <c r="D696" s="213"/>
      <c r="E696" s="213"/>
      <c r="F696" s="214"/>
      <c r="G696" s="143"/>
      <c r="H696" s="37"/>
      <c r="I696" s="144"/>
      <c r="J696" s="133"/>
      <c r="K696" s="214"/>
    </row>
    <row r="697" ht="22.5" customHeight="1">
      <c r="A697" s="212"/>
      <c r="B697" s="213"/>
      <c r="C697" s="213"/>
      <c r="D697" s="213"/>
      <c r="E697" s="213"/>
      <c r="F697" s="214"/>
      <c r="G697" s="141"/>
      <c r="H697" s="41"/>
      <c r="I697" s="142"/>
      <c r="J697" s="134"/>
      <c r="K697" s="214"/>
    </row>
    <row r="698" ht="22.5" customHeight="1">
      <c r="A698" s="212"/>
      <c r="B698" s="213"/>
      <c r="C698" s="213"/>
      <c r="D698" s="213"/>
      <c r="E698" s="213"/>
      <c r="F698" s="214"/>
      <c r="G698" s="143"/>
      <c r="H698" s="37"/>
      <c r="I698" s="144"/>
      <c r="J698" s="133"/>
      <c r="K698" s="214"/>
    </row>
    <row r="699" ht="22.5" customHeight="1">
      <c r="A699" s="212"/>
      <c r="B699" s="213"/>
      <c r="C699" s="213"/>
      <c r="D699" s="213"/>
      <c r="E699" s="213"/>
      <c r="F699" s="214"/>
      <c r="G699" s="141"/>
      <c r="H699" s="41"/>
      <c r="I699" s="142"/>
      <c r="J699" s="134"/>
      <c r="K699" s="214"/>
    </row>
    <row r="700" ht="22.5" customHeight="1">
      <c r="A700" s="212"/>
      <c r="B700" s="213"/>
      <c r="C700" s="213"/>
      <c r="D700" s="213"/>
      <c r="E700" s="213"/>
      <c r="F700" s="214"/>
      <c r="G700" s="143"/>
      <c r="H700" s="37"/>
      <c r="I700" s="144"/>
      <c r="J700" s="133"/>
      <c r="K700" s="214"/>
    </row>
    <row r="701" ht="22.5" customHeight="1">
      <c r="A701" s="212"/>
      <c r="B701" s="213"/>
      <c r="C701" s="213"/>
      <c r="D701" s="213"/>
      <c r="E701" s="213"/>
      <c r="F701" s="214"/>
      <c r="G701" s="141"/>
      <c r="H701" s="41"/>
      <c r="I701" s="142"/>
      <c r="J701" s="134"/>
      <c r="K701" s="214"/>
    </row>
    <row r="702" ht="22.5" customHeight="1">
      <c r="A702" s="212"/>
      <c r="B702" s="213"/>
      <c r="C702" s="213"/>
      <c r="D702" s="213"/>
      <c r="E702" s="213"/>
      <c r="F702" s="214"/>
      <c r="G702" s="143"/>
      <c r="H702" s="37"/>
      <c r="I702" s="144"/>
      <c r="J702" s="133"/>
      <c r="K702" s="214"/>
    </row>
    <row r="703" ht="22.5" customHeight="1">
      <c r="A703" s="212"/>
      <c r="B703" s="213"/>
      <c r="C703" s="213"/>
      <c r="D703" s="213"/>
      <c r="E703" s="213"/>
      <c r="F703" s="214"/>
      <c r="G703" s="141"/>
      <c r="H703" s="41"/>
      <c r="I703" s="142"/>
      <c r="J703" s="134"/>
      <c r="K703" s="214"/>
    </row>
    <row r="704" ht="22.5" customHeight="1">
      <c r="A704" s="212"/>
      <c r="B704" s="213"/>
      <c r="C704" s="213"/>
      <c r="D704" s="213"/>
      <c r="E704" s="213"/>
      <c r="F704" s="214"/>
      <c r="G704" s="143"/>
      <c r="H704" s="37"/>
      <c r="I704" s="144"/>
      <c r="J704" s="133"/>
      <c r="K704" s="214"/>
    </row>
    <row r="705" ht="22.5" customHeight="1">
      <c r="A705" s="212"/>
      <c r="B705" s="213"/>
      <c r="C705" s="213"/>
      <c r="D705" s="213"/>
      <c r="E705" s="213"/>
      <c r="F705" s="214"/>
      <c r="G705" s="141"/>
      <c r="H705" s="41"/>
      <c r="I705" s="142"/>
      <c r="J705" s="134"/>
      <c r="K705" s="214"/>
    </row>
    <row r="706" ht="22.5" customHeight="1">
      <c r="A706" s="212"/>
      <c r="B706" s="213"/>
      <c r="C706" s="213"/>
      <c r="D706" s="213"/>
      <c r="E706" s="213"/>
      <c r="F706" s="214"/>
      <c r="G706" s="143"/>
      <c r="H706" s="37"/>
      <c r="I706" s="144"/>
      <c r="J706" s="133"/>
      <c r="K706" s="214"/>
    </row>
    <row r="707" ht="22.5" customHeight="1">
      <c r="A707" s="212"/>
      <c r="B707" s="213"/>
      <c r="C707" s="213"/>
      <c r="D707" s="213"/>
      <c r="E707" s="213"/>
      <c r="F707" s="214"/>
      <c r="G707" s="141"/>
      <c r="H707" s="41"/>
      <c r="I707" s="142"/>
      <c r="J707" s="134"/>
      <c r="K707" s="214"/>
    </row>
    <row r="708" ht="22.5" customHeight="1">
      <c r="A708" s="212"/>
      <c r="B708" s="213"/>
      <c r="C708" s="213"/>
      <c r="D708" s="213"/>
      <c r="E708" s="213"/>
      <c r="F708" s="214"/>
      <c r="G708" s="143"/>
      <c r="H708" s="37"/>
      <c r="I708" s="144"/>
      <c r="J708" s="133"/>
      <c r="K708" s="214"/>
    </row>
    <row r="709" ht="22.5" customHeight="1">
      <c r="A709" s="212"/>
      <c r="B709" s="213"/>
      <c r="C709" s="213"/>
      <c r="D709" s="213"/>
      <c r="E709" s="213"/>
      <c r="F709" s="214"/>
      <c r="G709" s="141"/>
      <c r="H709" s="41"/>
      <c r="I709" s="142"/>
      <c r="J709" s="134"/>
      <c r="K709" s="214"/>
    </row>
    <row r="710" ht="22.5" customHeight="1">
      <c r="A710" s="212"/>
      <c r="B710" s="213"/>
      <c r="C710" s="213"/>
      <c r="D710" s="213"/>
      <c r="E710" s="213"/>
      <c r="F710" s="214"/>
      <c r="G710" s="143"/>
      <c r="H710" s="37"/>
      <c r="I710" s="144"/>
      <c r="J710" s="133"/>
      <c r="K710" s="214"/>
    </row>
    <row r="711" ht="22.5" customHeight="1">
      <c r="A711" s="212"/>
      <c r="B711" s="213"/>
      <c r="C711" s="213"/>
      <c r="D711" s="213"/>
      <c r="E711" s="213"/>
      <c r="F711" s="214"/>
      <c r="G711" s="141"/>
      <c r="H711" s="41"/>
      <c r="I711" s="142"/>
      <c r="J711" s="134"/>
      <c r="K711" s="214"/>
    </row>
    <row r="712" ht="22.5" customHeight="1">
      <c r="A712" s="212"/>
      <c r="B712" s="213"/>
      <c r="C712" s="213"/>
      <c r="D712" s="213"/>
      <c r="E712" s="213"/>
      <c r="F712" s="214"/>
      <c r="G712" s="143"/>
      <c r="H712" s="37"/>
      <c r="I712" s="144"/>
      <c r="J712" s="133"/>
      <c r="K712" s="214"/>
    </row>
    <row r="713" ht="22.5" customHeight="1">
      <c r="A713" s="212"/>
      <c r="B713" s="213"/>
      <c r="C713" s="213"/>
      <c r="D713" s="213"/>
      <c r="E713" s="213"/>
      <c r="F713" s="214"/>
      <c r="G713" s="141"/>
      <c r="H713" s="41"/>
      <c r="I713" s="142"/>
      <c r="J713" s="134"/>
      <c r="K713" s="214"/>
    </row>
    <row r="714" ht="22.5" customHeight="1">
      <c r="A714" s="212"/>
      <c r="B714" s="213"/>
      <c r="C714" s="213"/>
      <c r="D714" s="213"/>
      <c r="E714" s="213"/>
      <c r="F714" s="214"/>
      <c r="G714" s="143"/>
      <c r="H714" s="37"/>
      <c r="I714" s="144"/>
      <c r="J714" s="133"/>
      <c r="K714" s="214"/>
    </row>
    <row r="715" ht="22.5" customHeight="1">
      <c r="A715" s="212"/>
      <c r="B715" s="213"/>
      <c r="C715" s="213"/>
      <c r="D715" s="213"/>
      <c r="E715" s="213"/>
      <c r="F715" s="214"/>
      <c r="G715" s="141"/>
      <c r="H715" s="41"/>
      <c r="I715" s="142"/>
      <c r="J715" s="134"/>
      <c r="K715" s="214"/>
    </row>
    <row r="716" ht="22.5" customHeight="1">
      <c r="A716" s="212"/>
      <c r="B716" s="213"/>
      <c r="C716" s="213"/>
      <c r="D716" s="213"/>
      <c r="E716" s="213"/>
      <c r="F716" s="214"/>
      <c r="G716" s="143"/>
      <c r="H716" s="37"/>
      <c r="I716" s="144"/>
      <c r="J716" s="133"/>
      <c r="K716" s="214"/>
    </row>
    <row r="717" ht="22.5" customHeight="1">
      <c r="A717" s="212"/>
      <c r="B717" s="213"/>
      <c r="C717" s="213"/>
      <c r="D717" s="213"/>
      <c r="E717" s="213"/>
      <c r="F717" s="214"/>
      <c r="G717" s="141"/>
      <c r="H717" s="41"/>
      <c r="I717" s="142"/>
      <c r="J717" s="134"/>
      <c r="K717" s="214"/>
    </row>
    <row r="718" ht="22.5" customHeight="1">
      <c r="A718" s="212"/>
      <c r="B718" s="213"/>
      <c r="C718" s="213"/>
      <c r="D718" s="213"/>
      <c r="E718" s="213"/>
      <c r="F718" s="214"/>
      <c r="G718" s="143"/>
      <c r="H718" s="37"/>
      <c r="I718" s="144"/>
      <c r="J718" s="133"/>
      <c r="K718" s="214"/>
    </row>
    <row r="719" ht="22.5" customHeight="1">
      <c r="A719" s="212"/>
      <c r="B719" s="213"/>
      <c r="C719" s="213"/>
      <c r="D719" s="213"/>
      <c r="E719" s="213"/>
      <c r="F719" s="214"/>
      <c r="G719" s="141"/>
      <c r="H719" s="41"/>
      <c r="I719" s="142"/>
      <c r="J719" s="134"/>
      <c r="K719" s="214"/>
    </row>
    <row r="720" ht="22.5" customHeight="1">
      <c r="A720" s="212"/>
      <c r="B720" s="213"/>
      <c r="C720" s="213"/>
      <c r="D720" s="213"/>
      <c r="E720" s="213"/>
      <c r="F720" s="214"/>
      <c r="G720" s="143"/>
      <c r="H720" s="37"/>
      <c r="I720" s="144"/>
      <c r="J720" s="133"/>
      <c r="K720" s="214"/>
    </row>
    <row r="721" ht="22.5" customHeight="1">
      <c r="A721" s="212"/>
      <c r="B721" s="213"/>
      <c r="C721" s="213"/>
      <c r="D721" s="213"/>
      <c r="E721" s="213"/>
      <c r="F721" s="214"/>
      <c r="G721" s="141"/>
      <c r="H721" s="41"/>
      <c r="I721" s="142"/>
      <c r="J721" s="134"/>
      <c r="K721" s="214"/>
    </row>
    <row r="722" ht="22.5" customHeight="1">
      <c r="A722" s="212"/>
      <c r="B722" s="213"/>
      <c r="C722" s="213"/>
      <c r="D722" s="213"/>
      <c r="E722" s="213"/>
      <c r="F722" s="214"/>
      <c r="G722" s="143"/>
      <c r="H722" s="37"/>
      <c r="I722" s="144"/>
      <c r="J722" s="133"/>
      <c r="K722" s="214"/>
    </row>
    <row r="723" ht="22.5" customHeight="1">
      <c r="A723" s="212"/>
      <c r="B723" s="213"/>
      <c r="C723" s="213"/>
      <c r="D723" s="213"/>
      <c r="E723" s="213"/>
      <c r="F723" s="214"/>
      <c r="G723" s="141"/>
      <c r="H723" s="41"/>
      <c r="I723" s="142"/>
      <c r="J723" s="134"/>
      <c r="K723" s="214"/>
    </row>
    <row r="724" ht="22.5" customHeight="1">
      <c r="A724" s="212"/>
      <c r="B724" s="213"/>
      <c r="C724" s="213"/>
      <c r="D724" s="213"/>
      <c r="E724" s="213"/>
      <c r="F724" s="214"/>
      <c r="G724" s="143"/>
      <c r="H724" s="37"/>
      <c r="I724" s="144"/>
      <c r="J724" s="133"/>
      <c r="K724" s="214"/>
    </row>
    <row r="725" ht="22.5" customHeight="1">
      <c r="A725" s="212"/>
      <c r="B725" s="213"/>
      <c r="C725" s="213"/>
      <c r="D725" s="213"/>
      <c r="E725" s="213"/>
      <c r="F725" s="214"/>
      <c r="G725" s="141"/>
      <c r="H725" s="41"/>
      <c r="I725" s="142"/>
      <c r="J725" s="134"/>
      <c r="K725" s="214"/>
    </row>
    <row r="726" ht="22.5" customHeight="1">
      <c r="A726" s="212"/>
      <c r="B726" s="213"/>
      <c r="C726" s="213"/>
      <c r="D726" s="213"/>
      <c r="E726" s="213"/>
      <c r="F726" s="214"/>
      <c r="G726" s="143"/>
      <c r="H726" s="37"/>
      <c r="I726" s="144"/>
      <c r="J726" s="133"/>
      <c r="K726" s="214"/>
    </row>
    <row r="727" ht="22.5" customHeight="1">
      <c r="A727" s="212"/>
      <c r="B727" s="213"/>
      <c r="C727" s="213"/>
      <c r="D727" s="213"/>
      <c r="E727" s="213"/>
      <c r="F727" s="214"/>
      <c r="G727" s="141"/>
      <c r="H727" s="41"/>
      <c r="I727" s="142"/>
      <c r="J727" s="134"/>
      <c r="K727" s="214"/>
    </row>
    <row r="728" ht="22.5" customHeight="1">
      <c r="A728" s="212"/>
      <c r="B728" s="213"/>
      <c r="C728" s="213"/>
      <c r="D728" s="213"/>
      <c r="E728" s="213"/>
      <c r="F728" s="214"/>
      <c r="G728" s="143"/>
      <c r="H728" s="37"/>
      <c r="I728" s="144"/>
      <c r="J728" s="133"/>
      <c r="K728" s="214"/>
    </row>
    <row r="729" ht="22.5" customHeight="1">
      <c r="A729" s="212"/>
      <c r="B729" s="213"/>
      <c r="C729" s="213"/>
      <c r="D729" s="213"/>
      <c r="E729" s="213"/>
      <c r="F729" s="214"/>
      <c r="G729" s="141"/>
      <c r="H729" s="41"/>
      <c r="I729" s="142"/>
      <c r="J729" s="134"/>
      <c r="K729" s="214"/>
    </row>
    <row r="730" ht="22.5" customHeight="1">
      <c r="A730" s="212"/>
      <c r="B730" s="213"/>
      <c r="C730" s="213"/>
      <c r="D730" s="213"/>
      <c r="E730" s="213"/>
      <c r="F730" s="214"/>
      <c r="G730" s="143"/>
      <c r="H730" s="37"/>
      <c r="I730" s="144"/>
      <c r="J730" s="133"/>
      <c r="K730" s="214"/>
    </row>
    <row r="731" ht="22.5" customHeight="1">
      <c r="A731" s="212"/>
      <c r="B731" s="213"/>
      <c r="C731" s="213"/>
      <c r="D731" s="213"/>
      <c r="E731" s="213"/>
      <c r="F731" s="214"/>
      <c r="G731" s="141"/>
      <c r="H731" s="41"/>
      <c r="I731" s="142"/>
      <c r="J731" s="134"/>
      <c r="K731" s="214"/>
    </row>
    <row r="732" ht="22.5" customHeight="1">
      <c r="A732" s="212"/>
      <c r="B732" s="213"/>
      <c r="C732" s="213"/>
      <c r="D732" s="213"/>
      <c r="E732" s="213"/>
      <c r="F732" s="214"/>
      <c r="G732" s="143"/>
      <c r="H732" s="37"/>
      <c r="I732" s="144"/>
      <c r="J732" s="133"/>
      <c r="K732" s="214"/>
    </row>
    <row r="733" ht="22.5" customHeight="1">
      <c r="A733" s="212"/>
      <c r="B733" s="213"/>
      <c r="C733" s="213"/>
      <c r="D733" s="213"/>
      <c r="E733" s="213"/>
      <c r="F733" s="214"/>
      <c r="G733" s="141"/>
      <c r="H733" s="41"/>
      <c r="I733" s="142"/>
      <c r="J733" s="134"/>
      <c r="K733" s="214"/>
    </row>
    <row r="734" ht="22.5" customHeight="1">
      <c r="A734" s="212"/>
      <c r="B734" s="213"/>
      <c r="C734" s="213"/>
      <c r="D734" s="213"/>
      <c r="E734" s="213"/>
      <c r="F734" s="214"/>
      <c r="G734" s="143"/>
      <c r="H734" s="37"/>
      <c r="I734" s="144"/>
      <c r="J734" s="133"/>
      <c r="K734" s="214"/>
    </row>
    <row r="735" ht="22.5" customHeight="1">
      <c r="A735" s="212"/>
      <c r="B735" s="213"/>
      <c r="C735" s="213"/>
      <c r="D735" s="213"/>
      <c r="E735" s="213"/>
      <c r="F735" s="214"/>
      <c r="G735" s="141"/>
      <c r="H735" s="41"/>
      <c r="I735" s="142"/>
      <c r="J735" s="134"/>
      <c r="K735" s="214"/>
    </row>
    <row r="736" ht="22.5" customHeight="1">
      <c r="A736" s="212"/>
      <c r="B736" s="213"/>
      <c r="C736" s="213"/>
      <c r="D736" s="213"/>
      <c r="E736" s="213"/>
      <c r="F736" s="214"/>
      <c r="G736" s="143"/>
      <c r="H736" s="37"/>
      <c r="I736" s="144"/>
      <c r="J736" s="133"/>
      <c r="K736" s="214"/>
    </row>
    <row r="737" ht="22.5" customHeight="1">
      <c r="A737" s="212"/>
      <c r="B737" s="213"/>
      <c r="C737" s="213"/>
      <c r="D737" s="213"/>
      <c r="E737" s="213"/>
      <c r="F737" s="214"/>
      <c r="G737" s="141"/>
      <c r="H737" s="41"/>
      <c r="I737" s="142"/>
      <c r="J737" s="134"/>
      <c r="K737" s="214"/>
    </row>
    <row r="738" ht="22.5" customHeight="1">
      <c r="A738" s="212"/>
      <c r="B738" s="213"/>
      <c r="C738" s="213"/>
      <c r="D738" s="213"/>
      <c r="E738" s="213"/>
      <c r="F738" s="214"/>
      <c r="G738" s="143"/>
      <c r="H738" s="37"/>
      <c r="I738" s="144"/>
      <c r="J738" s="133"/>
      <c r="K738" s="214"/>
    </row>
    <row r="739" ht="22.5" customHeight="1">
      <c r="A739" s="212"/>
      <c r="B739" s="213"/>
      <c r="C739" s="213"/>
      <c r="D739" s="213"/>
      <c r="E739" s="213"/>
      <c r="F739" s="214"/>
      <c r="G739" s="141"/>
      <c r="H739" s="41"/>
      <c r="I739" s="142"/>
      <c r="J739" s="134"/>
      <c r="K739" s="214"/>
    </row>
    <row r="740" ht="22.5" customHeight="1">
      <c r="A740" s="212"/>
      <c r="B740" s="213"/>
      <c r="C740" s="213"/>
      <c r="D740" s="213"/>
      <c r="E740" s="213"/>
      <c r="F740" s="214"/>
      <c r="G740" s="143"/>
      <c r="H740" s="37"/>
      <c r="I740" s="144"/>
      <c r="J740" s="133"/>
      <c r="K740" s="214"/>
    </row>
    <row r="741" ht="22.5" customHeight="1">
      <c r="A741" s="212"/>
      <c r="B741" s="213"/>
      <c r="C741" s="213"/>
      <c r="D741" s="213"/>
      <c r="E741" s="213"/>
      <c r="F741" s="214"/>
      <c r="G741" s="141"/>
      <c r="H741" s="41"/>
      <c r="I741" s="142"/>
      <c r="J741" s="134"/>
      <c r="K741" s="214"/>
    </row>
    <row r="742" ht="22.5" customHeight="1">
      <c r="A742" s="212"/>
      <c r="B742" s="213"/>
      <c r="C742" s="213"/>
      <c r="D742" s="213"/>
      <c r="E742" s="213"/>
      <c r="F742" s="214"/>
      <c r="G742" s="143"/>
      <c r="H742" s="37"/>
      <c r="I742" s="144"/>
      <c r="J742" s="133"/>
      <c r="K742" s="214"/>
    </row>
    <row r="743" ht="22.5" customHeight="1">
      <c r="A743" s="212"/>
      <c r="B743" s="213"/>
      <c r="C743" s="213"/>
      <c r="D743" s="213"/>
      <c r="E743" s="213"/>
      <c r="F743" s="214"/>
      <c r="G743" s="141"/>
      <c r="H743" s="41"/>
      <c r="I743" s="142"/>
      <c r="J743" s="134"/>
      <c r="K743" s="214"/>
    </row>
    <row r="744" ht="22.5" customHeight="1">
      <c r="A744" s="212"/>
      <c r="B744" s="213"/>
      <c r="C744" s="213"/>
      <c r="D744" s="213"/>
      <c r="E744" s="213"/>
      <c r="F744" s="214"/>
      <c r="G744" s="143"/>
      <c r="H744" s="37"/>
      <c r="I744" s="144"/>
      <c r="J744" s="133"/>
      <c r="K744" s="214"/>
    </row>
    <row r="745" ht="22.5" customHeight="1">
      <c r="A745" s="212"/>
      <c r="B745" s="213"/>
      <c r="C745" s="213"/>
      <c r="D745" s="213"/>
      <c r="E745" s="213"/>
      <c r="F745" s="214"/>
      <c r="G745" s="141"/>
      <c r="H745" s="41"/>
      <c r="I745" s="142"/>
      <c r="J745" s="134"/>
      <c r="K745" s="214"/>
    </row>
    <row r="746" ht="22.5" customHeight="1">
      <c r="A746" s="212"/>
      <c r="B746" s="213"/>
      <c r="C746" s="213"/>
      <c r="D746" s="213"/>
      <c r="E746" s="213"/>
      <c r="F746" s="214"/>
      <c r="G746" s="143"/>
      <c r="H746" s="37"/>
      <c r="I746" s="144"/>
      <c r="J746" s="133"/>
      <c r="K746" s="214"/>
    </row>
    <row r="747" ht="22.5" customHeight="1">
      <c r="A747" s="212"/>
      <c r="B747" s="213"/>
      <c r="C747" s="213"/>
      <c r="D747" s="213"/>
      <c r="E747" s="213"/>
      <c r="F747" s="214"/>
      <c r="G747" s="141"/>
      <c r="H747" s="41"/>
      <c r="I747" s="142"/>
      <c r="J747" s="134"/>
      <c r="K747" s="214"/>
    </row>
    <row r="748" ht="22.5" customHeight="1">
      <c r="A748" s="212"/>
      <c r="B748" s="213"/>
      <c r="C748" s="213"/>
      <c r="D748" s="213"/>
      <c r="E748" s="213"/>
      <c r="F748" s="214"/>
      <c r="G748" s="143"/>
      <c r="H748" s="37"/>
      <c r="I748" s="144"/>
      <c r="J748" s="133"/>
      <c r="K748" s="214"/>
    </row>
    <row r="749" ht="22.5" customHeight="1">
      <c r="A749" s="212"/>
      <c r="B749" s="213"/>
      <c r="C749" s="213"/>
      <c r="D749" s="213"/>
      <c r="E749" s="213"/>
      <c r="F749" s="214"/>
      <c r="G749" s="141"/>
      <c r="H749" s="41"/>
      <c r="I749" s="142"/>
      <c r="J749" s="134"/>
      <c r="K749" s="214"/>
    </row>
    <row r="750" ht="22.5" customHeight="1">
      <c r="A750" s="212"/>
      <c r="B750" s="213"/>
      <c r="C750" s="213"/>
      <c r="D750" s="213"/>
      <c r="E750" s="213"/>
      <c r="F750" s="214"/>
      <c r="G750" s="143"/>
      <c r="H750" s="37"/>
      <c r="I750" s="144"/>
      <c r="J750" s="133"/>
      <c r="K750" s="214"/>
    </row>
    <row r="751" ht="22.5" customHeight="1">
      <c r="A751" s="212"/>
      <c r="B751" s="213"/>
      <c r="C751" s="213"/>
      <c r="D751" s="213"/>
      <c r="E751" s="213"/>
      <c r="F751" s="214"/>
      <c r="G751" s="141"/>
      <c r="H751" s="41"/>
      <c r="I751" s="142"/>
      <c r="J751" s="134"/>
      <c r="K751" s="214"/>
    </row>
    <row r="752" ht="22.5" customHeight="1">
      <c r="A752" s="212"/>
      <c r="B752" s="213"/>
      <c r="C752" s="213"/>
      <c r="D752" s="213"/>
      <c r="E752" s="213"/>
      <c r="F752" s="214"/>
      <c r="G752" s="143"/>
      <c r="H752" s="37"/>
      <c r="I752" s="144"/>
      <c r="J752" s="133"/>
      <c r="K752" s="214"/>
    </row>
    <row r="753" ht="22.5" customHeight="1">
      <c r="A753" s="212"/>
      <c r="B753" s="213"/>
      <c r="C753" s="213"/>
      <c r="D753" s="213"/>
      <c r="E753" s="213"/>
      <c r="F753" s="214"/>
      <c r="G753" s="141"/>
      <c r="H753" s="41"/>
      <c r="I753" s="142"/>
      <c r="J753" s="134"/>
      <c r="K753" s="214"/>
    </row>
    <row r="754" ht="22.5" customHeight="1">
      <c r="A754" s="212"/>
      <c r="B754" s="213"/>
      <c r="C754" s="213"/>
      <c r="D754" s="213"/>
      <c r="E754" s="213"/>
      <c r="F754" s="214"/>
      <c r="G754" s="143"/>
      <c r="H754" s="37"/>
      <c r="I754" s="144"/>
      <c r="J754" s="133"/>
      <c r="K754" s="214"/>
    </row>
    <row r="755" ht="22.5" customHeight="1">
      <c r="A755" s="212"/>
      <c r="B755" s="213"/>
      <c r="C755" s="213"/>
      <c r="D755" s="213"/>
      <c r="E755" s="213"/>
      <c r="F755" s="214"/>
      <c r="G755" s="141"/>
      <c r="H755" s="41"/>
      <c r="I755" s="142"/>
      <c r="J755" s="134"/>
      <c r="K755" s="214"/>
    </row>
    <row r="756" ht="22.5" customHeight="1">
      <c r="A756" s="212"/>
      <c r="B756" s="213"/>
      <c r="C756" s="213"/>
      <c r="D756" s="213"/>
      <c r="E756" s="213"/>
      <c r="F756" s="214"/>
      <c r="G756" s="143"/>
      <c r="H756" s="37"/>
      <c r="I756" s="144"/>
      <c r="J756" s="133"/>
      <c r="K756" s="214"/>
    </row>
    <row r="757" ht="22.5" customHeight="1">
      <c r="A757" s="212"/>
      <c r="B757" s="213"/>
      <c r="C757" s="213"/>
      <c r="D757" s="213"/>
      <c r="E757" s="213"/>
      <c r="F757" s="214"/>
      <c r="G757" s="141"/>
      <c r="H757" s="41"/>
      <c r="I757" s="142"/>
      <c r="J757" s="134"/>
      <c r="K757" s="214"/>
    </row>
    <row r="758" ht="22.5" customHeight="1">
      <c r="A758" s="212"/>
      <c r="B758" s="213"/>
      <c r="C758" s="213"/>
      <c r="D758" s="213"/>
      <c r="E758" s="213"/>
      <c r="F758" s="214"/>
      <c r="G758" s="143"/>
      <c r="H758" s="37"/>
      <c r="I758" s="144"/>
      <c r="J758" s="133"/>
      <c r="K758" s="214"/>
    </row>
    <row r="759" ht="22.5" customHeight="1">
      <c r="A759" s="212"/>
      <c r="B759" s="213"/>
      <c r="C759" s="213"/>
      <c r="D759" s="213"/>
      <c r="E759" s="213"/>
      <c r="F759" s="214"/>
      <c r="G759" s="141"/>
      <c r="H759" s="41"/>
      <c r="I759" s="142"/>
      <c r="J759" s="134"/>
      <c r="K759" s="214"/>
    </row>
    <row r="760" ht="22.5" customHeight="1">
      <c r="A760" s="212"/>
      <c r="B760" s="213"/>
      <c r="C760" s="213"/>
      <c r="D760" s="213"/>
      <c r="E760" s="213"/>
      <c r="F760" s="214"/>
      <c r="G760" s="143"/>
      <c r="H760" s="37"/>
      <c r="I760" s="144"/>
      <c r="J760" s="133"/>
      <c r="K760" s="214"/>
    </row>
    <row r="761" ht="22.5" customHeight="1">
      <c r="A761" s="212"/>
      <c r="B761" s="213"/>
      <c r="C761" s="213"/>
      <c r="D761" s="213"/>
      <c r="E761" s="213"/>
      <c r="F761" s="214"/>
      <c r="G761" s="141"/>
      <c r="H761" s="41"/>
      <c r="I761" s="142"/>
      <c r="J761" s="134"/>
      <c r="K761" s="214"/>
    </row>
    <row r="762" ht="22.5" customHeight="1">
      <c r="A762" s="212"/>
      <c r="B762" s="213"/>
      <c r="C762" s="213"/>
      <c r="D762" s="213"/>
      <c r="E762" s="213"/>
      <c r="F762" s="214"/>
      <c r="G762" s="143"/>
      <c r="H762" s="37"/>
      <c r="I762" s="144"/>
      <c r="J762" s="133"/>
      <c r="K762" s="214"/>
    </row>
    <row r="763" ht="22.5" customHeight="1">
      <c r="A763" s="212"/>
      <c r="B763" s="213"/>
      <c r="C763" s="213"/>
      <c r="D763" s="213"/>
      <c r="E763" s="213"/>
      <c r="F763" s="214"/>
      <c r="G763" s="141"/>
      <c r="H763" s="41"/>
      <c r="I763" s="142"/>
      <c r="J763" s="134"/>
      <c r="K763" s="214"/>
    </row>
    <row r="764" ht="22.5" customHeight="1">
      <c r="A764" s="212"/>
      <c r="B764" s="213"/>
      <c r="C764" s="213"/>
      <c r="D764" s="213"/>
      <c r="E764" s="213"/>
      <c r="F764" s="214"/>
      <c r="G764" s="143"/>
      <c r="H764" s="37"/>
      <c r="I764" s="144"/>
      <c r="J764" s="133"/>
      <c r="K764" s="214"/>
    </row>
    <row r="765" ht="22.5" customHeight="1">
      <c r="A765" s="212"/>
      <c r="B765" s="213"/>
      <c r="C765" s="213"/>
      <c r="D765" s="213"/>
      <c r="E765" s="213"/>
      <c r="F765" s="214"/>
      <c r="G765" s="141"/>
      <c r="H765" s="41"/>
      <c r="I765" s="142"/>
      <c r="J765" s="134"/>
      <c r="K765" s="214"/>
    </row>
    <row r="766" ht="22.5" customHeight="1">
      <c r="A766" s="212"/>
      <c r="B766" s="213"/>
      <c r="C766" s="213"/>
      <c r="D766" s="213"/>
      <c r="E766" s="213"/>
      <c r="F766" s="214"/>
      <c r="G766" s="143"/>
      <c r="H766" s="37"/>
      <c r="I766" s="144"/>
      <c r="J766" s="133"/>
      <c r="K766" s="214"/>
    </row>
    <row r="767" ht="22.5" customHeight="1">
      <c r="A767" s="212"/>
      <c r="B767" s="213"/>
      <c r="C767" s="213"/>
      <c r="D767" s="213"/>
      <c r="E767" s="213"/>
      <c r="F767" s="214"/>
      <c r="G767" s="141"/>
      <c r="H767" s="41"/>
      <c r="I767" s="142"/>
      <c r="J767" s="134"/>
      <c r="K767" s="214"/>
    </row>
    <row r="768" ht="22.5" customHeight="1">
      <c r="A768" s="212"/>
      <c r="B768" s="213"/>
      <c r="C768" s="213"/>
      <c r="D768" s="213"/>
      <c r="E768" s="213"/>
      <c r="F768" s="214"/>
      <c r="G768" s="143"/>
      <c r="H768" s="37"/>
      <c r="I768" s="144"/>
      <c r="J768" s="133"/>
      <c r="K768" s="214"/>
    </row>
    <row r="769" ht="22.5" customHeight="1">
      <c r="A769" s="212"/>
      <c r="B769" s="213"/>
      <c r="C769" s="213"/>
      <c r="D769" s="213"/>
      <c r="E769" s="213"/>
      <c r="F769" s="214"/>
      <c r="G769" s="141"/>
      <c r="H769" s="41"/>
      <c r="I769" s="142"/>
      <c r="J769" s="134"/>
      <c r="K769" s="214"/>
    </row>
    <row r="770" ht="22.5" customHeight="1">
      <c r="A770" s="212"/>
      <c r="B770" s="213"/>
      <c r="C770" s="213"/>
      <c r="D770" s="213"/>
      <c r="E770" s="213"/>
      <c r="F770" s="214"/>
      <c r="G770" s="143"/>
      <c r="H770" s="37"/>
      <c r="I770" s="144"/>
      <c r="J770" s="133"/>
      <c r="K770" s="214"/>
    </row>
    <row r="771" ht="22.5" customHeight="1">
      <c r="A771" s="212"/>
      <c r="B771" s="213"/>
      <c r="C771" s="213"/>
      <c r="D771" s="213"/>
      <c r="E771" s="213"/>
      <c r="F771" s="214"/>
      <c r="G771" s="141"/>
      <c r="H771" s="41"/>
      <c r="I771" s="142"/>
      <c r="J771" s="134"/>
      <c r="K771" s="214"/>
    </row>
    <row r="772" ht="22.5" customHeight="1">
      <c r="A772" s="212"/>
      <c r="B772" s="213"/>
      <c r="C772" s="213"/>
      <c r="D772" s="213"/>
      <c r="E772" s="213"/>
      <c r="F772" s="214"/>
      <c r="G772" s="143"/>
      <c r="H772" s="37"/>
      <c r="I772" s="144"/>
      <c r="J772" s="133"/>
      <c r="K772" s="214"/>
    </row>
    <row r="773" ht="22.5" customHeight="1">
      <c r="A773" s="212"/>
      <c r="B773" s="213"/>
      <c r="C773" s="213"/>
      <c r="D773" s="213"/>
      <c r="E773" s="213"/>
      <c r="F773" s="214"/>
      <c r="G773" s="141"/>
      <c r="H773" s="41"/>
      <c r="I773" s="142"/>
      <c r="J773" s="134"/>
      <c r="K773" s="214"/>
    </row>
    <row r="774" ht="22.5" customHeight="1">
      <c r="A774" s="212"/>
      <c r="B774" s="213"/>
      <c r="C774" s="213"/>
      <c r="D774" s="213"/>
      <c r="E774" s="213"/>
      <c r="F774" s="214"/>
      <c r="G774" s="143"/>
      <c r="H774" s="37"/>
      <c r="I774" s="144"/>
      <c r="J774" s="133"/>
      <c r="K774" s="214"/>
    </row>
    <row r="775" ht="22.5" customHeight="1">
      <c r="A775" s="212"/>
      <c r="B775" s="213"/>
      <c r="C775" s="213"/>
      <c r="D775" s="213"/>
      <c r="E775" s="213"/>
      <c r="F775" s="214"/>
      <c r="G775" s="141"/>
      <c r="H775" s="41"/>
      <c r="I775" s="142"/>
      <c r="J775" s="134"/>
      <c r="K775" s="214"/>
    </row>
    <row r="776" ht="22.5" customHeight="1">
      <c r="A776" s="212"/>
      <c r="B776" s="213"/>
      <c r="C776" s="213"/>
      <c r="D776" s="213"/>
      <c r="E776" s="213"/>
      <c r="F776" s="214"/>
      <c r="G776" s="143"/>
      <c r="H776" s="37"/>
      <c r="I776" s="144"/>
      <c r="J776" s="133"/>
      <c r="K776" s="214"/>
    </row>
    <row r="777" ht="22.5" customHeight="1">
      <c r="A777" s="212"/>
      <c r="B777" s="213"/>
      <c r="C777" s="213"/>
      <c r="D777" s="213"/>
      <c r="E777" s="213"/>
      <c r="F777" s="214"/>
      <c r="G777" s="141"/>
      <c r="H777" s="41"/>
      <c r="I777" s="142"/>
      <c r="J777" s="134"/>
      <c r="K777" s="214"/>
    </row>
    <row r="778" ht="22.5" customHeight="1">
      <c r="A778" s="212"/>
      <c r="B778" s="213"/>
      <c r="C778" s="213"/>
      <c r="D778" s="213"/>
      <c r="E778" s="213"/>
      <c r="F778" s="214"/>
      <c r="G778" s="143"/>
      <c r="H778" s="37"/>
      <c r="I778" s="144"/>
      <c r="J778" s="133"/>
      <c r="K778" s="214"/>
    </row>
    <row r="779" ht="22.5" customHeight="1">
      <c r="A779" s="212"/>
      <c r="B779" s="213"/>
      <c r="C779" s="213"/>
      <c r="D779" s="213"/>
      <c r="E779" s="213"/>
      <c r="F779" s="214"/>
      <c r="G779" s="141"/>
      <c r="H779" s="41"/>
      <c r="I779" s="142"/>
      <c r="J779" s="134"/>
      <c r="K779" s="214"/>
    </row>
    <row r="780" ht="22.5" customHeight="1">
      <c r="A780" s="212"/>
      <c r="B780" s="213"/>
      <c r="C780" s="213"/>
      <c r="D780" s="213"/>
      <c r="E780" s="213"/>
      <c r="F780" s="214"/>
      <c r="G780" s="143"/>
      <c r="H780" s="37"/>
      <c r="I780" s="144"/>
      <c r="J780" s="133"/>
      <c r="K780" s="214"/>
    </row>
    <row r="781" ht="22.5" customHeight="1">
      <c r="A781" s="212"/>
      <c r="B781" s="213"/>
      <c r="C781" s="213"/>
      <c r="D781" s="213"/>
      <c r="E781" s="213"/>
      <c r="F781" s="214"/>
      <c r="G781" s="141"/>
      <c r="H781" s="41"/>
      <c r="I781" s="142"/>
      <c r="J781" s="134"/>
      <c r="K781" s="214"/>
    </row>
    <row r="782" ht="22.5" customHeight="1">
      <c r="A782" s="212"/>
      <c r="B782" s="213"/>
      <c r="C782" s="213"/>
      <c r="D782" s="213"/>
      <c r="E782" s="213"/>
      <c r="F782" s="214"/>
      <c r="G782" s="143"/>
      <c r="H782" s="37"/>
      <c r="I782" s="144"/>
      <c r="J782" s="133"/>
      <c r="K782" s="214"/>
    </row>
    <row r="783" ht="22.5" customHeight="1">
      <c r="A783" s="212"/>
      <c r="B783" s="213"/>
      <c r="C783" s="213"/>
      <c r="D783" s="213"/>
      <c r="E783" s="213"/>
      <c r="F783" s="214"/>
      <c r="G783" s="141"/>
      <c r="H783" s="41"/>
      <c r="I783" s="142"/>
      <c r="J783" s="134"/>
      <c r="K783" s="214"/>
    </row>
    <row r="784" ht="22.5" customHeight="1">
      <c r="A784" s="212"/>
      <c r="B784" s="213"/>
      <c r="C784" s="213"/>
      <c r="D784" s="213"/>
      <c r="E784" s="213"/>
      <c r="F784" s="214"/>
      <c r="G784" s="143"/>
      <c r="H784" s="37"/>
      <c r="I784" s="144"/>
      <c r="J784" s="133"/>
      <c r="K784" s="214"/>
    </row>
    <row r="785" ht="22.5" customHeight="1">
      <c r="A785" s="212"/>
      <c r="B785" s="213"/>
      <c r="C785" s="213"/>
      <c r="D785" s="213"/>
      <c r="E785" s="213"/>
      <c r="F785" s="214"/>
      <c r="G785" s="141"/>
      <c r="H785" s="41"/>
      <c r="I785" s="142"/>
      <c r="J785" s="134"/>
      <c r="K785" s="214"/>
    </row>
    <row r="786" ht="22.5" customHeight="1">
      <c r="A786" s="212"/>
      <c r="B786" s="213"/>
      <c r="C786" s="213"/>
      <c r="D786" s="213"/>
      <c r="E786" s="213"/>
      <c r="F786" s="214"/>
      <c r="G786" s="143"/>
      <c r="H786" s="37"/>
      <c r="I786" s="144"/>
      <c r="J786" s="133"/>
      <c r="K786" s="214"/>
    </row>
    <row r="787" ht="22.5" customHeight="1">
      <c r="A787" s="212"/>
      <c r="B787" s="213"/>
      <c r="C787" s="213"/>
      <c r="D787" s="213"/>
      <c r="E787" s="213"/>
      <c r="F787" s="214"/>
      <c r="G787" s="141"/>
      <c r="H787" s="41"/>
      <c r="I787" s="142"/>
      <c r="J787" s="134"/>
      <c r="K787" s="214"/>
    </row>
    <row r="788" ht="22.5" customHeight="1">
      <c r="A788" s="212"/>
      <c r="B788" s="213"/>
      <c r="C788" s="213"/>
      <c r="D788" s="213"/>
      <c r="E788" s="213"/>
      <c r="F788" s="214"/>
      <c r="G788" s="143"/>
      <c r="H788" s="37"/>
      <c r="I788" s="144"/>
      <c r="J788" s="133"/>
      <c r="K788" s="214"/>
    </row>
    <row r="789" ht="22.5" customHeight="1">
      <c r="A789" s="212"/>
      <c r="B789" s="213"/>
      <c r="C789" s="213"/>
      <c r="D789" s="213"/>
      <c r="E789" s="213"/>
      <c r="F789" s="214"/>
      <c r="G789" s="141"/>
      <c r="H789" s="41"/>
      <c r="I789" s="142"/>
      <c r="J789" s="134"/>
      <c r="K789" s="214"/>
    </row>
    <row r="790" ht="22.5" customHeight="1">
      <c r="A790" s="212"/>
      <c r="B790" s="213"/>
      <c r="C790" s="213"/>
      <c r="D790" s="213"/>
      <c r="E790" s="213"/>
      <c r="F790" s="214"/>
      <c r="G790" s="143"/>
      <c r="H790" s="37"/>
      <c r="I790" s="144"/>
      <c r="J790" s="133"/>
      <c r="K790" s="214"/>
    </row>
    <row r="791" ht="22.5" customHeight="1">
      <c r="A791" s="212"/>
      <c r="B791" s="213"/>
      <c r="C791" s="213"/>
      <c r="D791" s="213"/>
      <c r="E791" s="213"/>
      <c r="F791" s="214"/>
      <c r="G791" s="141"/>
      <c r="H791" s="41"/>
      <c r="I791" s="142"/>
      <c r="J791" s="134"/>
      <c r="K791" s="214"/>
    </row>
    <row r="792" ht="22.5" customHeight="1">
      <c r="A792" s="212"/>
      <c r="B792" s="213"/>
      <c r="C792" s="213"/>
      <c r="D792" s="213"/>
      <c r="E792" s="213"/>
      <c r="F792" s="214"/>
      <c r="G792" s="143"/>
      <c r="H792" s="37"/>
      <c r="I792" s="144"/>
      <c r="J792" s="133"/>
      <c r="K792" s="214"/>
    </row>
    <row r="793" ht="22.5" customHeight="1">
      <c r="A793" s="212"/>
      <c r="B793" s="213"/>
      <c r="C793" s="213"/>
      <c r="D793" s="213"/>
      <c r="E793" s="213"/>
      <c r="F793" s="214"/>
      <c r="G793" s="141"/>
      <c r="H793" s="41"/>
      <c r="I793" s="142"/>
      <c r="J793" s="134"/>
      <c r="K793" s="214"/>
    </row>
    <row r="794" ht="22.5" customHeight="1">
      <c r="A794" s="212"/>
      <c r="B794" s="213"/>
      <c r="C794" s="213"/>
      <c r="D794" s="213"/>
      <c r="E794" s="213"/>
      <c r="F794" s="214"/>
      <c r="G794" s="143"/>
      <c r="H794" s="37"/>
      <c r="I794" s="144"/>
      <c r="J794" s="133"/>
      <c r="K794" s="214"/>
    </row>
    <row r="795" ht="22.5" customHeight="1">
      <c r="A795" s="212"/>
      <c r="B795" s="213"/>
      <c r="C795" s="213"/>
      <c r="D795" s="213"/>
      <c r="E795" s="213"/>
      <c r="F795" s="214"/>
      <c r="G795" s="141"/>
      <c r="H795" s="41"/>
      <c r="I795" s="142"/>
      <c r="J795" s="134"/>
      <c r="K795" s="214"/>
    </row>
    <row r="796" ht="22.5" customHeight="1">
      <c r="A796" s="212"/>
      <c r="B796" s="213"/>
      <c r="C796" s="213"/>
      <c r="D796" s="213"/>
      <c r="E796" s="213"/>
      <c r="F796" s="214"/>
      <c r="G796" s="143"/>
      <c r="H796" s="37"/>
      <c r="I796" s="144"/>
      <c r="J796" s="133"/>
      <c r="K796" s="214"/>
    </row>
    <row r="797" ht="22.5" customHeight="1">
      <c r="A797" s="212"/>
      <c r="B797" s="213"/>
      <c r="C797" s="213"/>
      <c r="D797" s="213"/>
      <c r="E797" s="213"/>
      <c r="F797" s="214"/>
      <c r="G797" s="141"/>
      <c r="H797" s="41"/>
      <c r="I797" s="142"/>
      <c r="J797" s="134"/>
      <c r="K797" s="214"/>
    </row>
    <row r="798" ht="22.5" customHeight="1">
      <c r="A798" s="212"/>
      <c r="B798" s="213"/>
      <c r="C798" s="213"/>
      <c r="D798" s="213"/>
      <c r="E798" s="213"/>
      <c r="F798" s="214"/>
      <c r="G798" s="143"/>
      <c r="H798" s="37"/>
      <c r="I798" s="144"/>
      <c r="J798" s="133"/>
      <c r="K798" s="214"/>
    </row>
    <row r="799" ht="22.5" customHeight="1">
      <c r="A799" s="212"/>
      <c r="B799" s="213"/>
      <c r="C799" s="213"/>
      <c r="D799" s="213"/>
      <c r="E799" s="213"/>
      <c r="F799" s="214"/>
      <c r="G799" s="141"/>
      <c r="H799" s="41"/>
      <c r="I799" s="142"/>
      <c r="J799" s="134"/>
      <c r="K799" s="214"/>
    </row>
    <row r="800" ht="22.5" customHeight="1">
      <c r="A800" s="212"/>
      <c r="B800" s="213"/>
      <c r="C800" s="213"/>
      <c r="D800" s="213"/>
      <c r="E800" s="213"/>
      <c r="F800" s="214"/>
      <c r="G800" s="143"/>
      <c r="H800" s="37"/>
      <c r="I800" s="144"/>
      <c r="J800" s="133"/>
      <c r="K800" s="214"/>
    </row>
    <row r="801" ht="22.5" customHeight="1">
      <c r="A801" s="212"/>
      <c r="B801" s="213"/>
      <c r="C801" s="213"/>
      <c r="D801" s="213"/>
      <c r="E801" s="213"/>
      <c r="F801" s="214"/>
      <c r="G801" s="141"/>
      <c r="H801" s="41"/>
      <c r="I801" s="142"/>
      <c r="J801" s="134"/>
      <c r="K801" s="214"/>
    </row>
    <row r="802" ht="22.5" customHeight="1">
      <c r="A802" s="212"/>
      <c r="B802" s="213"/>
      <c r="C802" s="213"/>
      <c r="D802" s="213"/>
      <c r="E802" s="213"/>
      <c r="F802" s="214"/>
      <c r="G802" s="143"/>
      <c r="H802" s="37"/>
      <c r="I802" s="144"/>
      <c r="J802" s="133"/>
      <c r="K802" s="214"/>
    </row>
    <row r="803" ht="22.5" customHeight="1">
      <c r="A803" s="212"/>
      <c r="B803" s="213"/>
      <c r="C803" s="213"/>
      <c r="D803" s="213"/>
      <c r="E803" s="213"/>
      <c r="F803" s="214"/>
      <c r="G803" s="141"/>
      <c r="H803" s="41"/>
      <c r="I803" s="142"/>
      <c r="J803" s="134"/>
      <c r="K803" s="214"/>
    </row>
    <row r="804" ht="22.5" customHeight="1">
      <c r="A804" s="212"/>
      <c r="B804" s="213"/>
      <c r="C804" s="213"/>
      <c r="D804" s="213"/>
      <c r="E804" s="213"/>
      <c r="F804" s="214"/>
      <c r="G804" s="143"/>
      <c r="H804" s="37"/>
      <c r="I804" s="144"/>
      <c r="J804" s="133"/>
      <c r="K804" s="214"/>
    </row>
    <row r="805" ht="22.5" customHeight="1">
      <c r="A805" s="212"/>
      <c r="B805" s="213"/>
      <c r="C805" s="213"/>
      <c r="D805" s="213"/>
      <c r="E805" s="213"/>
      <c r="F805" s="214"/>
      <c r="G805" s="141"/>
      <c r="H805" s="41"/>
      <c r="I805" s="142"/>
      <c r="J805" s="134"/>
      <c r="K805" s="214"/>
    </row>
    <row r="806" ht="22.5" customHeight="1">
      <c r="A806" s="212"/>
      <c r="B806" s="213"/>
      <c r="C806" s="213"/>
      <c r="D806" s="213"/>
      <c r="E806" s="213"/>
      <c r="F806" s="214"/>
      <c r="G806" s="143"/>
      <c r="H806" s="37"/>
      <c r="I806" s="144"/>
      <c r="J806" s="133"/>
      <c r="K806" s="214"/>
    </row>
    <row r="807" ht="22.5" customHeight="1">
      <c r="A807" s="212"/>
      <c r="B807" s="213"/>
      <c r="C807" s="213"/>
      <c r="D807" s="213"/>
      <c r="E807" s="213"/>
      <c r="F807" s="214"/>
      <c r="G807" s="141"/>
      <c r="H807" s="41"/>
      <c r="I807" s="142"/>
      <c r="J807" s="134"/>
      <c r="K807" s="214"/>
    </row>
    <row r="808" ht="22.5" customHeight="1">
      <c r="A808" s="212"/>
      <c r="B808" s="213"/>
      <c r="C808" s="213"/>
      <c r="D808" s="213"/>
      <c r="E808" s="213"/>
      <c r="F808" s="214"/>
      <c r="G808" s="143"/>
      <c r="H808" s="37"/>
      <c r="I808" s="144"/>
      <c r="J808" s="133"/>
      <c r="K808" s="214"/>
    </row>
    <row r="809" ht="22.5" customHeight="1">
      <c r="A809" s="212"/>
      <c r="B809" s="213"/>
      <c r="C809" s="213"/>
      <c r="D809" s="213"/>
      <c r="E809" s="213"/>
      <c r="F809" s="214"/>
      <c r="G809" s="141"/>
      <c r="H809" s="41"/>
      <c r="I809" s="142"/>
      <c r="J809" s="134"/>
      <c r="K809" s="214"/>
    </row>
    <row r="810" ht="22.5" customHeight="1">
      <c r="A810" s="212"/>
      <c r="B810" s="213"/>
      <c r="C810" s="213"/>
      <c r="D810" s="213"/>
      <c r="E810" s="213"/>
      <c r="F810" s="214"/>
      <c r="G810" s="143"/>
      <c r="H810" s="37"/>
      <c r="I810" s="144"/>
      <c r="J810" s="133"/>
      <c r="K810" s="214"/>
    </row>
    <row r="811" ht="22.5" customHeight="1">
      <c r="A811" s="212"/>
      <c r="B811" s="213"/>
      <c r="C811" s="213"/>
      <c r="D811" s="213"/>
      <c r="E811" s="213"/>
      <c r="F811" s="214"/>
      <c r="G811" s="141"/>
      <c r="H811" s="41"/>
      <c r="I811" s="142"/>
      <c r="J811" s="134"/>
      <c r="K811" s="214"/>
    </row>
    <row r="812" ht="22.5" customHeight="1">
      <c r="A812" s="212"/>
      <c r="B812" s="213"/>
      <c r="C812" s="213"/>
      <c r="D812" s="213"/>
      <c r="E812" s="213"/>
      <c r="F812" s="214"/>
      <c r="G812" s="143"/>
      <c r="H812" s="37"/>
      <c r="I812" s="144"/>
      <c r="J812" s="133"/>
      <c r="K812" s="214"/>
    </row>
    <row r="813" ht="22.5" customHeight="1">
      <c r="A813" s="212"/>
      <c r="B813" s="213"/>
      <c r="C813" s="213"/>
      <c r="D813" s="213"/>
      <c r="E813" s="213"/>
      <c r="F813" s="214"/>
      <c r="G813" s="141"/>
      <c r="H813" s="41"/>
      <c r="I813" s="142"/>
      <c r="J813" s="134"/>
      <c r="K813" s="214"/>
    </row>
    <row r="814" ht="22.5" customHeight="1">
      <c r="A814" s="212"/>
      <c r="B814" s="213"/>
      <c r="C814" s="213"/>
      <c r="D814" s="213"/>
      <c r="E814" s="213"/>
      <c r="F814" s="214"/>
      <c r="G814" s="143"/>
      <c r="H814" s="37"/>
      <c r="I814" s="144"/>
      <c r="J814" s="133"/>
      <c r="K814" s="214"/>
    </row>
    <row r="815" ht="22.5" customHeight="1">
      <c r="A815" s="212"/>
      <c r="B815" s="213"/>
      <c r="C815" s="213"/>
      <c r="D815" s="213"/>
      <c r="E815" s="213"/>
      <c r="F815" s="214"/>
      <c r="G815" s="141"/>
      <c r="H815" s="41"/>
      <c r="I815" s="142"/>
      <c r="J815" s="134"/>
      <c r="K815" s="214"/>
    </row>
    <row r="816" ht="22.5" customHeight="1">
      <c r="A816" s="212"/>
      <c r="B816" s="213"/>
      <c r="C816" s="213"/>
      <c r="D816" s="213"/>
      <c r="E816" s="213"/>
      <c r="F816" s="214"/>
      <c r="G816" s="143"/>
      <c r="H816" s="37"/>
      <c r="I816" s="144"/>
      <c r="J816" s="133"/>
      <c r="K816" s="214"/>
    </row>
    <row r="817" ht="22.5" customHeight="1">
      <c r="A817" s="212"/>
      <c r="B817" s="213"/>
      <c r="C817" s="213"/>
      <c r="D817" s="213"/>
      <c r="E817" s="213"/>
      <c r="F817" s="214"/>
      <c r="G817" s="141"/>
      <c r="H817" s="41"/>
      <c r="I817" s="142"/>
      <c r="J817" s="134"/>
      <c r="K817" s="214"/>
    </row>
    <row r="818" ht="22.5" customHeight="1">
      <c r="A818" s="212"/>
      <c r="B818" s="213"/>
      <c r="C818" s="213"/>
      <c r="D818" s="213"/>
      <c r="E818" s="213"/>
      <c r="F818" s="214"/>
      <c r="G818" s="143"/>
      <c r="H818" s="37"/>
      <c r="I818" s="144"/>
      <c r="J818" s="133"/>
      <c r="K818" s="214"/>
    </row>
    <row r="819" ht="22.5" customHeight="1">
      <c r="A819" s="212"/>
      <c r="B819" s="213"/>
      <c r="C819" s="213"/>
      <c r="D819" s="213"/>
      <c r="E819" s="213"/>
      <c r="F819" s="214"/>
      <c r="G819" s="141"/>
      <c r="H819" s="41"/>
      <c r="I819" s="142"/>
      <c r="J819" s="134"/>
      <c r="K819" s="214"/>
    </row>
    <row r="820" ht="22.5" customHeight="1">
      <c r="A820" s="212"/>
      <c r="B820" s="213"/>
      <c r="C820" s="213"/>
      <c r="D820" s="213"/>
      <c r="E820" s="213"/>
      <c r="F820" s="214"/>
      <c r="G820" s="143"/>
      <c r="H820" s="37"/>
      <c r="I820" s="144"/>
      <c r="J820" s="133"/>
      <c r="K820" s="214"/>
    </row>
    <row r="821" ht="22.5" customHeight="1">
      <c r="A821" s="212"/>
      <c r="B821" s="213"/>
      <c r="C821" s="213"/>
      <c r="D821" s="213"/>
      <c r="E821" s="213"/>
      <c r="F821" s="214"/>
      <c r="G821" s="141"/>
      <c r="H821" s="41"/>
      <c r="I821" s="142"/>
      <c r="J821" s="134"/>
      <c r="K821" s="214"/>
    </row>
    <row r="822" ht="22.5" customHeight="1">
      <c r="A822" s="212"/>
      <c r="B822" s="213"/>
      <c r="C822" s="213"/>
      <c r="D822" s="213"/>
      <c r="E822" s="213"/>
      <c r="F822" s="214"/>
      <c r="G822" s="143"/>
      <c r="H822" s="37"/>
      <c r="I822" s="144"/>
      <c r="J822" s="133"/>
      <c r="K822" s="214"/>
    </row>
    <row r="823" ht="22.5" customHeight="1">
      <c r="A823" s="212"/>
      <c r="B823" s="213"/>
      <c r="C823" s="213"/>
      <c r="D823" s="213"/>
      <c r="E823" s="213"/>
      <c r="F823" s="214"/>
      <c r="G823" s="141"/>
      <c r="H823" s="41"/>
      <c r="I823" s="142"/>
      <c r="J823" s="134"/>
      <c r="K823" s="214"/>
    </row>
    <row r="824" ht="22.5" customHeight="1">
      <c r="A824" s="212"/>
      <c r="B824" s="213"/>
      <c r="C824" s="213"/>
      <c r="D824" s="213"/>
      <c r="E824" s="213"/>
      <c r="F824" s="214"/>
      <c r="G824" s="143"/>
      <c r="H824" s="37"/>
      <c r="I824" s="144"/>
      <c r="J824" s="133"/>
      <c r="K824" s="214"/>
    </row>
    <row r="825" ht="22.5" customHeight="1">
      <c r="A825" s="212"/>
      <c r="B825" s="213"/>
      <c r="C825" s="213"/>
      <c r="D825" s="213"/>
      <c r="E825" s="213"/>
      <c r="F825" s="214"/>
      <c r="G825" s="141"/>
      <c r="H825" s="41"/>
      <c r="I825" s="142"/>
      <c r="J825" s="134"/>
      <c r="K825" s="214"/>
    </row>
    <row r="826" ht="22.5" customHeight="1">
      <c r="A826" s="212"/>
      <c r="B826" s="213"/>
      <c r="C826" s="213"/>
      <c r="D826" s="213"/>
      <c r="E826" s="213"/>
      <c r="F826" s="214"/>
      <c r="G826" s="143"/>
      <c r="H826" s="37"/>
      <c r="I826" s="144"/>
      <c r="J826" s="133"/>
      <c r="K826" s="214"/>
    </row>
    <row r="827" ht="22.5" customHeight="1">
      <c r="A827" s="212"/>
      <c r="B827" s="213"/>
      <c r="C827" s="213"/>
      <c r="D827" s="213"/>
      <c r="E827" s="213"/>
      <c r="F827" s="214"/>
      <c r="G827" s="141"/>
      <c r="H827" s="41"/>
      <c r="I827" s="142"/>
      <c r="J827" s="134"/>
      <c r="K827" s="214"/>
    </row>
    <row r="828" ht="22.5" customHeight="1">
      <c r="A828" s="212"/>
      <c r="B828" s="213"/>
      <c r="C828" s="213"/>
      <c r="D828" s="213"/>
      <c r="E828" s="213"/>
      <c r="F828" s="214"/>
      <c r="G828" s="143"/>
      <c r="H828" s="37"/>
      <c r="I828" s="144"/>
      <c r="J828" s="133"/>
      <c r="K828" s="214"/>
    </row>
    <row r="829" ht="22.5" customHeight="1">
      <c r="A829" s="212"/>
      <c r="B829" s="213"/>
      <c r="C829" s="213"/>
      <c r="D829" s="213"/>
      <c r="E829" s="213"/>
      <c r="F829" s="214"/>
      <c r="G829" s="141"/>
      <c r="H829" s="41"/>
      <c r="I829" s="142"/>
      <c r="J829" s="134"/>
      <c r="K829" s="214"/>
    </row>
    <row r="830" ht="22.5" customHeight="1">
      <c r="A830" s="212"/>
      <c r="B830" s="213"/>
      <c r="C830" s="213"/>
      <c r="D830" s="213"/>
      <c r="E830" s="213"/>
      <c r="F830" s="214"/>
      <c r="G830" s="143"/>
      <c r="H830" s="37"/>
      <c r="I830" s="144"/>
      <c r="J830" s="133"/>
      <c r="K830" s="214"/>
    </row>
    <row r="831" ht="22.5" customHeight="1">
      <c r="A831" s="212"/>
      <c r="B831" s="213"/>
      <c r="C831" s="213"/>
      <c r="D831" s="213"/>
      <c r="E831" s="213"/>
      <c r="F831" s="214"/>
      <c r="G831" s="141"/>
      <c r="H831" s="41"/>
      <c r="I831" s="142"/>
      <c r="J831" s="134"/>
      <c r="K831" s="214"/>
    </row>
    <row r="832" ht="22.5" customHeight="1">
      <c r="A832" s="212"/>
      <c r="B832" s="213"/>
      <c r="C832" s="213"/>
      <c r="D832" s="213"/>
      <c r="E832" s="213"/>
      <c r="F832" s="214"/>
      <c r="G832" s="143"/>
      <c r="H832" s="37"/>
      <c r="I832" s="144"/>
      <c r="J832" s="133"/>
      <c r="K832" s="214"/>
    </row>
    <row r="833" ht="22.5" customHeight="1">
      <c r="A833" s="212"/>
      <c r="B833" s="213"/>
      <c r="C833" s="213"/>
      <c r="D833" s="213"/>
      <c r="E833" s="213"/>
      <c r="F833" s="214"/>
      <c r="G833" s="141"/>
      <c r="H833" s="41"/>
      <c r="I833" s="142"/>
      <c r="J833" s="134"/>
      <c r="K833" s="214"/>
    </row>
    <row r="834" ht="22.5" customHeight="1">
      <c r="A834" s="212"/>
      <c r="B834" s="213"/>
      <c r="C834" s="213"/>
      <c r="D834" s="213"/>
      <c r="E834" s="213"/>
      <c r="F834" s="214"/>
      <c r="G834" s="143"/>
      <c r="H834" s="37"/>
      <c r="I834" s="144"/>
      <c r="J834" s="133"/>
      <c r="K834" s="214"/>
    </row>
    <row r="835" ht="22.5" customHeight="1">
      <c r="A835" s="212"/>
      <c r="B835" s="213"/>
      <c r="C835" s="213"/>
      <c r="D835" s="213"/>
      <c r="E835" s="213"/>
      <c r="F835" s="214"/>
      <c r="G835" s="141"/>
      <c r="H835" s="41"/>
      <c r="I835" s="142"/>
      <c r="J835" s="134"/>
      <c r="K835" s="214"/>
    </row>
    <row r="836" ht="22.5" customHeight="1">
      <c r="A836" s="212"/>
      <c r="B836" s="213"/>
      <c r="C836" s="213"/>
      <c r="D836" s="213"/>
      <c r="E836" s="213"/>
      <c r="F836" s="214"/>
      <c r="G836" s="143"/>
      <c r="H836" s="37"/>
      <c r="I836" s="144"/>
      <c r="J836" s="133"/>
      <c r="K836" s="214"/>
    </row>
    <row r="837" ht="22.5" customHeight="1">
      <c r="A837" s="212"/>
      <c r="B837" s="213"/>
      <c r="C837" s="213"/>
      <c r="D837" s="213"/>
      <c r="E837" s="213"/>
      <c r="F837" s="214"/>
      <c r="G837" s="141"/>
      <c r="H837" s="41"/>
      <c r="I837" s="142"/>
      <c r="J837" s="134"/>
      <c r="K837" s="214"/>
    </row>
    <row r="838" ht="22.5" customHeight="1">
      <c r="A838" s="212"/>
      <c r="B838" s="213"/>
      <c r="C838" s="213"/>
      <c r="D838" s="213"/>
      <c r="E838" s="213"/>
      <c r="F838" s="214"/>
      <c r="G838" s="143"/>
      <c r="H838" s="37"/>
      <c r="I838" s="144"/>
      <c r="J838" s="133"/>
      <c r="K838" s="214"/>
    </row>
    <row r="839" ht="22.5" customHeight="1">
      <c r="A839" s="212"/>
      <c r="B839" s="213"/>
      <c r="C839" s="213"/>
      <c r="D839" s="213"/>
      <c r="E839" s="213"/>
      <c r="F839" s="214"/>
      <c r="G839" s="141"/>
      <c r="H839" s="41"/>
      <c r="I839" s="142"/>
      <c r="J839" s="134"/>
      <c r="K839" s="214"/>
    </row>
    <row r="840" ht="22.5" customHeight="1">
      <c r="A840" s="212"/>
      <c r="B840" s="213"/>
      <c r="C840" s="213"/>
      <c r="D840" s="213"/>
      <c r="E840" s="213"/>
      <c r="F840" s="214"/>
      <c r="G840" s="143"/>
      <c r="H840" s="37"/>
      <c r="I840" s="144"/>
      <c r="J840" s="133"/>
      <c r="K840" s="214"/>
    </row>
    <row r="841" ht="22.5" customHeight="1">
      <c r="A841" s="212"/>
      <c r="B841" s="213"/>
      <c r="C841" s="213"/>
      <c r="D841" s="213"/>
      <c r="E841" s="213"/>
      <c r="F841" s="214"/>
      <c r="G841" s="141"/>
      <c r="H841" s="41"/>
      <c r="I841" s="142"/>
      <c r="J841" s="134"/>
      <c r="K841" s="214"/>
    </row>
    <row r="842" ht="22.5" customHeight="1">
      <c r="A842" s="212"/>
      <c r="B842" s="213"/>
      <c r="C842" s="213"/>
      <c r="D842" s="213"/>
      <c r="E842" s="213"/>
      <c r="F842" s="214"/>
      <c r="G842" s="143"/>
      <c r="H842" s="37"/>
      <c r="I842" s="144"/>
      <c r="J842" s="133"/>
      <c r="K842" s="214"/>
    </row>
    <row r="843" ht="22.5" customHeight="1">
      <c r="A843" s="212"/>
      <c r="B843" s="213"/>
      <c r="C843" s="213"/>
      <c r="D843" s="213"/>
      <c r="E843" s="213"/>
      <c r="F843" s="214"/>
      <c r="G843" s="141"/>
      <c r="H843" s="41"/>
      <c r="I843" s="142"/>
      <c r="J843" s="134"/>
      <c r="K843" s="214"/>
    </row>
    <row r="844" ht="22.5" customHeight="1">
      <c r="A844" s="212"/>
      <c r="B844" s="213"/>
      <c r="C844" s="213"/>
      <c r="D844" s="213"/>
      <c r="E844" s="213"/>
      <c r="F844" s="214"/>
      <c r="G844" s="143"/>
      <c r="H844" s="37"/>
      <c r="I844" s="144"/>
      <c r="J844" s="133"/>
      <c r="K844" s="214"/>
    </row>
    <row r="845" ht="22.5" customHeight="1">
      <c r="A845" s="212"/>
      <c r="B845" s="213"/>
      <c r="C845" s="213"/>
      <c r="D845" s="213"/>
      <c r="E845" s="213"/>
      <c r="F845" s="214"/>
      <c r="G845" s="141"/>
      <c r="H845" s="41"/>
      <c r="I845" s="142"/>
      <c r="J845" s="134"/>
      <c r="K845" s="214"/>
    </row>
    <row r="846" ht="22.5" customHeight="1">
      <c r="A846" s="212"/>
      <c r="B846" s="213"/>
      <c r="C846" s="213"/>
      <c r="D846" s="213"/>
      <c r="E846" s="213"/>
      <c r="F846" s="214"/>
      <c r="G846" s="143"/>
      <c r="H846" s="37"/>
      <c r="I846" s="144"/>
      <c r="J846" s="133"/>
      <c r="K846" s="214"/>
    </row>
    <row r="847" ht="22.5" customHeight="1">
      <c r="A847" s="212"/>
      <c r="B847" s="213"/>
      <c r="C847" s="213"/>
      <c r="D847" s="213"/>
      <c r="E847" s="213"/>
      <c r="F847" s="214"/>
      <c r="G847" s="141"/>
      <c r="H847" s="41"/>
      <c r="I847" s="142"/>
      <c r="J847" s="134"/>
      <c r="K847" s="214"/>
    </row>
    <row r="848" ht="22.5" customHeight="1">
      <c r="A848" s="212"/>
      <c r="B848" s="213"/>
      <c r="C848" s="213"/>
      <c r="D848" s="213"/>
      <c r="E848" s="213"/>
      <c r="F848" s="214"/>
      <c r="G848" s="143"/>
      <c r="H848" s="37"/>
      <c r="I848" s="144"/>
      <c r="J848" s="133"/>
      <c r="K848" s="214"/>
    </row>
    <row r="849" ht="22.5" customHeight="1">
      <c r="A849" s="212"/>
      <c r="B849" s="213"/>
      <c r="C849" s="213"/>
      <c r="D849" s="213"/>
      <c r="E849" s="213"/>
      <c r="F849" s="214"/>
      <c r="G849" s="141"/>
      <c r="H849" s="41"/>
      <c r="I849" s="142"/>
      <c r="J849" s="134"/>
      <c r="K849" s="214"/>
    </row>
    <row r="850" ht="22.5" customHeight="1">
      <c r="A850" s="212"/>
      <c r="B850" s="213"/>
      <c r="C850" s="213"/>
      <c r="D850" s="213"/>
      <c r="E850" s="213"/>
      <c r="F850" s="214"/>
      <c r="G850" s="143"/>
      <c r="H850" s="37"/>
      <c r="I850" s="144"/>
      <c r="J850" s="133"/>
      <c r="K850" s="214"/>
    </row>
    <row r="851" ht="22.5" customHeight="1">
      <c r="A851" s="212"/>
      <c r="B851" s="213"/>
      <c r="C851" s="213"/>
      <c r="D851" s="213"/>
      <c r="E851" s="213"/>
      <c r="F851" s="214"/>
      <c r="G851" s="141"/>
      <c r="H851" s="41"/>
      <c r="I851" s="142"/>
      <c r="J851" s="134"/>
      <c r="K851" s="214"/>
    </row>
    <row r="852" ht="22.5" customHeight="1">
      <c r="A852" s="212"/>
      <c r="B852" s="213"/>
      <c r="C852" s="213"/>
      <c r="D852" s="213"/>
      <c r="E852" s="213"/>
      <c r="F852" s="214"/>
      <c r="G852" s="143"/>
      <c r="H852" s="37"/>
      <c r="I852" s="144"/>
      <c r="J852" s="133"/>
      <c r="K852" s="214"/>
    </row>
    <row r="853" ht="22.5" customHeight="1">
      <c r="A853" s="212"/>
      <c r="B853" s="213"/>
      <c r="C853" s="213"/>
      <c r="D853" s="213"/>
      <c r="E853" s="213"/>
      <c r="F853" s="214"/>
      <c r="G853" s="141"/>
      <c r="H853" s="41"/>
      <c r="I853" s="142"/>
      <c r="J853" s="134"/>
      <c r="K853" s="214"/>
    </row>
    <row r="854" ht="22.5" customHeight="1">
      <c r="A854" s="212"/>
      <c r="B854" s="213"/>
      <c r="C854" s="213"/>
      <c r="D854" s="213"/>
      <c r="E854" s="213"/>
      <c r="F854" s="214"/>
      <c r="G854" s="143"/>
      <c r="H854" s="37"/>
      <c r="I854" s="144"/>
      <c r="J854" s="133"/>
      <c r="K854" s="214"/>
    </row>
    <row r="855" ht="22.5" customHeight="1">
      <c r="A855" s="212"/>
      <c r="B855" s="213"/>
      <c r="C855" s="213"/>
      <c r="D855" s="213"/>
      <c r="E855" s="213"/>
      <c r="F855" s="214"/>
      <c r="G855" s="141"/>
      <c r="H855" s="41"/>
      <c r="I855" s="142"/>
      <c r="J855" s="134"/>
      <c r="K855" s="214"/>
    </row>
    <row r="856" ht="22.5" customHeight="1">
      <c r="A856" s="212"/>
      <c r="B856" s="213"/>
      <c r="C856" s="213"/>
      <c r="D856" s="213"/>
      <c r="E856" s="213"/>
      <c r="F856" s="214"/>
      <c r="G856" s="143"/>
      <c r="H856" s="37"/>
      <c r="I856" s="144"/>
      <c r="J856" s="133"/>
      <c r="K856" s="214"/>
    </row>
    <row r="857" ht="22.5" customHeight="1">
      <c r="A857" s="212"/>
      <c r="B857" s="213"/>
      <c r="C857" s="213"/>
      <c r="D857" s="213"/>
      <c r="E857" s="213"/>
      <c r="F857" s="214"/>
      <c r="G857" s="141"/>
      <c r="H857" s="41"/>
      <c r="I857" s="142"/>
      <c r="J857" s="134"/>
      <c r="K857" s="214"/>
    </row>
    <row r="858" ht="22.5" customHeight="1">
      <c r="A858" s="212"/>
      <c r="B858" s="213"/>
      <c r="C858" s="213"/>
      <c r="D858" s="213"/>
      <c r="E858" s="213"/>
      <c r="F858" s="214"/>
      <c r="G858" s="143"/>
      <c r="H858" s="37"/>
      <c r="I858" s="144"/>
      <c r="J858" s="133"/>
      <c r="K858" s="214"/>
    </row>
    <row r="859" ht="22.5" customHeight="1">
      <c r="A859" s="212"/>
      <c r="B859" s="213"/>
      <c r="C859" s="213"/>
      <c r="D859" s="213"/>
      <c r="E859" s="213"/>
      <c r="F859" s="214"/>
      <c r="G859" s="141"/>
      <c r="H859" s="41"/>
      <c r="I859" s="142"/>
      <c r="J859" s="134"/>
      <c r="K859" s="214"/>
    </row>
    <row r="860" ht="22.5" customHeight="1">
      <c r="A860" s="212"/>
      <c r="B860" s="213"/>
      <c r="C860" s="213"/>
      <c r="D860" s="213"/>
      <c r="E860" s="213"/>
      <c r="F860" s="214"/>
      <c r="G860" s="143"/>
      <c r="H860" s="37"/>
      <c r="I860" s="144"/>
      <c r="J860" s="133"/>
      <c r="K860" s="214"/>
    </row>
    <row r="861" ht="22.5" customHeight="1">
      <c r="A861" s="212"/>
      <c r="B861" s="213"/>
      <c r="C861" s="213"/>
      <c r="D861" s="213"/>
      <c r="E861" s="213"/>
      <c r="F861" s="214"/>
      <c r="G861" s="141"/>
      <c r="H861" s="41"/>
      <c r="I861" s="142"/>
      <c r="J861" s="134"/>
      <c r="K861" s="214"/>
    </row>
    <row r="862" ht="22.5" customHeight="1">
      <c r="A862" s="212"/>
      <c r="B862" s="213"/>
      <c r="C862" s="213"/>
      <c r="D862" s="213"/>
      <c r="E862" s="213"/>
      <c r="F862" s="214"/>
      <c r="G862" s="143"/>
      <c r="H862" s="37"/>
      <c r="I862" s="144"/>
      <c r="J862" s="133"/>
      <c r="K862" s="214"/>
    </row>
    <row r="863" ht="22.5" customHeight="1">
      <c r="A863" s="212"/>
      <c r="B863" s="213"/>
      <c r="C863" s="213"/>
      <c r="D863" s="213"/>
      <c r="E863" s="213"/>
      <c r="F863" s="214"/>
      <c r="G863" s="141"/>
      <c r="H863" s="41"/>
      <c r="I863" s="142"/>
      <c r="J863" s="134"/>
      <c r="K863" s="214"/>
    </row>
    <row r="864" ht="22.5" customHeight="1">
      <c r="A864" s="212"/>
      <c r="B864" s="213"/>
      <c r="C864" s="213"/>
      <c r="D864" s="213"/>
      <c r="E864" s="213"/>
      <c r="F864" s="214"/>
      <c r="G864" s="143"/>
      <c r="H864" s="37"/>
      <c r="I864" s="144"/>
      <c r="J864" s="133"/>
      <c r="K864" s="214"/>
    </row>
    <row r="865" ht="22.5" customHeight="1">
      <c r="A865" s="212"/>
      <c r="B865" s="213"/>
      <c r="C865" s="213"/>
      <c r="D865" s="213"/>
      <c r="E865" s="213"/>
      <c r="F865" s="214"/>
      <c r="G865" s="141"/>
      <c r="H865" s="41"/>
      <c r="I865" s="142"/>
      <c r="J865" s="134"/>
      <c r="K865" s="214"/>
    </row>
    <row r="866" ht="22.5" customHeight="1">
      <c r="A866" s="212"/>
      <c r="B866" s="213"/>
      <c r="C866" s="213"/>
      <c r="D866" s="213"/>
      <c r="E866" s="213"/>
      <c r="F866" s="214"/>
      <c r="G866" s="143"/>
      <c r="H866" s="37"/>
      <c r="I866" s="144"/>
      <c r="J866" s="133"/>
      <c r="K866" s="214"/>
    </row>
    <row r="867" ht="22.5" customHeight="1">
      <c r="A867" s="212"/>
      <c r="B867" s="213"/>
      <c r="C867" s="213"/>
      <c r="D867" s="213"/>
      <c r="E867" s="213"/>
      <c r="F867" s="214"/>
      <c r="G867" s="141"/>
      <c r="H867" s="41"/>
      <c r="I867" s="142"/>
      <c r="J867" s="134"/>
      <c r="K867" s="214"/>
    </row>
    <row r="868" ht="22.5" customHeight="1">
      <c r="A868" s="212"/>
      <c r="B868" s="213"/>
      <c r="C868" s="213"/>
      <c r="D868" s="213"/>
      <c r="E868" s="213"/>
      <c r="F868" s="214"/>
      <c r="G868" s="143"/>
      <c r="H868" s="37"/>
      <c r="I868" s="144"/>
      <c r="J868" s="133"/>
      <c r="K868" s="214"/>
    </row>
    <row r="869" ht="22.5" customHeight="1">
      <c r="A869" s="212"/>
      <c r="B869" s="213"/>
      <c r="C869" s="213"/>
      <c r="D869" s="213"/>
      <c r="E869" s="213"/>
      <c r="F869" s="214"/>
      <c r="G869" s="141"/>
      <c r="H869" s="41"/>
      <c r="I869" s="142"/>
      <c r="J869" s="134"/>
      <c r="K869" s="214"/>
    </row>
    <row r="870" ht="22.5" customHeight="1">
      <c r="A870" s="212"/>
      <c r="B870" s="213"/>
      <c r="C870" s="213"/>
      <c r="D870" s="213"/>
      <c r="E870" s="213"/>
      <c r="F870" s="214"/>
      <c r="G870" s="143"/>
      <c r="H870" s="37"/>
      <c r="I870" s="144"/>
      <c r="J870" s="133"/>
      <c r="K870" s="214"/>
    </row>
    <row r="871" ht="22.5" customHeight="1">
      <c r="A871" s="212"/>
      <c r="B871" s="213"/>
      <c r="C871" s="213"/>
      <c r="D871" s="213"/>
      <c r="E871" s="213"/>
      <c r="F871" s="214"/>
      <c r="G871" s="141"/>
      <c r="H871" s="41"/>
      <c r="I871" s="142"/>
      <c r="J871" s="134"/>
      <c r="K871" s="214"/>
    </row>
    <row r="872" ht="22.5" customHeight="1">
      <c r="A872" s="212"/>
      <c r="B872" s="213"/>
      <c r="C872" s="213"/>
      <c r="D872" s="213"/>
      <c r="E872" s="213"/>
      <c r="F872" s="214"/>
      <c r="G872" s="143"/>
      <c r="H872" s="37"/>
      <c r="I872" s="144"/>
      <c r="J872" s="133"/>
      <c r="K872" s="214"/>
    </row>
    <row r="873" ht="22.5" customHeight="1">
      <c r="A873" s="212"/>
      <c r="B873" s="213"/>
      <c r="C873" s="213"/>
      <c r="D873" s="213"/>
      <c r="E873" s="213"/>
      <c r="F873" s="214"/>
      <c r="G873" s="141"/>
      <c r="H873" s="41"/>
      <c r="I873" s="142"/>
      <c r="J873" s="134"/>
      <c r="K873" s="214"/>
    </row>
    <row r="874" ht="22.5" customHeight="1">
      <c r="A874" s="212"/>
      <c r="B874" s="213"/>
      <c r="C874" s="213"/>
      <c r="D874" s="213"/>
      <c r="E874" s="213"/>
      <c r="F874" s="214"/>
      <c r="G874" s="143"/>
      <c r="H874" s="37"/>
      <c r="I874" s="144"/>
      <c r="J874" s="133"/>
      <c r="K874" s="214"/>
    </row>
    <row r="875" ht="22.5" customHeight="1">
      <c r="A875" s="212"/>
      <c r="B875" s="213"/>
      <c r="C875" s="213"/>
      <c r="D875" s="213"/>
      <c r="E875" s="213"/>
      <c r="F875" s="214"/>
      <c r="G875" s="141"/>
      <c r="H875" s="41"/>
      <c r="I875" s="142"/>
      <c r="J875" s="134"/>
      <c r="K875" s="214"/>
    </row>
    <row r="876" ht="22.5" customHeight="1">
      <c r="A876" s="212"/>
      <c r="B876" s="213"/>
      <c r="C876" s="213"/>
      <c r="D876" s="213"/>
      <c r="E876" s="213"/>
      <c r="F876" s="214"/>
      <c r="G876" s="143"/>
      <c r="H876" s="37"/>
      <c r="I876" s="144"/>
      <c r="J876" s="133"/>
      <c r="K876" s="214"/>
    </row>
    <row r="877" ht="22.5" customHeight="1">
      <c r="A877" s="212"/>
      <c r="B877" s="213"/>
      <c r="C877" s="213"/>
      <c r="D877" s="213"/>
      <c r="E877" s="213"/>
      <c r="F877" s="214"/>
      <c r="G877" s="141"/>
      <c r="H877" s="41"/>
      <c r="I877" s="142"/>
      <c r="J877" s="134"/>
      <c r="K877" s="214"/>
    </row>
    <row r="878" ht="22.5" customHeight="1">
      <c r="A878" s="212"/>
      <c r="B878" s="213"/>
      <c r="C878" s="213"/>
      <c r="D878" s="213"/>
      <c r="E878" s="213"/>
      <c r="F878" s="214"/>
      <c r="G878" s="143"/>
      <c r="H878" s="37"/>
      <c r="I878" s="144"/>
      <c r="J878" s="133"/>
      <c r="K878" s="214"/>
    </row>
    <row r="879" ht="22.5" customHeight="1">
      <c r="A879" s="212"/>
      <c r="B879" s="213"/>
      <c r="C879" s="213"/>
      <c r="D879" s="213"/>
      <c r="E879" s="213"/>
      <c r="F879" s="214"/>
      <c r="G879" s="141"/>
      <c r="H879" s="41"/>
      <c r="I879" s="142"/>
      <c r="J879" s="134"/>
      <c r="K879" s="214"/>
    </row>
    <row r="880" ht="22.5" customHeight="1">
      <c r="A880" s="212"/>
      <c r="B880" s="213"/>
      <c r="C880" s="213"/>
      <c r="D880" s="213"/>
      <c r="E880" s="213"/>
      <c r="F880" s="214"/>
      <c r="G880" s="143"/>
      <c r="H880" s="37"/>
      <c r="I880" s="144"/>
      <c r="J880" s="133"/>
      <c r="K880" s="214"/>
    </row>
    <row r="881" ht="22.5" customHeight="1">
      <c r="A881" s="212"/>
      <c r="B881" s="213"/>
      <c r="C881" s="213"/>
      <c r="D881" s="213"/>
      <c r="E881" s="213"/>
      <c r="F881" s="214"/>
      <c r="G881" s="141"/>
      <c r="H881" s="41"/>
      <c r="I881" s="142"/>
      <c r="J881" s="134"/>
      <c r="K881" s="214"/>
    </row>
    <row r="882" ht="22.5" customHeight="1">
      <c r="A882" s="212"/>
      <c r="B882" s="213"/>
      <c r="C882" s="213"/>
      <c r="D882" s="213"/>
      <c r="E882" s="213"/>
      <c r="F882" s="214"/>
      <c r="G882" s="143"/>
      <c r="H882" s="37"/>
      <c r="I882" s="144"/>
      <c r="J882" s="133"/>
      <c r="K882" s="214"/>
    </row>
    <row r="883" ht="22.5" customHeight="1">
      <c r="A883" s="212"/>
      <c r="B883" s="213"/>
      <c r="C883" s="213"/>
      <c r="D883" s="213"/>
      <c r="E883" s="213"/>
      <c r="F883" s="214"/>
      <c r="G883" s="141"/>
      <c r="H883" s="41"/>
      <c r="I883" s="142"/>
      <c r="J883" s="134"/>
      <c r="K883" s="214"/>
    </row>
    <row r="884" ht="22.5" customHeight="1">
      <c r="A884" s="212"/>
      <c r="B884" s="213"/>
      <c r="C884" s="213"/>
      <c r="D884" s="213"/>
      <c r="E884" s="213"/>
      <c r="F884" s="214"/>
      <c r="G884" s="143"/>
      <c r="H884" s="37"/>
      <c r="I884" s="144"/>
      <c r="J884" s="133"/>
      <c r="K884" s="214"/>
    </row>
    <row r="885" ht="22.5" customHeight="1">
      <c r="A885" s="212"/>
      <c r="B885" s="213"/>
      <c r="C885" s="213"/>
      <c r="D885" s="213"/>
      <c r="E885" s="213"/>
      <c r="F885" s="214"/>
      <c r="G885" s="141"/>
      <c r="H885" s="41"/>
      <c r="I885" s="142"/>
      <c r="J885" s="134"/>
      <c r="K885" s="214"/>
    </row>
    <row r="886" ht="22.5" customHeight="1">
      <c r="A886" s="212"/>
      <c r="B886" s="213"/>
      <c r="C886" s="213"/>
      <c r="D886" s="213"/>
      <c r="E886" s="213"/>
      <c r="F886" s="214"/>
      <c r="G886" s="143"/>
      <c r="H886" s="37"/>
      <c r="I886" s="144"/>
      <c r="J886" s="133"/>
      <c r="K886" s="214"/>
    </row>
    <row r="887" ht="22.5" customHeight="1">
      <c r="A887" s="212"/>
      <c r="B887" s="213"/>
      <c r="C887" s="213"/>
      <c r="D887" s="213"/>
      <c r="E887" s="213"/>
      <c r="F887" s="214"/>
      <c r="G887" s="141"/>
      <c r="H887" s="41"/>
      <c r="I887" s="142"/>
      <c r="J887" s="134"/>
      <c r="K887" s="214"/>
    </row>
    <row r="888" ht="22.5" customHeight="1">
      <c r="A888" s="212"/>
      <c r="B888" s="213"/>
      <c r="C888" s="213"/>
      <c r="D888" s="213"/>
      <c r="E888" s="213"/>
      <c r="F888" s="214"/>
      <c r="G888" s="143"/>
      <c r="H888" s="37"/>
      <c r="I888" s="144"/>
      <c r="J888" s="133"/>
      <c r="K888" s="214"/>
    </row>
    <row r="889" ht="22.5" customHeight="1">
      <c r="A889" s="212"/>
      <c r="B889" s="213"/>
      <c r="C889" s="213"/>
      <c r="D889" s="213"/>
      <c r="E889" s="213"/>
      <c r="F889" s="214"/>
      <c r="G889" s="141"/>
      <c r="H889" s="41"/>
      <c r="I889" s="142"/>
      <c r="J889" s="134"/>
      <c r="K889" s="214"/>
    </row>
    <row r="890" ht="22.5" customHeight="1">
      <c r="A890" s="212"/>
      <c r="B890" s="213"/>
      <c r="C890" s="213"/>
      <c r="D890" s="213"/>
      <c r="E890" s="213"/>
      <c r="F890" s="214"/>
      <c r="G890" s="143"/>
      <c r="H890" s="37"/>
      <c r="I890" s="144"/>
      <c r="J890" s="133"/>
      <c r="K890" s="214"/>
    </row>
    <row r="891" ht="22.5" customHeight="1">
      <c r="A891" s="212"/>
      <c r="B891" s="213"/>
      <c r="C891" s="213"/>
      <c r="D891" s="213"/>
      <c r="E891" s="213"/>
      <c r="F891" s="214"/>
      <c r="G891" s="141"/>
      <c r="H891" s="41"/>
      <c r="I891" s="142"/>
      <c r="J891" s="134"/>
      <c r="K891" s="214"/>
    </row>
    <row r="892" ht="22.5" customHeight="1">
      <c r="A892" s="212"/>
      <c r="B892" s="213"/>
      <c r="C892" s="213"/>
      <c r="D892" s="213"/>
      <c r="E892" s="213"/>
      <c r="F892" s="214"/>
      <c r="G892" s="143"/>
      <c r="H892" s="37"/>
      <c r="I892" s="144"/>
      <c r="J892" s="133"/>
      <c r="K892" s="214"/>
    </row>
    <row r="893" ht="22.5" customHeight="1">
      <c r="A893" s="212"/>
      <c r="B893" s="213"/>
      <c r="C893" s="213"/>
      <c r="D893" s="213"/>
      <c r="E893" s="213"/>
      <c r="F893" s="214"/>
      <c r="G893" s="141"/>
      <c r="H893" s="41"/>
      <c r="I893" s="142"/>
      <c r="J893" s="134"/>
      <c r="K893" s="214"/>
    </row>
    <row r="894" ht="22.5" customHeight="1">
      <c r="A894" s="212"/>
      <c r="B894" s="213"/>
      <c r="C894" s="213"/>
      <c r="D894" s="213"/>
      <c r="E894" s="213"/>
      <c r="F894" s="214"/>
      <c r="G894" s="143"/>
      <c r="H894" s="37"/>
      <c r="I894" s="144"/>
      <c r="J894" s="133"/>
      <c r="K894" s="214"/>
    </row>
    <row r="895" ht="22.5" customHeight="1">
      <c r="A895" s="212"/>
      <c r="B895" s="213"/>
      <c r="C895" s="213"/>
      <c r="D895" s="213"/>
      <c r="E895" s="213"/>
      <c r="F895" s="214"/>
      <c r="G895" s="141"/>
      <c r="H895" s="41"/>
      <c r="I895" s="142"/>
      <c r="J895" s="134"/>
      <c r="K895" s="214"/>
    </row>
    <row r="896" ht="22.5" customHeight="1">
      <c r="A896" s="212"/>
      <c r="B896" s="213"/>
      <c r="C896" s="213"/>
      <c r="D896" s="213"/>
      <c r="E896" s="213"/>
      <c r="F896" s="214"/>
      <c r="G896" s="143"/>
      <c r="H896" s="37"/>
      <c r="I896" s="144"/>
      <c r="J896" s="133"/>
      <c r="K896" s="214"/>
    </row>
    <row r="897" ht="22.5" customHeight="1">
      <c r="A897" s="212"/>
      <c r="B897" s="213"/>
      <c r="C897" s="213"/>
      <c r="D897" s="213"/>
      <c r="E897" s="213"/>
      <c r="F897" s="214"/>
      <c r="G897" s="141"/>
      <c r="H897" s="41"/>
      <c r="I897" s="142"/>
      <c r="J897" s="134"/>
      <c r="K897" s="214"/>
    </row>
    <row r="898" ht="22.5" customHeight="1">
      <c r="A898" s="212"/>
      <c r="B898" s="213"/>
      <c r="C898" s="213"/>
      <c r="D898" s="213"/>
      <c r="E898" s="213"/>
      <c r="F898" s="214"/>
      <c r="G898" s="143"/>
      <c r="H898" s="37"/>
      <c r="I898" s="144"/>
      <c r="J898" s="133"/>
      <c r="K898" s="214"/>
    </row>
    <row r="899" ht="22.5" customHeight="1">
      <c r="A899" s="212"/>
      <c r="B899" s="213"/>
      <c r="C899" s="213"/>
      <c r="D899" s="213"/>
      <c r="E899" s="213"/>
      <c r="F899" s="214"/>
      <c r="G899" s="141"/>
      <c r="H899" s="41"/>
      <c r="I899" s="142"/>
      <c r="J899" s="134"/>
      <c r="K899" s="214"/>
    </row>
    <row r="900" ht="22.5" customHeight="1">
      <c r="A900" s="212"/>
      <c r="B900" s="213"/>
      <c r="C900" s="213"/>
      <c r="D900" s="213"/>
      <c r="E900" s="213"/>
      <c r="F900" s="214"/>
      <c r="G900" s="143"/>
      <c r="H900" s="37"/>
      <c r="I900" s="144"/>
      <c r="J900" s="133"/>
      <c r="K900" s="214"/>
    </row>
    <row r="901" ht="22.5" customHeight="1">
      <c r="A901" s="212"/>
      <c r="B901" s="213"/>
      <c r="C901" s="213"/>
      <c r="D901" s="213"/>
      <c r="E901" s="213"/>
      <c r="F901" s="214"/>
      <c r="G901" s="141"/>
      <c r="H901" s="41"/>
      <c r="I901" s="142"/>
      <c r="J901" s="134"/>
      <c r="K901" s="214"/>
    </row>
    <row r="902" ht="22.5" customHeight="1">
      <c r="A902" s="212"/>
      <c r="B902" s="213"/>
      <c r="C902" s="213"/>
      <c r="D902" s="213"/>
      <c r="E902" s="213"/>
      <c r="F902" s="214"/>
      <c r="G902" s="143"/>
      <c r="H902" s="37"/>
      <c r="I902" s="144"/>
      <c r="J902" s="133"/>
      <c r="K902" s="214"/>
    </row>
    <row r="903" ht="22.5" customHeight="1">
      <c r="A903" s="212"/>
      <c r="B903" s="213"/>
      <c r="C903" s="213"/>
      <c r="D903" s="213"/>
      <c r="E903" s="213"/>
      <c r="F903" s="214"/>
      <c r="G903" s="141"/>
      <c r="H903" s="41"/>
      <c r="I903" s="142"/>
      <c r="J903" s="134"/>
      <c r="K903" s="214"/>
    </row>
    <row r="904" ht="22.5" customHeight="1">
      <c r="A904" s="212"/>
      <c r="B904" s="213"/>
      <c r="C904" s="213"/>
      <c r="D904" s="213"/>
      <c r="E904" s="213"/>
      <c r="F904" s="214"/>
      <c r="G904" s="143"/>
      <c r="H904" s="37"/>
      <c r="I904" s="144"/>
      <c r="J904" s="133"/>
      <c r="K904" s="214"/>
    </row>
    <row r="905" ht="22.5" customHeight="1">
      <c r="A905" s="212"/>
      <c r="B905" s="213"/>
      <c r="C905" s="213"/>
      <c r="D905" s="213"/>
      <c r="E905" s="213"/>
      <c r="F905" s="214"/>
      <c r="G905" s="141"/>
      <c r="H905" s="41"/>
      <c r="I905" s="142"/>
      <c r="J905" s="134"/>
      <c r="K905" s="214"/>
    </row>
    <row r="906" ht="22.5" customHeight="1">
      <c r="A906" s="212"/>
      <c r="B906" s="213"/>
      <c r="C906" s="213"/>
      <c r="D906" s="213"/>
      <c r="E906" s="213"/>
      <c r="F906" s="214"/>
      <c r="G906" s="143"/>
      <c r="H906" s="37"/>
      <c r="I906" s="144"/>
      <c r="J906" s="133"/>
      <c r="K906" s="214"/>
    </row>
    <row r="907" ht="22.5" customHeight="1">
      <c r="A907" s="212"/>
      <c r="B907" s="213"/>
      <c r="C907" s="213"/>
      <c r="D907" s="213"/>
      <c r="E907" s="213"/>
      <c r="F907" s="214"/>
      <c r="G907" s="141"/>
      <c r="H907" s="41"/>
      <c r="I907" s="142"/>
      <c r="J907" s="134"/>
      <c r="K907" s="214"/>
    </row>
    <row r="908" ht="22.5" customHeight="1">
      <c r="A908" s="212"/>
      <c r="B908" s="213"/>
      <c r="C908" s="213"/>
      <c r="D908" s="213"/>
      <c r="E908" s="213"/>
      <c r="F908" s="214"/>
      <c r="G908" s="143"/>
      <c r="H908" s="37"/>
      <c r="I908" s="144"/>
      <c r="J908" s="133"/>
      <c r="K908" s="214"/>
    </row>
    <row r="909" ht="22.5" customHeight="1">
      <c r="A909" s="212"/>
      <c r="B909" s="213"/>
      <c r="C909" s="213"/>
      <c r="D909" s="213"/>
      <c r="E909" s="213"/>
      <c r="F909" s="214"/>
      <c r="G909" s="141"/>
      <c r="H909" s="41"/>
      <c r="I909" s="142"/>
      <c r="J909" s="134"/>
      <c r="K909" s="214"/>
    </row>
    <row r="910" ht="22.5" customHeight="1">
      <c r="A910" s="212"/>
      <c r="B910" s="213"/>
      <c r="C910" s="213"/>
      <c r="D910" s="213"/>
      <c r="E910" s="213"/>
      <c r="F910" s="214"/>
      <c r="G910" s="143"/>
      <c r="H910" s="37"/>
      <c r="I910" s="144"/>
      <c r="J910" s="133"/>
      <c r="K910" s="214"/>
    </row>
    <row r="911" ht="22.5" customHeight="1">
      <c r="A911" s="212"/>
      <c r="B911" s="213"/>
      <c r="C911" s="213"/>
      <c r="D911" s="213"/>
      <c r="E911" s="213"/>
      <c r="F911" s="214"/>
      <c r="G911" s="141"/>
      <c r="H911" s="41"/>
      <c r="I911" s="142"/>
      <c r="J911" s="134"/>
      <c r="K911" s="214"/>
    </row>
    <row r="912" ht="22.5" customHeight="1">
      <c r="A912" s="212"/>
      <c r="B912" s="213"/>
      <c r="C912" s="213"/>
      <c r="D912" s="213"/>
      <c r="E912" s="213"/>
      <c r="F912" s="214"/>
      <c r="G912" s="143"/>
      <c r="H912" s="37"/>
      <c r="I912" s="144"/>
      <c r="J912" s="133"/>
      <c r="K912" s="214"/>
    </row>
    <row r="913" ht="22.5" customHeight="1">
      <c r="A913" s="212"/>
      <c r="B913" s="213"/>
      <c r="C913" s="213"/>
      <c r="D913" s="213"/>
      <c r="E913" s="213"/>
      <c r="F913" s="214"/>
      <c r="G913" s="141"/>
      <c r="H913" s="41"/>
      <c r="I913" s="142"/>
      <c r="J913" s="134"/>
      <c r="K913" s="214"/>
    </row>
    <row r="914" ht="22.5" customHeight="1">
      <c r="A914" s="212"/>
      <c r="B914" s="213"/>
      <c r="C914" s="213"/>
      <c r="D914" s="213"/>
      <c r="E914" s="213"/>
      <c r="F914" s="214"/>
      <c r="G914" s="143"/>
      <c r="H914" s="37"/>
      <c r="I914" s="144"/>
      <c r="J914" s="133"/>
      <c r="K914" s="214"/>
    </row>
    <row r="915" ht="22.5" customHeight="1">
      <c r="A915" s="212"/>
      <c r="B915" s="213"/>
      <c r="C915" s="213"/>
      <c r="D915" s="213"/>
      <c r="E915" s="213"/>
      <c r="F915" s="214"/>
      <c r="G915" s="141"/>
      <c r="H915" s="41"/>
      <c r="I915" s="142"/>
      <c r="J915" s="134"/>
      <c r="K915" s="214"/>
    </row>
    <row r="916" ht="22.5" customHeight="1">
      <c r="A916" s="212"/>
      <c r="B916" s="213"/>
      <c r="C916" s="213"/>
      <c r="D916" s="213"/>
      <c r="E916" s="213"/>
      <c r="F916" s="214"/>
      <c r="G916" s="143"/>
      <c r="H916" s="37"/>
      <c r="I916" s="144"/>
      <c r="J916" s="133"/>
      <c r="K916" s="214"/>
    </row>
    <row r="917" ht="22.5" customHeight="1">
      <c r="A917" s="212"/>
      <c r="B917" s="213"/>
      <c r="C917" s="213"/>
      <c r="D917" s="213"/>
      <c r="E917" s="213"/>
      <c r="F917" s="214"/>
      <c r="G917" s="141"/>
      <c r="H917" s="41"/>
      <c r="I917" s="142"/>
      <c r="J917" s="134"/>
      <c r="K917" s="214"/>
    </row>
    <row r="918" ht="22.5" customHeight="1">
      <c r="A918" s="212"/>
      <c r="B918" s="213"/>
      <c r="C918" s="213"/>
      <c r="D918" s="213"/>
      <c r="E918" s="213"/>
      <c r="F918" s="214"/>
      <c r="G918" s="143"/>
      <c r="H918" s="37"/>
      <c r="I918" s="144"/>
      <c r="J918" s="133"/>
      <c r="K918" s="214"/>
    </row>
    <row r="919" ht="22.5" customHeight="1">
      <c r="A919" s="212"/>
      <c r="B919" s="213"/>
      <c r="C919" s="213"/>
      <c r="D919" s="213"/>
      <c r="E919" s="213"/>
      <c r="F919" s="214"/>
      <c r="G919" s="141"/>
      <c r="H919" s="41"/>
      <c r="I919" s="142"/>
      <c r="J919" s="134"/>
      <c r="K919" s="214"/>
    </row>
    <row r="920" ht="22.5" customHeight="1">
      <c r="A920" s="212"/>
      <c r="B920" s="213"/>
      <c r="C920" s="213"/>
      <c r="D920" s="213"/>
      <c r="E920" s="213"/>
      <c r="F920" s="214"/>
      <c r="G920" s="143"/>
      <c r="H920" s="37"/>
      <c r="I920" s="144"/>
      <c r="J920" s="133"/>
      <c r="K920" s="214"/>
    </row>
    <row r="921" ht="22.5" customHeight="1">
      <c r="A921" s="212"/>
      <c r="B921" s="213"/>
      <c r="C921" s="213"/>
      <c r="D921" s="213"/>
      <c r="E921" s="213"/>
      <c r="F921" s="214"/>
      <c r="G921" s="141"/>
      <c r="H921" s="41"/>
      <c r="I921" s="142"/>
      <c r="J921" s="134"/>
      <c r="K921" s="214"/>
    </row>
    <row r="922" ht="22.5" customHeight="1">
      <c r="A922" s="212"/>
      <c r="B922" s="213"/>
      <c r="C922" s="213"/>
      <c r="D922" s="213"/>
      <c r="E922" s="213"/>
      <c r="F922" s="214"/>
      <c r="G922" s="143"/>
      <c r="H922" s="37"/>
      <c r="I922" s="144"/>
      <c r="J922" s="133"/>
      <c r="K922" s="214"/>
    </row>
    <row r="923" ht="22.5" customHeight="1">
      <c r="A923" s="212"/>
      <c r="B923" s="213"/>
      <c r="C923" s="213"/>
      <c r="D923" s="213"/>
      <c r="E923" s="213"/>
      <c r="F923" s="214"/>
      <c r="G923" s="141"/>
      <c r="H923" s="41"/>
      <c r="I923" s="142"/>
      <c r="J923" s="134"/>
      <c r="K923" s="214"/>
    </row>
    <row r="924" ht="22.5" customHeight="1">
      <c r="A924" s="212"/>
      <c r="B924" s="213"/>
      <c r="C924" s="213"/>
      <c r="D924" s="213"/>
      <c r="E924" s="213"/>
      <c r="F924" s="214"/>
      <c r="G924" s="143"/>
      <c r="H924" s="37"/>
      <c r="I924" s="144"/>
      <c r="J924" s="133"/>
      <c r="K924" s="214"/>
    </row>
    <row r="925" ht="22.5" customHeight="1">
      <c r="A925" s="212"/>
      <c r="B925" s="213"/>
      <c r="C925" s="213"/>
      <c r="D925" s="213"/>
      <c r="E925" s="213"/>
      <c r="F925" s="214"/>
      <c r="G925" s="141"/>
      <c r="H925" s="41"/>
      <c r="I925" s="142"/>
      <c r="J925" s="134"/>
      <c r="K925" s="214"/>
    </row>
    <row r="926" ht="22.5" customHeight="1">
      <c r="A926" s="212"/>
      <c r="B926" s="213"/>
      <c r="C926" s="213"/>
      <c r="D926" s="213"/>
      <c r="E926" s="213"/>
      <c r="F926" s="214"/>
      <c r="G926" s="143"/>
      <c r="H926" s="37"/>
      <c r="I926" s="144"/>
      <c r="J926" s="133"/>
      <c r="K926" s="214"/>
    </row>
    <row r="927" ht="22.5" customHeight="1">
      <c r="A927" s="212"/>
      <c r="B927" s="213"/>
      <c r="C927" s="213"/>
      <c r="D927" s="213"/>
      <c r="E927" s="213"/>
      <c r="F927" s="214"/>
      <c r="G927" s="141"/>
      <c r="H927" s="41"/>
      <c r="I927" s="142"/>
      <c r="J927" s="134"/>
      <c r="K927" s="214"/>
    </row>
    <row r="928" ht="22.5" customHeight="1">
      <c r="A928" s="212"/>
      <c r="B928" s="213"/>
      <c r="C928" s="213"/>
      <c r="D928" s="213"/>
      <c r="E928" s="213"/>
      <c r="F928" s="214"/>
      <c r="G928" s="143"/>
      <c r="H928" s="37"/>
      <c r="I928" s="144"/>
      <c r="J928" s="133"/>
      <c r="K928" s="214"/>
    </row>
    <row r="929" ht="22.5" customHeight="1">
      <c r="A929" s="212"/>
      <c r="B929" s="213"/>
      <c r="C929" s="213"/>
      <c r="D929" s="213"/>
      <c r="E929" s="213"/>
      <c r="F929" s="214"/>
      <c r="G929" s="141"/>
      <c r="H929" s="41"/>
      <c r="I929" s="142"/>
      <c r="J929" s="134"/>
      <c r="K929" s="214"/>
    </row>
    <row r="930" ht="22.5" customHeight="1">
      <c r="A930" s="212"/>
      <c r="B930" s="213"/>
      <c r="C930" s="213"/>
      <c r="D930" s="213"/>
      <c r="E930" s="213"/>
      <c r="F930" s="214"/>
      <c r="G930" s="143"/>
      <c r="H930" s="37"/>
      <c r="I930" s="144"/>
      <c r="J930" s="133"/>
      <c r="K930" s="214"/>
    </row>
    <row r="931" ht="22.5" customHeight="1">
      <c r="A931" s="212"/>
      <c r="B931" s="213"/>
      <c r="C931" s="213"/>
      <c r="D931" s="213"/>
      <c r="E931" s="213"/>
      <c r="F931" s="214"/>
      <c r="G931" s="141"/>
      <c r="H931" s="41"/>
      <c r="I931" s="142"/>
      <c r="J931" s="134"/>
      <c r="K931" s="214"/>
    </row>
    <row r="932" ht="22.5" customHeight="1">
      <c r="A932" s="212"/>
      <c r="B932" s="213"/>
      <c r="C932" s="213"/>
      <c r="D932" s="213"/>
      <c r="E932" s="213"/>
      <c r="F932" s="214"/>
      <c r="G932" s="143"/>
      <c r="H932" s="37"/>
      <c r="I932" s="144"/>
      <c r="J932" s="133"/>
      <c r="K932" s="214"/>
    </row>
    <row r="933" ht="22.5" customHeight="1">
      <c r="A933" s="212"/>
      <c r="B933" s="213"/>
      <c r="C933" s="213"/>
      <c r="D933" s="213"/>
      <c r="E933" s="213"/>
      <c r="F933" s="214"/>
      <c r="G933" s="141"/>
      <c r="H933" s="41"/>
      <c r="I933" s="142"/>
      <c r="J933" s="134"/>
      <c r="K933" s="214"/>
    </row>
    <row r="934" ht="22.5" customHeight="1">
      <c r="A934" s="212"/>
      <c r="B934" s="213"/>
      <c r="C934" s="213"/>
      <c r="D934" s="213"/>
      <c r="E934" s="213"/>
      <c r="F934" s="214"/>
      <c r="G934" s="143"/>
      <c r="H934" s="37"/>
      <c r="I934" s="144"/>
      <c r="J934" s="133"/>
      <c r="K934" s="214"/>
    </row>
    <row r="935" ht="22.5" customHeight="1">
      <c r="A935" s="212"/>
      <c r="B935" s="213"/>
      <c r="C935" s="213"/>
      <c r="D935" s="213"/>
      <c r="E935" s="213"/>
      <c r="F935" s="214"/>
      <c r="G935" s="141"/>
      <c r="H935" s="41"/>
      <c r="I935" s="142"/>
      <c r="J935" s="134"/>
      <c r="K935" s="214"/>
    </row>
    <row r="936" ht="22.5" customHeight="1">
      <c r="A936" s="212"/>
      <c r="B936" s="213"/>
      <c r="C936" s="213"/>
      <c r="D936" s="213"/>
      <c r="E936" s="213"/>
      <c r="F936" s="214"/>
      <c r="G936" s="143"/>
      <c r="H936" s="37"/>
      <c r="I936" s="144"/>
      <c r="J936" s="133"/>
      <c r="K936" s="214"/>
    </row>
    <row r="937" ht="22.5" customHeight="1">
      <c r="A937" s="212"/>
      <c r="B937" s="213"/>
      <c r="C937" s="213"/>
      <c r="D937" s="213"/>
      <c r="E937" s="213"/>
      <c r="F937" s="214"/>
      <c r="G937" s="141"/>
      <c r="H937" s="41"/>
      <c r="I937" s="142"/>
      <c r="J937" s="134"/>
      <c r="K937" s="214"/>
    </row>
    <row r="938" ht="22.5" customHeight="1">
      <c r="A938" s="212"/>
      <c r="B938" s="213"/>
      <c r="C938" s="213"/>
      <c r="D938" s="213"/>
      <c r="E938" s="213"/>
      <c r="F938" s="214"/>
      <c r="G938" s="143"/>
      <c r="H938" s="37"/>
      <c r="I938" s="144"/>
      <c r="J938" s="133"/>
      <c r="K938" s="214"/>
    </row>
    <row r="939" ht="22.5" customHeight="1">
      <c r="A939" s="212"/>
      <c r="B939" s="213"/>
      <c r="C939" s="213"/>
      <c r="D939" s="213"/>
      <c r="E939" s="213"/>
      <c r="F939" s="214"/>
      <c r="G939" s="141"/>
      <c r="H939" s="41"/>
      <c r="I939" s="142"/>
      <c r="J939" s="134"/>
      <c r="K939" s="214"/>
    </row>
    <row r="940" ht="22.5" customHeight="1">
      <c r="A940" s="212"/>
      <c r="B940" s="213"/>
      <c r="C940" s="213"/>
      <c r="D940" s="213"/>
      <c r="E940" s="213"/>
      <c r="F940" s="214"/>
      <c r="G940" s="143"/>
      <c r="H940" s="37"/>
      <c r="I940" s="144"/>
      <c r="J940" s="133"/>
      <c r="K940" s="214"/>
    </row>
    <row r="941" ht="22.5" customHeight="1">
      <c r="A941" s="212"/>
      <c r="B941" s="213"/>
      <c r="C941" s="213"/>
      <c r="D941" s="213"/>
      <c r="E941" s="213"/>
      <c r="F941" s="214"/>
      <c r="G941" s="141"/>
      <c r="H941" s="41"/>
      <c r="I941" s="142"/>
      <c r="J941" s="134"/>
      <c r="K941" s="214"/>
    </row>
    <row r="942" ht="22.5" customHeight="1">
      <c r="A942" s="212"/>
      <c r="B942" s="213"/>
      <c r="C942" s="213"/>
      <c r="D942" s="213"/>
      <c r="E942" s="213"/>
      <c r="F942" s="214"/>
      <c r="G942" s="143"/>
      <c r="H942" s="37"/>
      <c r="I942" s="144"/>
      <c r="J942" s="133"/>
      <c r="K942" s="214"/>
    </row>
    <row r="943" ht="22.5" customHeight="1">
      <c r="A943" s="212"/>
      <c r="B943" s="213"/>
      <c r="C943" s="213"/>
      <c r="D943" s="213"/>
      <c r="E943" s="213"/>
      <c r="F943" s="214"/>
      <c r="G943" s="141"/>
      <c r="H943" s="41"/>
      <c r="I943" s="142"/>
      <c r="J943" s="134"/>
      <c r="K943" s="214"/>
    </row>
    <row r="944" ht="22.5" customHeight="1">
      <c r="A944" s="212"/>
      <c r="B944" s="213"/>
      <c r="C944" s="213"/>
      <c r="D944" s="213"/>
      <c r="E944" s="213"/>
      <c r="F944" s="214"/>
      <c r="G944" s="143"/>
      <c r="H944" s="37"/>
      <c r="I944" s="144"/>
      <c r="J944" s="133"/>
      <c r="K944" s="214"/>
    </row>
    <row r="945" ht="22.5" customHeight="1">
      <c r="A945" s="212"/>
      <c r="B945" s="213"/>
      <c r="C945" s="213"/>
      <c r="D945" s="213"/>
      <c r="E945" s="213"/>
      <c r="F945" s="214"/>
      <c r="G945" s="141"/>
      <c r="H945" s="41"/>
      <c r="I945" s="142"/>
      <c r="J945" s="134"/>
      <c r="K945" s="214"/>
    </row>
    <row r="946" ht="22.5" customHeight="1">
      <c r="A946" s="212"/>
      <c r="B946" s="213"/>
      <c r="C946" s="213"/>
      <c r="D946" s="213"/>
      <c r="E946" s="213"/>
      <c r="F946" s="214"/>
      <c r="G946" s="143"/>
      <c r="H946" s="37"/>
      <c r="I946" s="144"/>
      <c r="J946" s="133"/>
      <c r="K946" s="214"/>
    </row>
    <row r="947" ht="22.5" customHeight="1">
      <c r="A947" s="212"/>
      <c r="B947" s="213"/>
      <c r="C947" s="213"/>
      <c r="D947" s="213"/>
      <c r="E947" s="213"/>
      <c r="F947" s="214"/>
      <c r="G947" s="141"/>
      <c r="H947" s="41"/>
      <c r="I947" s="142"/>
      <c r="J947" s="134"/>
      <c r="K947" s="214"/>
    </row>
    <row r="948" ht="22.5" customHeight="1">
      <c r="A948" s="212"/>
      <c r="B948" s="213"/>
      <c r="C948" s="213"/>
      <c r="D948" s="213"/>
      <c r="E948" s="213"/>
      <c r="F948" s="214"/>
      <c r="G948" s="143"/>
      <c r="H948" s="37"/>
      <c r="I948" s="144"/>
      <c r="J948" s="133"/>
      <c r="K948" s="214"/>
    </row>
    <row r="949" ht="22.5" customHeight="1">
      <c r="A949" s="212"/>
      <c r="B949" s="213"/>
      <c r="C949" s="213"/>
      <c r="D949" s="213"/>
      <c r="E949" s="213"/>
      <c r="F949" s="214"/>
      <c r="G949" s="141"/>
      <c r="H949" s="41"/>
      <c r="I949" s="142"/>
      <c r="J949" s="134"/>
      <c r="K949" s="214"/>
    </row>
    <row r="950" ht="22.5" customHeight="1">
      <c r="A950" s="212"/>
      <c r="B950" s="213"/>
      <c r="C950" s="213"/>
      <c r="D950" s="213"/>
      <c r="E950" s="213"/>
      <c r="F950" s="214"/>
      <c r="G950" s="143"/>
      <c r="H950" s="37"/>
      <c r="I950" s="144"/>
      <c r="J950" s="133"/>
      <c r="K950" s="214"/>
    </row>
    <row r="951" ht="22.5" customHeight="1">
      <c r="A951" s="212"/>
      <c r="B951" s="213"/>
      <c r="C951" s="213"/>
      <c r="D951" s="213"/>
      <c r="E951" s="213"/>
      <c r="F951" s="214"/>
      <c r="G951" s="141"/>
      <c r="H951" s="41"/>
      <c r="I951" s="142"/>
      <c r="J951" s="134"/>
      <c r="K951" s="214"/>
    </row>
    <row r="952" ht="22.5" customHeight="1">
      <c r="A952" s="212"/>
      <c r="B952" s="213"/>
      <c r="C952" s="213"/>
      <c r="D952" s="213"/>
      <c r="E952" s="213"/>
      <c r="F952" s="214"/>
      <c r="G952" s="143"/>
      <c r="H952" s="37"/>
      <c r="I952" s="144"/>
      <c r="J952" s="133"/>
      <c r="K952" s="214"/>
    </row>
    <row r="953" ht="22.5" customHeight="1">
      <c r="A953" s="212"/>
      <c r="B953" s="213"/>
      <c r="C953" s="213"/>
      <c r="D953" s="213"/>
      <c r="E953" s="213"/>
      <c r="F953" s="214"/>
      <c r="G953" s="141"/>
      <c r="H953" s="41"/>
      <c r="I953" s="142"/>
      <c r="J953" s="134"/>
      <c r="K953" s="214"/>
    </row>
    <row r="954" ht="22.5" customHeight="1">
      <c r="A954" s="212"/>
      <c r="B954" s="213"/>
      <c r="C954" s="213"/>
      <c r="D954" s="213"/>
      <c r="E954" s="213"/>
      <c r="F954" s="214"/>
      <c r="G954" s="143"/>
      <c r="H954" s="37"/>
      <c r="I954" s="144"/>
      <c r="J954" s="133"/>
      <c r="K954" s="214"/>
    </row>
    <row r="955" ht="22.5" customHeight="1">
      <c r="A955" s="212"/>
      <c r="B955" s="213"/>
      <c r="C955" s="213"/>
      <c r="D955" s="213"/>
      <c r="E955" s="213"/>
      <c r="F955" s="214"/>
      <c r="G955" s="141"/>
      <c r="H955" s="41"/>
      <c r="I955" s="142"/>
      <c r="J955" s="134"/>
      <c r="K955" s="214"/>
    </row>
    <row r="956" ht="22.5" customHeight="1">
      <c r="A956" s="212"/>
      <c r="B956" s="213"/>
      <c r="C956" s="213"/>
      <c r="D956" s="213"/>
      <c r="E956" s="213"/>
      <c r="F956" s="214"/>
      <c r="G956" s="143"/>
      <c r="H956" s="37"/>
      <c r="I956" s="144"/>
      <c r="J956" s="133"/>
      <c r="K956" s="214"/>
    </row>
    <row r="957" ht="22.5" customHeight="1">
      <c r="A957" s="212"/>
      <c r="B957" s="213"/>
      <c r="C957" s="213"/>
      <c r="D957" s="213"/>
      <c r="E957" s="213"/>
      <c r="F957" s="214"/>
      <c r="G957" s="141"/>
      <c r="H957" s="41"/>
      <c r="I957" s="142"/>
      <c r="J957" s="134"/>
      <c r="K957" s="214"/>
    </row>
    <row r="958" ht="22.5" customHeight="1">
      <c r="A958" s="212"/>
      <c r="B958" s="213"/>
      <c r="C958" s="213"/>
      <c r="D958" s="213"/>
      <c r="E958" s="213"/>
      <c r="F958" s="214"/>
      <c r="G958" s="143"/>
      <c r="H958" s="37"/>
      <c r="I958" s="144"/>
      <c r="J958" s="133"/>
      <c r="K958" s="214"/>
    </row>
    <row r="959" ht="22.5" customHeight="1">
      <c r="A959" s="212"/>
      <c r="B959" s="213"/>
      <c r="C959" s="213"/>
      <c r="D959" s="213"/>
      <c r="E959" s="213"/>
      <c r="F959" s="214"/>
      <c r="G959" s="141"/>
      <c r="H959" s="41"/>
      <c r="I959" s="142"/>
      <c r="J959" s="134"/>
      <c r="K959" s="214"/>
    </row>
    <row r="960" ht="22.5" customHeight="1">
      <c r="A960" s="212"/>
      <c r="B960" s="213"/>
      <c r="C960" s="213"/>
      <c r="D960" s="213"/>
      <c r="E960" s="213"/>
      <c r="F960" s="214"/>
      <c r="G960" s="143"/>
      <c r="H960" s="37"/>
      <c r="I960" s="144"/>
      <c r="J960" s="133"/>
      <c r="K960" s="214"/>
    </row>
    <row r="961" ht="22.5" customHeight="1">
      <c r="A961" s="212"/>
      <c r="B961" s="213"/>
      <c r="C961" s="213"/>
      <c r="D961" s="213"/>
      <c r="E961" s="213"/>
      <c r="F961" s="214"/>
      <c r="G961" s="141"/>
      <c r="H961" s="41"/>
      <c r="I961" s="142"/>
      <c r="J961" s="134"/>
      <c r="K961" s="214"/>
    </row>
    <row r="962" ht="22.5" customHeight="1">
      <c r="A962" s="212"/>
      <c r="B962" s="213"/>
      <c r="C962" s="213"/>
      <c r="D962" s="213"/>
      <c r="E962" s="213"/>
      <c r="F962" s="214"/>
      <c r="G962" s="143"/>
      <c r="H962" s="37"/>
      <c r="I962" s="144"/>
      <c r="J962" s="133"/>
      <c r="K962" s="214"/>
    </row>
    <row r="963" ht="22.5" customHeight="1">
      <c r="A963" s="212"/>
      <c r="B963" s="213"/>
      <c r="C963" s="213"/>
      <c r="D963" s="213"/>
      <c r="E963" s="213"/>
      <c r="F963" s="214"/>
      <c r="G963" s="141"/>
      <c r="H963" s="41"/>
      <c r="I963" s="142"/>
      <c r="J963" s="134"/>
      <c r="K963" s="214"/>
    </row>
    <row r="964" ht="22.5" customHeight="1">
      <c r="A964" s="212"/>
      <c r="B964" s="213"/>
      <c r="C964" s="213"/>
      <c r="D964" s="213"/>
      <c r="E964" s="213"/>
      <c r="F964" s="214"/>
      <c r="G964" s="143"/>
      <c r="H964" s="37"/>
      <c r="I964" s="144"/>
      <c r="J964" s="133"/>
      <c r="K964" s="214"/>
    </row>
    <row r="965" ht="22.5" customHeight="1">
      <c r="A965" s="212"/>
      <c r="B965" s="213"/>
      <c r="C965" s="213"/>
      <c r="D965" s="213"/>
      <c r="E965" s="213"/>
      <c r="F965" s="214"/>
      <c r="G965" s="141"/>
      <c r="H965" s="41"/>
      <c r="I965" s="142"/>
      <c r="J965" s="134"/>
      <c r="K965" s="214"/>
    </row>
    <row r="966" ht="22.5" customHeight="1">
      <c r="A966" s="212"/>
      <c r="B966" s="213"/>
      <c r="C966" s="213"/>
      <c r="D966" s="213"/>
      <c r="E966" s="213"/>
      <c r="F966" s="214"/>
      <c r="G966" s="143"/>
      <c r="H966" s="37"/>
      <c r="I966" s="144"/>
      <c r="J966" s="133"/>
      <c r="K966" s="214"/>
    </row>
    <row r="967" ht="22.5" customHeight="1">
      <c r="A967" s="212"/>
      <c r="B967" s="213"/>
      <c r="C967" s="213"/>
      <c r="D967" s="213"/>
      <c r="E967" s="213"/>
      <c r="F967" s="214"/>
      <c r="G967" s="141"/>
      <c r="H967" s="41"/>
      <c r="I967" s="142"/>
      <c r="J967" s="134"/>
      <c r="K967" s="214"/>
    </row>
    <row r="968" ht="22.5" customHeight="1">
      <c r="A968" s="212"/>
      <c r="B968" s="213"/>
      <c r="C968" s="213"/>
      <c r="D968" s="213"/>
      <c r="E968" s="213"/>
      <c r="F968" s="214"/>
      <c r="G968" s="143"/>
      <c r="H968" s="37"/>
      <c r="I968" s="144"/>
      <c r="J968" s="133"/>
      <c r="K968" s="214"/>
    </row>
    <row r="969" ht="22.5" customHeight="1">
      <c r="A969" s="212"/>
      <c r="B969" s="213"/>
      <c r="C969" s="213"/>
      <c r="D969" s="213"/>
      <c r="E969" s="213"/>
      <c r="F969" s="214"/>
      <c r="G969" s="141"/>
      <c r="H969" s="41"/>
      <c r="I969" s="142"/>
      <c r="J969" s="134"/>
      <c r="K969" s="214"/>
    </row>
    <row r="970" ht="22.5" customHeight="1">
      <c r="A970" s="212"/>
      <c r="B970" s="213"/>
      <c r="C970" s="213"/>
      <c r="D970" s="213"/>
      <c r="E970" s="213"/>
      <c r="F970" s="214"/>
      <c r="G970" s="143"/>
      <c r="H970" s="37"/>
      <c r="I970" s="144"/>
      <c r="J970" s="133"/>
      <c r="K970" s="214"/>
    </row>
    <row r="971" ht="22.5" customHeight="1">
      <c r="A971" s="212"/>
      <c r="B971" s="213"/>
      <c r="C971" s="213"/>
      <c r="D971" s="213"/>
      <c r="E971" s="213"/>
      <c r="F971" s="214"/>
      <c r="G971" s="141"/>
      <c r="H971" s="41"/>
      <c r="I971" s="142"/>
      <c r="J971" s="134"/>
      <c r="K971" s="214"/>
    </row>
    <row r="972" ht="22.5" customHeight="1">
      <c r="A972" s="212"/>
      <c r="B972" s="213"/>
      <c r="C972" s="213"/>
      <c r="D972" s="213"/>
      <c r="E972" s="213"/>
      <c r="F972" s="214"/>
      <c r="G972" s="143"/>
      <c r="H972" s="37"/>
      <c r="I972" s="144"/>
      <c r="J972" s="133"/>
      <c r="K972" s="214"/>
    </row>
    <row r="973" ht="22.5" customHeight="1">
      <c r="A973" s="212"/>
      <c r="B973" s="213"/>
      <c r="C973" s="213"/>
      <c r="D973" s="213"/>
      <c r="E973" s="213"/>
      <c r="F973" s="214"/>
      <c r="G973" s="141"/>
      <c r="H973" s="41"/>
      <c r="I973" s="142"/>
      <c r="J973" s="134"/>
      <c r="K973" s="214"/>
    </row>
    <row r="974" ht="22.5" customHeight="1">
      <c r="A974" s="212"/>
      <c r="B974" s="213"/>
      <c r="C974" s="213"/>
      <c r="D974" s="213"/>
      <c r="E974" s="213"/>
      <c r="F974" s="214"/>
      <c r="G974" s="143"/>
      <c r="H974" s="37"/>
      <c r="I974" s="144"/>
      <c r="J974" s="133"/>
      <c r="K974" s="214"/>
    </row>
    <row r="975" ht="22.5" customHeight="1">
      <c r="A975" s="212"/>
      <c r="B975" s="213"/>
      <c r="C975" s="213"/>
      <c r="D975" s="213"/>
      <c r="E975" s="213"/>
      <c r="F975" s="214"/>
      <c r="G975" s="141"/>
      <c r="H975" s="41"/>
      <c r="I975" s="142"/>
      <c r="J975" s="134"/>
      <c r="K975" s="214"/>
    </row>
    <row r="976" ht="22.5" customHeight="1">
      <c r="A976" s="212"/>
      <c r="B976" s="213"/>
      <c r="C976" s="213"/>
      <c r="D976" s="213"/>
      <c r="E976" s="213"/>
      <c r="F976" s="214"/>
      <c r="G976" s="143"/>
      <c r="H976" s="37"/>
      <c r="I976" s="144"/>
      <c r="J976" s="133"/>
      <c r="K976" s="214"/>
    </row>
    <row r="977" ht="22.5" customHeight="1">
      <c r="A977" s="212"/>
      <c r="B977" s="213"/>
      <c r="C977" s="213"/>
      <c r="D977" s="213"/>
      <c r="E977" s="213"/>
      <c r="F977" s="214"/>
      <c r="G977" s="141"/>
      <c r="H977" s="41"/>
      <c r="I977" s="142"/>
      <c r="J977" s="134"/>
      <c r="K977" s="214"/>
    </row>
    <row r="978" ht="22.5" customHeight="1">
      <c r="A978" s="212"/>
      <c r="B978" s="213"/>
      <c r="C978" s="213"/>
      <c r="D978" s="213"/>
      <c r="E978" s="213"/>
      <c r="F978" s="214"/>
      <c r="G978" s="143"/>
      <c r="H978" s="37"/>
      <c r="I978" s="144"/>
      <c r="J978" s="133"/>
      <c r="K978" s="214"/>
    </row>
    <row r="979" ht="22.5" customHeight="1">
      <c r="A979" s="212"/>
      <c r="B979" s="213"/>
      <c r="C979" s="213"/>
      <c r="D979" s="213"/>
      <c r="E979" s="213"/>
      <c r="F979" s="214"/>
      <c r="G979" s="141"/>
      <c r="H979" s="41"/>
      <c r="I979" s="142"/>
      <c r="J979" s="134"/>
      <c r="K979" s="214"/>
    </row>
    <row r="980" ht="22.5" customHeight="1">
      <c r="A980" s="212"/>
      <c r="B980" s="213"/>
      <c r="C980" s="213"/>
      <c r="D980" s="213"/>
      <c r="E980" s="213"/>
      <c r="F980" s="214"/>
      <c r="G980" s="143"/>
      <c r="H980" s="37"/>
      <c r="I980" s="144"/>
      <c r="J980" s="133"/>
      <c r="K980" s="214"/>
    </row>
    <row r="981" ht="22.5" customHeight="1">
      <c r="A981" s="212"/>
      <c r="B981" s="213"/>
      <c r="C981" s="213"/>
      <c r="D981" s="213"/>
      <c r="E981" s="213"/>
      <c r="F981" s="214"/>
      <c r="G981" s="141"/>
      <c r="H981" s="41"/>
      <c r="I981" s="142"/>
      <c r="J981" s="134"/>
      <c r="K981" s="214"/>
    </row>
    <row r="982" ht="22.5" customHeight="1">
      <c r="A982" s="212"/>
      <c r="B982" s="213"/>
      <c r="C982" s="213"/>
      <c r="D982" s="213"/>
      <c r="E982" s="213"/>
      <c r="F982" s="214"/>
      <c r="G982" s="143"/>
      <c r="H982" s="37"/>
      <c r="I982" s="144"/>
      <c r="J982" s="133"/>
      <c r="K982" s="214"/>
    </row>
    <row r="983" ht="22.5" customHeight="1">
      <c r="A983" s="212"/>
      <c r="B983" s="213"/>
      <c r="C983" s="213"/>
      <c r="D983" s="213"/>
      <c r="E983" s="213"/>
      <c r="F983" s="214"/>
      <c r="G983" s="141"/>
      <c r="H983" s="41"/>
      <c r="I983" s="142"/>
      <c r="J983" s="134"/>
      <c r="K983" s="214"/>
    </row>
    <row r="984" ht="22.5" customHeight="1">
      <c r="A984" s="212"/>
      <c r="B984" s="213"/>
      <c r="C984" s="213"/>
      <c r="D984" s="213"/>
      <c r="E984" s="213"/>
      <c r="F984" s="214"/>
      <c r="G984" s="143"/>
      <c r="H984" s="37"/>
      <c r="I984" s="144"/>
      <c r="J984" s="133"/>
      <c r="K984" s="214"/>
    </row>
    <row r="985" ht="22.5" customHeight="1">
      <c r="A985" s="212"/>
      <c r="B985" s="213"/>
      <c r="C985" s="213"/>
      <c r="D985" s="213"/>
      <c r="E985" s="213"/>
      <c r="F985" s="214"/>
      <c r="G985" s="141"/>
      <c r="H985" s="41"/>
      <c r="I985" s="142"/>
      <c r="J985" s="134"/>
      <c r="K985" s="214"/>
    </row>
    <row r="986" ht="22.5" customHeight="1">
      <c r="A986" s="212"/>
      <c r="B986" s="213"/>
      <c r="C986" s="213"/>
      <c r="D986" s="213"/>
      <c r="E986" s="213"/>
      <c r="F986" s="214"/>
      <c r="G986" s="143"/>
      <c r="H986" s="37"/>
      <c r="I986" s="144"/>
      <c r="J986" s="133"/>
      <c r="K986" s="214"/>
    </row>
    <row r="987" ht="22.5" customHeight="1">
      <c r="A987" s="212"/>
      <c r="B987" s="213"/>
      <c r="C987" s="213"/>
      <c r="D987" s="213"/>
      <c r="E987" s="213"/>
      <c r="F987" s="214"/>
      <c r="G987" s="141"/>
      <c r="H987" s="41"/>
      <c r="I987" s="142"/>
      <c r="J987" s="134"/>
      <c r="K987" s="214"/>
    </row>
    <row r="988" ht="22.5" customHeight="1">
      <c r="A988" s="212"/>
      <c r="B988" s="213"/>
      <c r="C988" s="213"/>
      <c r="D988" s="213"/>
      <c r="E988" s="213"/>
      <c r="F988" s="214"/>
      <c r="G988" s="143"/>
      <c r="H988" s="37"/>
      <c r="I988" s="144"/>
      <c r="J988" s="133"/>
      <c r="K988" s="214"/>
    </row>
    <row r="989" ht="22.5" customHeight="1">
      <c r="A989" s="212"/>
      <c r="B989" s="213"/>
      <c r="C989" s="213"/>
      <c r="D989" s="213"/>
      <c r="E989" s="213"/>
      <c r="F989" s="214"/>
      <c r="G989" s="141"/>
      <c r="H989" s="41"/>
      <c r="I989" s="142"/>
      <c r="J989" s="134"/>
      <c r="K989" s="214"/>
    </row>
    <row r="990" ht="22.5" customHeight="1">
      <c r="A990" s="212"/>
      <c r="B990" s="213"/>
      <c r="C990" s="213"/>
      <c r="D990" s="213"/>
      <c r="E990" s="213"/>
      <c r="F990" s="214"/>
      <c r="G990" s="143"/>
      <c r="H990" s="37"/>
      <c r="I990" s="144"/>
      <c r="J990" s="133"/>
      <c r="K990" s="214"/>
    </row>
    <row r="991" ht="22.5" customHeight="1">
      <c r="A991" s="212"/>
      <c r="B991" s="213"/>
      <c r="C991" s="213"/>
      <c r="D991" s="213"/>
      <c r="E991" s="213"/>
      <c r="F991" s="214"/>
      <c r="G991" s="141"/>
      <c r="H991" s="41"/>
      <c r="I991" s="142"/>
      <c r="J991" s="134"/>
      <c r="K991" s="214"/>
    </row>
    <row r="992" ht="22.5" customHeight="1">
      <c r="A992" s="212"/>
      <c r="B992" s="213"/>
      <c r="C992" s="213"/>
      <c r="D992" s="213"/>
      <c r="E992" s="213"/>
      <c r="F992" s="214"/>
      <c r="G992" s="143"/>
      <c r="H992" s="37"/>
      <c r="I992" s="144"/>
      <c r="J992" s="133"/>
      <c r="K992" s="214"/>
    </row>
    <row r="993" ht="22.5" customHeight="1">
      <c r="A993" s="212"/>
      <c r="B993" s="213"/>
      <c r="C993" s="213"/>
      <c r="D993" s="213"/>
      <c r="E993" s="213"/>
      <c r="F993" s="214"/>
      <c r="G993" s="141"/>
      <c r="H993" s="41"/>
      <c r="I993" s="142"/>
      <c r="J993" s="134"/>
      <c r="K993" s="214"/>
    </row>
    <row r="994" ht="22.5" customHeight="1">
      <c r="A994" s="212"/>
      <c r="B994" s="213"/>
      <c r="C994" s="213"/>
      <c r="D994" s="213"/>
      <c r="E994" s="213"/>
      <c r="F994" s="214"/>
      <c r="G994" s="143"/>
      <c r="H994" s="37"/>
      <c r="I994" s="144"/>
      <c r="J994" s="133"/>
      <c r="K994" s="214"/>
    </row>
    <row r="995" ht="22.5" customHeight="1">
      <c r="A995" s="212"/>
      <c r="B995" s="213"/>
      <c r="C995" s="213"/>
      <c r="D995" s="213"/>
      <c r="E995" s="213"/>
      <c r="F995" s="214"/>
      <c r="G995" s="141"/>
      <c r="H995" s="41"/>
      <c r="I995" s="142"/>
      <c r="J995" s="134"/>
      <c r="K995" s="214"/>
    </row>
    <row r="996" ht="22.5" customHeight="1">
      <c r="A996" s="212"/>
      <c r="B996" s="213"/>
      <c r="C996" s="213"/>
      <c r="D996" s="213"/>
      <c r="E996" s="213"/>
      <c r="F996" s="214"/>
      <c r="G996" s="143"/>
      <c r="H996" s="37"/>
      <c r="I996" s="144"/>
      <c r="J996" s="133"/>
      <c r="K996" s="214"/>
    </row>
    <row r="997" ht="22.5" customHeight="1">
      <c r="A997" s="212"/>
      <c r="B997" s="213"/>
      <c r="C997" s="213"/>
      <c r="D997" s="213"/>
      <c r="E997" s="213"/>
      <c r="F997" s="214"/>
      <c r="G997" s="141"/>
      <c r="H997" s="41"/>
      <c r="I997" s="142"/>
      <c r="J997" s="134"/>
      <c r="K997" s="214"/>
    </row>
    <row r="998" ht="22.5" customHeight="1">
      <c r="A998" s="212"/>
      <c r="B998" s="213"/>
      <c r="C998" s="213"/>
      <c r="D998" s="213"/>
      <c r="E998" s="213"/>
      <c r="F998" s="214"/>
      <c r="G998" s="143"/>
      <c r="H998" s="37"/>
      <c r="I998" s="144"/>
      <c r="J998" s="133"/>
      <c r="K998" s="214"/>
    </row>
    <row r="999" ht="22.5" customHeight="1">
      <c r="A999" s="212"/>
      <c r="B999" s="213"/>
      <c r="C999" s="213"/>
      <c r="D999" s="213"/>
      <c r="E999" s="213"/>
      <c r="F999" s="214"/>
      <c r="G999" s="141"/>
      <c r="H999" s="41"/>
      <c r="I999" s="142"/>
      <c r="J999" s="134"/>
      <c r="K999" s="214"/>
    </row>
    <row r="1000" ht="22.5" customHeight="1">
      <c r="A1000" s="212"/>
      <c r="B1000" s="213"/>
      <c r="C1000" s="213"/>
      <c r="D1000" s="213"/>
      <c r="E1000" s="213"/>
      <c r="F1000" s="214"/>
      <c r="G1000" s="146"/>
      <c r="H1000" s="43"/>
      <c r="I1000" s="147"/>
      <c r="J1000" s="148"/>
      <c r="K1000" s="214"/>
    </row>
    <row r="1001" ht="22.5" customHeight="1">
      <c r="A1001" s="212"/>
      <c r="B1001" s="213"/>
      <c r="C1001" s="213"/>
      <c r="D1001" s="213"/>
      <c r="E1001" s="213"/>
      <c r="F1001" s="214"/>
      <c r="G1001" s="139"/>
      <c r="H1001" s="138"/>
      <c r="I1001" s="150"/>
      <c r="J1001" s="150"/>
      <c r="K1001" s="214"/>
    </row>
  </sheetData>
  <dataValidations>
    <dataValidation type="list" allowBlank="1" sqref="I2:I220">
      <formula1>"Done,In Progress,Leave"</formula1>
    </dataValidation>
    <dataValidation type="list" allowBlank="1" sqref="D2:D1001 H2:H1001">
      <formula1>"Ground Truth,Tagging,Video Annotations,Data Collection,Preset,Segmentation,BBOX,Keypoints,Data Cleaning,Others"</formula1>
    </dataValidation>
    <dataValidation type="custom" allowBlank="1" showDropDown="1" showErrorMessage="1" sqref="A2:A1001">
      <formula1>OR(NOT(ISERROR(DATEVALUE(A2))), AND(ISNUMBER(A2), LEFT(CELL("format", A2))="D"))</formula1>
    </dataValidation>
    <dataValidation type="list" allowBlank="1" sqref="G2:G220">
      <formula1>"nephroplus,Adult RD,Netra,ICU Automation,vSitter,Airways, VRASS,CPOT,Respiratory Distress,object_detection_bed_occupancy"</formula1>
    </dataValidation>
    <dataValidation type="list" allowBlank="1" sqref="C2:C1001">
      <formula1>"nephroplus,Adult RD,Netra,ICU Automation,vSitter,Airways,VRASS,CPOT,Respiratory Distress,Mask On/Off Classification,Others,Preset"</formula1>
    </dataValidation>
    <dataValidation type="list" allowBlank="1" sqref="E2:E1001">
      <formula1>"Done,In Progress,Leave,Optional Leave"</formula1>
    </dataValidation>
    <dataValidation type="list" allowBlank="1" sqref="B2:B1001">
      <formula1>"Deekshith,Chandrashekar,Nagaharinadh,Suman Kanoj,Sagar Hiremat,Saraswathi,Prerana,Mouli Prakash,Manovya,Pranav,Raghavan,Rohit,Abusaad"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24.38"/>
    <col customWidth="1" min="3" max="3" width="38.13"/>
    <col customWidth="1" min="4" max="4" width="23.0"/>
    <col customWidth="1" min="5" max="5" width="18.13"/>
    <col customWidth="1" min="6" max="6" width="49.5"/>
    <col customWidth="1" min="7" max="7" width="28.5"/>
  </cols>
  <sheetData>
    <row r="1" ht="22.5" customHeight="1">
      <c r="A1" s="2" t="s">
        <v>27</v>
      </c>
      <c r="B1" s="2" t="s">
        <v>1</v>
      </c>
      <c r="C1" s="2" t="s">
        <v>2</v>
      </c>
      <c r="D1" s="2" t="s">
        <v>3</v>
      </c>
      <c r="E1" s="3" t="s">
        <v>4</v>
      </c>
      <c r="F1" s="215" t="s">
        <v>5</v>
      </c>
      <c r="G1" s="215" t="s">
        <v>10</v>
      </c>
    </row>
    <row r="2" ht="22.5" customHeight="1">
      <c r="A2" s="216">
        <v>45994.0</v>
      </c>
      <c r="B2" s="60" t="s">
        <v>231</v>
      </c>
      <c r="C2" s="60" t="s">
        <v>40</v>
      </c>
      <c r="D2" s="21"/>
      <c r="E2" s="217"/>
      <c r="F2" s="218"/>
      <c r="G2" s="219" t="s">
        <v>232</v>
      </c>
    </row>
    <row r="3" ht="22.5" customHeight="1">
      <c r="A3" s="216">
        <v>45995.0</v>
      </c>
      <c r="B3" s="60" t="s">
        <v>231</v>
      </c>
      <c r="C3" s="60" t="s">
        <v>40</v>
      </c>
      <c r="D3" s="21"/>
      <c r="E3" s="217"/>
      <c r="F3" s="218"/>
      <c r="G3" s="220" t="s">
        <v>233</v>
      </c>
    </row>
    <row r="4" ht="22.5" customHeight="1">
      <c r="A4" s="216">
        <v>45996.0</v>
      </c>
      <c r="B4" s="60" t="s">
        <v>231</v>
      </c>
      <c r="C4" s="60" t="s">
        <v>40</v>
      </c>
      <c r="D4" s="5" t="s">
        <v>47</v>
      </c>
      <c r="E4" s="60" t="s">
        <v>53</v>
      </c>
      <c r="F4" s="218"/>
      <c r="G4" s="218"/>
    </row>
    <row r="5" ht="22.5" customHeight="1">
      <c r="A5" s="216">
        <v>45997.0</v>
      </c>
      <c r="B5" s="60" t="s">
        <v>231</v>
      </c>
      <c r="C5" s="60" t="s">
        <v>40</v>
      </c>
      <c r="D5" s="21"/>
      <c r="E5" s="217"/>
      <c r="F5" s="221"/>
      <c r="G5" s="218"/>
    </row>
    <row r="6" ht="22.5" customHeight="1">
      <c r="A6" s="216">
        <v>45998.0</v>
      </c>
      <c r="B6" s="60" t="s">
        <v>231</v>
      </c>
      <c r="C6" s="60" t="s">
        <v>40</v>
      </c>
      <c r="D6" s="21"/>
      <c r="E6" s="217"/>
      <c r="F6" s="221"/>
      <c r="G6" s="218"/>
    </row>
    <row r="7" ht="22.5" customHeight="1">
      <c r="A7" s="216">
        <v>45999.0</v>
      </c>
      <c r="B7" s="60" t="s">
        <v>231</v>
      </c>
      <c r="C7" s="60" t="s">
        <v>40</v>
      </c>
      <c r="D7" s="5" t="s">
        <v>31</v>
      </c>
      <c r="E7" s="60" t="s">
        <v>53</v>
      </c>
      <c r="F7" s="222">
        <v>70.0</v>
      </c>
      <c r="G7" s="218"/>
    </row>
    <row r="8" ht="22.5" customHeight="1">
      <c r="A8" s="216">
        <v>46000.0</v>
      </c>
      <c r="B8" s="60" t="s">
        <v>231</v>
      </c>
      <c r="C8" s="60" t="s">
        <v>40</v>
      </c>
      <c r="D8" s="5" t="s">
        <v>31</v>
      </c>
      <c r="E8" s="60" t="s">
        <v>53</v>
      </c>
      <c r="F8" s="222">
        <v>148.0</v>
      </c>
      <c r="G8" s="218"/>
    </row>
    <row r="9" ht="22.5" customHeight="1">
      <c r="A9" s="216">
        <v>46001.0</v>
      </c>
      <c r="B9" s="60" t="s">
        <v>231</v>
      </c>
      <c r="C9" s="60" t="s">
        <v>40</v>
      </c>
      <c r="D9" s="5" t="s">
        <v>31</v>
      </c>
      <c r="E9" s="60" t="s">
        <v>20</v>
      </c>
      <c r="F9" s="222">
        <v>312.0</v>
      </c>
      <c r="G9" s="218"/>
    </row>
    <row r="10" ht="22.5" customHeight="1">
      <c r="A10" s="216">
        <v>46002.0</v>
      </c>
      <c r="B10" s="60" t="s">
        <v>231</v>
      </c>
      <c r="C10" s="60" t="s">
        <v>40</v>
      </c>
      <c r="D10" s="5" t="s">
        <v>31</v>
      </c>
      <c r="E10" s="60" t="s">
        <v>20</v>
      </c>
      <c r="F10" s="222">
        <v>294.0</v>
      </c>
      <c r="G10" s="218"/>
    </row>
    <row r="11" ht="22.5" customHeight="1">
      <c r="A11" s="216">
        <v>46003.0</v>
      </c>
      <c r="B11" s="60" t="s">
        <v>231</v>
      </c>
      <c r="C11" s="60" t="s">
        <v>40</v>
      </c>
      <c r="D11" s="5" t="s">
        <v>31</v>
      </c>
      <c r="E11" s="60" t="s">
        <v>20</v>
      </c>
      <c r="F11" s="222">
        <v>465.0</v>
      </c>
      <c r="G11" s="218"/>
    </row>
    <row r="12" ht="22.5" customHeight="1">
      <c r="A12" s="216">
        <v>46004.0</v>
      </c>
      <c r="B12" s="60" t="s">
        <v>231</v>
      </c>
      <c r="C12" s="60" t="s">
        <v>40</v>
      </c>
      <c r="D12" s="21"/>
      <c r="E12" s="217"/>
      <c r="F12" s="221"/>
      <c r="G12" s="218"/>
    </row>
    <row r="13" ht="22.5" customHeight="1">
      <c r="A13" s="216">
        <v>46005.0</v>
      </c>
      <c r="B13" s="60" t="s">
        <v>231</v>
      </c>
      <c r="C13" s="60" t="s">
        <v>40</v>
      </c>
      <c r="D13" s="21"/>
      <c r="E13" s="217"/>
      <c r="F13" s="221"/>
      <c r="G13" s="218"/>
    </row>
    <row r="14" ht="22.5" customHeight="1">
      <c r="A14" s="216">
        <v>46006.0</v>
      </c>
      <c r="B14" s="60" t="s">
        <v>231</v>
      </c>
      <c r="C14" s="60" t="s">
        <v>40</v>
      </c>
      <c r="D14" s="5" t="s">
        <v>47</v>
      </c>
      <c r="E14" s="60" t="s">
        <v>53</v>
      </c>
      <c r="F14" s="223">
        <v>70.0</v>
      </c>
      <c r="G14" s="218"/>
    </row>
    <row r="15" ht="22.5" customHeight="1">
      <c r="A15" s="216">
        <v>46007.0</v>
      </c>
      <c r="B15" s="60" t="s">
        <v>231</v>
      </c>
      <c r="C15" s="60" t="s">
        <v>40</v>
      </c>
      <c r="D15" s="5" t="s">
        <v>47</v>
      </c>
      <c r="E15" s="60" t="s">
        <v>53</v>
      </c>
      <c r="F15" s="223">
        <v>90.0</v>
      </c>
      <c r="G15" s="218"/>
    </row>
    <row r="16" ht="22.5" customHeight="1">
      <c r="A16" s="216">
        <v>46008.0</v>
      </c>
      <c r="B16" s="60" t="s">
        <v>231</v>
      </c>
      <c r="C16" s="60" t="s">
        <v>40</v>
      </c>
      <c r="D16" s="5" t="s">
        <v>47</v>
      </c>
      <c r="E16" s="60" t="s">
        <v>53</v>
      </c>
      <c r="F16" s="223">
        <v>140.0</v>
      </c>
      <c r="G16" s="218"/>
    </row>
    <row r="17" ht="22.5" customHeight="1">
      <c r="A17" s="216">
        <v>46009.0</v>
      </c>
      <c r="B17" s="60" t="s">
        <v>231</v>
      </c>
      <c r="C17" s="60" t="s">
        <v>40</v>
      </c>
      <c r="D17" s="5" t="s">
        <v>47</v>
      </c>
      <c r="E17" s="60" t="s">
        <v>53</v>
      </c>
      <c r="F17" s="223">
        <v>190.0</v>
      </c>
      <c r="G17" s="218"/>
    </row>
    <row r="18" ht="22.5" customHeight="1">
      <c r="A18" s="216">
        <v>46010.0</v>
      </c>
      <c r="B18" s="60" t="s">
        <v>231</v>
      </c>
      <c r="C18" s="60" t="s">
        <v>40</v>
      </c>
      <c r="D18" s="5" t="s">
        <v>47</v>
      </c>
      <c r="E18" s="60" t="s">
        <v>53</v>
      </c>
      <c r="F18" s="223">
        <v>115.0</v>
      </c>
      <c r="G18" s="218" t="s">
        <v>234</v>
      </c>
    </row>
    <row r="19" ht="22.5" customHeight="1">
      <c r="A19" s="216">
        <v>46011.0</v>
      </c>
      <c r="B19" s="60" t="s">
        <v>231</v>
      </c>
      <c r="C19" s="60" t="s">
        <v>40</v>
      </c>
      <c r="D19" s="21"/>
      <c r="E19" s="217"/>
      <c r="F19" s="221"/>
      <c r="G19" s="218"/>
    </row>
    <row r="20" ht="22.5" customHeight="1">
      <c r="A20" s="216">
        <v>46012.0</v>
      </c>
      <c r="B20" s="60" t="s">
        <v>231</v>
      </c>
      <c r="C20" s="60" t="s">
        <v>40</v>
      </c>
      <c r="D20" s="21"/>
      <c r="E20" s="217"/>
      <c r="F20" s="221"/>
      <c r="G20" s="218"/>
    </row>
    <row r="21" ht="22.5" customHeight="1">
      <c r="A21" s="216">
        <v>46013.0</v>
      </c>
      <c r="B21" s="60" t="s">
        <v>231</v>
      </c>
      <c r="C21" s="60" t="s">
        <v>40</v>
      </c>
      <c r="D21" s="5" t="s">
        <v>47</v>
      </c>
      <c r="E21" s="60" t="s">
        <v>53</v>
      </c>
      <c r="F21" s="221">
        <v>160.0</v>
      </c>
      <c r="G21" s="218"/>
    </row>
    <row r="22" ht="22.5" customHeight="1">
      <c r="A22" s="216">
        <v>46014.0</v>
      </c>
      <c r="B22" s="60" t="s">
        <v>231</v>
      </c>
      <c r="C22" s="60" t="s">
        <v>40</v>
      </c>
      <c r="D22" s="5" t="s">
        <v>47</v>
      </c>
      <c r="E22" s="60" t="s">
        <v>53</v>
      </c>
      <c r="F22" s="218">
        <v>180.0</v>
      </c>
      <c r="G22" s="218"/>
    </row>
    <row r="23" ht="22.5" customHeight="1">
      <c r="A23" s="216">
        <v>46015.0</v>
      </c>
      <c r="B23" s="60" t="s">
        <v>231</v>
      </c>
      <c r="C23" s="60" t="s">
        <v>40</v>
      </c>
      <c r="D23" s="5" t="s">
        <v>47</v>
      </c>
      <c r="E23" s="60" t="s">
        <v>53</v>
      </c>
      <c r="F23" s="218">
        <v>160.0</v>
      </c>
      <c r="G23" s="218"/>
    </row>
    <row r="24" ht="22.5" customHeight="1">
      <c r="A24" s="216">
        <v>46016.0</v>
      </c>
      <c r="B24" s="60" t="s">
        <v>231</v>
      </c>
      <c r="C24" s="60" t="s">
        <v>40</v>
      </c>
      <c r="D24" s="21"/>
      <c r="E24" s="217"/>
      <c r="F24" s="218"/>
      <c r="G24" s="218"/>
    </row>
    <row r="25" ht="22.5" customHeight="1">
      <c r="A25" s="216">
        <v>46017.0</v>
      </c>
      <c r="B25" s="60" t="s">
        <v>231</v>
      </c>
      <c r="C25" s="60" t="s">
        <v>40</v>
      </c>
      <c r="D25" s="21"/>
      <c r="E25" s="60" t="s">
        <v>20</v>
      </c>
      <c r="F25" s="218">
        <v>150.0</v>
      </c>
      <c r="G25" s="218"/>
    </row>
    <row r="26" ht="22.5" customHeight="1">
      <c r="A26" s="216">
        <v>46018.0</v>
      </c>
      <c r="B26" s="60" t="s">
        <v>231</v>
      </c>
      <c r="C26" s="60" t="s">
        <v>40</v>
      </c>
      <c r="D26" s="21"/>
      <c r="E26" s="217"/>
      <c r="F26" s="218"/>
      <c r="G26" s="218"/>
    </row>
    <row r="27" ht="22.5" customHeight="1">
      <c r="A27" s="216">
        <v>46019.0</v>
      </c>
      <c r="B27" s="60" t="s">
        <v>231</v>
      </c>
      <c r="C27" s="60" t="s">
        <v>40</v>
      </c>
      <c r="D27" s="21"/>
      <c r="E27" s="217"/>
      <c r="F27" s="218"/>
      <c r="G27" s="218"/>
    </row>
    <row r="28" ht="22.5" customHeight="1">
      <c r="A28" s="216">
        <v>46020.0</v>
      </c>
      <c r="B28" s="60" t="s">
        <v>231</v>
      </c>
      <c r="C28" s="60" t="s">
        <v>40</v>
      </c>
      <c r="D28" s="5" t="s">
        <v>47</v>
      </c>
      <c r="E28" s="60" t="s">
        <v>20</v>
      </c>
      <c r="F28" s="218">
        <v>250.0</v>
      </c>
      <c r="G28" s="218"/>
    </row>
    <row r="29" ht="22.5" customHeight="1">
      <c r="A29" s="216">
        <v>46021.0</v>
      </c>
      <c r="B29" s="60" t="s">
        <v>231</v>
      </c>
      <c r="C29" s="60" t="s">
        <v>40</v>
      </c>
      <c r="D29" s="5" t="s">
        <v>47</v>
      </c>
      <c r="E29" s="60" t="s">
        <v>20</v>
      </c>
      <c r="F29" s="218">
        <v>500.0</v>
      </c>
      <c r="G29" s="218" t="s">
        <v>235</v>
      </c>
    </row>
    <row r="30" ht="22.5" customHeight="1">
      <c r="A30" s="216">
        <v>46021.0</v>
      </c>
      <c r="B30" s="60" t="s">
        <v>231</v>
      </c>
      <c r="C30" s="60" t="s">
        <v>40</v>
      </c>
      <c r="D30" s="5" t="s">
        <v>42</v>
      </c>
      <c r="E30" s="60" t="s">
        <v>53</v>
      </c>
      <c r="F30" s="218">
        <v>20.0</v>
      </c>
      <c r="G30" s="218"/>
    </row>
    <row r="31" ht="22.5" customHeight="1">
      <c r="A31" s="216">
        <v>46022.0</v>
      </c>
      <c r="B31" s="60" t="s">
        <v>231</v>
      </c>
      <c r="C31" s="60" t="s">
        <v>40</v>
      </c>
      <c r="D31" s="21"/>
      <c r="E31" s="60" t="s">
        <v>29</v>
      </c>
      <c r="F31" s="218"/>
      <c r="G31" s="218"/>
    </row>
    <row r="32" ht="22.5" customHeight="1">
      <c r="A32" s="216">
        <v>46023.0</v>
      </c>
      <c r="B32" s="60" t="s">
        <v>231</v>
      </c>
      <c r="C32" s="60" t="s">
        <v>40</v>
      </c>
      <c r="D32" s="21"/>
      <c r="E32" s="60" t="s">
        <v>29</v>
      </c>
      <c r="F32" s="218"/>
      <c r="G32" s="218"/>
    </row>
    <row r="33" ht="22.5" customHeight="1">
      <c r="A33" s="216">
        <v>46024.0</v>
      </c>
      <c r="B33" s="60" t="s">
        <v>231</v>
      </c>
      <c r="C33" s="60" t="s">
        <v>40</v>
      </c>
      <c r="D33" s="21"/>
      <c r="E33" s="60" t="s">
        <v>29</v>
      </c>
      <c r="F33" s="218"/>
      <c r="G33" s="218"/>
    </row>
    <row r="34" ht="22.5" customHeight="1">
      <c r="A34" s="216">
        <v>46025.0</v>
      </c>
      <c r="B34" s="60" t="s">
        <v>231</v>
      </c>
      <c r="C34" s="60" t="s">
        <v>40</v>
      </c>
      <c r="D34" s="21"/>
      <c r="E34" s="60" t="s">
        <v>29</v>
      </c>
      <c r="F34" s="218"/>
      <c r="G34" s="218"/>
    </row>
    <row r="35" ht="22.5" customHeight="1">
      <c r="A35" s="216">
        <v>46026.0</v>
      </c>
      <c r="B35" s="60" t="s">
        <v>231</v>
      </c>
      <c r="C35" s="60" t="s">
        <v>40</v>
      </c>
      <c r="D35" s="21"/>
      <c r="E35" s="60" t="s">
        <v>29</v>
      </c>
      <c r="F35" s="218"/>
      <c r="G35" s="218"/>
    </row>
    <row r="36" ht="22.5" customHeight="1">
      <c r="A36" s="216">
        <v>46027.0</v>
      </c>
      <c r="B36" s="60" t="s">
        <v>231</v>
      </c>
      <c r="C36" s="60" t="s">
        <v>40</v>
      </c>
      <c r="D36" s="21"/>
      <c r="E36" s="60" t="s">
        <v>29</v>
      </c>
      <c r="F36" s="218"/>
      <c r="G36" s="218"/>
    </row>
    <row r="37" ht="22.5" customHeight="1">
      <c r="A37" s="216">
        <v>46028.0</v>
      </c>
      <c r="B37" s="60" t="s">
        <v>231</v>
      </c>
      <c r="C37" s="60" t="s">
        <v>40</v>
      </c>
      <c r="D37" s="5" t="s">
        <v>42</v>
      </c>
      <c r="E37" s="60" t="s">
        <v>53</v>
      </c>
      <c r="F37" s="218">
        <v>100.0</v>
      </c>
      <c r="G37" s="218"/>
    </row>
    <row r="38" ht="22.5" customHeight="1">
      <c r="A38" s="216">
        <v>46029.0</v>
      </c>
      <c r="B38" s="60" t="s">
        <v>231</v>
      </c>
      <c r="C38" s="60" t="s">
        <v>40</v>
      </c>
      <c r="D38" s="5" t="s">
        <v>42</v>
      </c>
      <c r="E38" s="60" t="s">
        <v>53</v>
      </c>
      <c r="F38" s="218">
        <v>160.0</v>
      </c>
      <c r="G38" s="218"/>
    </row>
    <row r="39" ht="22.5" customHeight="1">
      <c r="A39" s="216">
        <v>46030.0</v>
      </c>
      <c r="B39" s="60" t="s">
        <v>231</v>
      </c>
      <c r="C39" s="60" t="s">
        <v>40</v>
      </c>
      <c r="D39" s="5" t="s">
        <v>42</v>
      </c>
      <c r="E39" s="60" t="s">
        <v>53</v>
      </c>
      <c r="F39" s="218">
        <v>140.0</v>
      </c>
      <c r="G39" s="218"/>
    </row>
    <row r="40" ht="22.5" customHeight="1">
      <c r="A40" s="216">
        <v>46031.0</v>
      </c>
      <c r="B40" s="60" t="s">
        <v>231</v>
      </c>
      <c r="C40" s="60" t="s">
        <v>40</v>
      </c>
      <c r="D40" s="5" t="s">
        <v>42</v>
      </c>
      <c r="E40" s="217"/>
      <c r="F40" s="218"/>
      <c r="G40" s="218"/>
    </row>
    <row r="41" ht="22.5" customHeight="1">
      <c r="A41" s="216">
        <v>46032.0</v>
      </c>
      <c r="B41" s="60" t="s">
        <v>231</v>
      </c>
      <c r="C41" s="60" t="s">
        <v>40</v>
      </c>
      <c r="D41" s="21"/>
      <c r="E41" s="217"/>
      <c r="F41" s="218"/>
      <c r="G41" s="218"/>
    </row>
    <row r="42" ht="22.5" customHeight="1">
      <c r="A42" s="216">
        <v>46033.0</v>
      </c>
      <c r="B42" s="60" t="s">
        <v>231</v>
      </c>
      <c r="C42" s="60" t="s">
        <v>40</v>
      </c>
      <c r="D42" s="21"/>
      <c r="E42" s="217"/>
      <c r="F42" s="218"/>
      <c r="G42" s="218"/>
    </row>
    <row r="43" ht="22.5" customHeight="1">
      <c r="A43" s="216">
        <v>46034.0</v>
      </c>
      <c r="B43" s="60" t="s">
        <v>231</v>
      </c>
      <c r="C43" s="217"/>
      <c r="D43" s="21"/>
      <c r="E43" s="217"/>
      <c r="F43" s="218"/>
      <c r="G43" s="218"/>
    </row>
    <row r="44" ht="22.5" customHeight="1">
      <c r="A44" s="216">
        <v>46035.0</v>
      </c>
      <c r="B44" s="60" t="s">
        <v>231</v>
      </c>
      <c r="C44" s="217"/>
      <c r="D44" s="21"/>
      <c r="E44" s="217"/>
      <c r="F44" s="218"/>
      <c r="G44" s="218"/>
    </row>
    <row r="45" ht="22.5" customHeight="1">
      <c r="A45" s="216">
        <v>46036.0</v>
      </c>
      <c r="B45" s="60" t="s">
        <v>231</v>
      </c>
      <c r="C45" s="217"/>
      <c r="D45" s="21"/>
      <c r="E45" s="217"/>
      <c r="F45" s="218"/>
      <c r="G45" s="218"/>
    </row>
    <row r="46" ht="22.5" customHeight="1">
      <c r="A46" s="216">
        <v>46037.0</v>
      </c>
      <c r="B46" s="60" t="s">
        <v>231</v>
      </c>
      <c r="C46" s="217"/>
      <c r="D46" s="21"/>
      <c r="E46" s="217"/>
      <c r="F46" s="218"/>
      <c r="G46" s="218"/>
    </row>
    <row r="47" ht="22.5" customHeight="1">
      <c r="A47" s="216">
        <v>46038.0</v>
      </c>
      <c r="B47" s="60" t="s">
        <v>231</v>
      </c>
      <c r="C47" s="217"/>
      <c r="D47" s="21"/>
      <c r="E47" s="217"/>
      <c r="F47" s="218"/>
      <c r="G47" s="218"/>
    </row>
    <row r="48" ht="22.5" customHeight="1">
      <c r="A48" s="216">
        <v>46039.0</v>
      </c>
      <c r="B48" s="60" t="s">
        <v>231</v>
      </c>
      <c r="C48" s="217"/>
      <c r="D48" s="21"/>
      <c r="E48" s="217"/>
      <c r="F48" s="218"/>
      <c r="G48" s="218"/>
    </row>
    <row r="49" ht="22.5" customHeight="1">
      <c r="A49" s="216">
        <v>46040.0</v>
      </c>
      <c r="B49" s="60" t="s">
        <v>231</v>
      </c>
      <c r="C49" s="217"/>
      <c r="D49" s="21"/>
      <c r="E49" s="217"/>
      <c r="F49" s="218"/>
      <c r="G49" s="218"/>
    </row>
    <row r="50" ht="22.5" customHeight="1">
      <c r="A50" s="216">
        <v>46041.0</v>
      </c>
      <c r="B50" s="60" t="s">
        <v>231</v>
      </c>
      <c r="C50" s="217"/>
      <c r="D50" s="21"/>
      <c r="E50" s="217"/>
      <c r="F50" s="218"/>
      <c r="G50" s="218"/>
    </row>
    <row r="51" ht="22.5" customHeight="1">
      <c r="A51" s="216">
        <v>46042.0</v>
      </c>
      <c r="B51" s="60" t="s">
        <v>231</v>
      </c>
      <c r="C51" s="217"/>
      <c r="D51" s="21"/>
      <c r="E51" s="217"/>
      <c r="F51" s="218"/>
      <c r="G51" s="218"/>
    </row>
    <row r="52" ht="22.5" customHeight="1">
      <c r="A52" s="216">
        <v>46043.0</v>
      </c>
      <c r="B52" s="60" t="s">
        <v>231</v>
      </c>
      <c r="C52" s="217"/>
      <c r="D52" s="21"/>
      <c r="E52" s="217"/>
      <c r="F52" s="218"/>
      <c r="G52" s="218"/>
    </row>
    <row r="53" ht="22.5" customHeight="1">
      <c r="A53" s="216">
        <v>46044.0</v>
      </c>
      <c r="B53" s="60" t="s">
        <v>231</v>
      </c>
      <c r="C53" s="217"/>
      <c r="D53" s="21"/>
      <c r="E53" s="217"/>
      <c r="F53" s="218"/>
      <c r="G53" s="218"/>
    </row>
    <row r="54" ht="22.5" customHeight="1">
      <c r="A54" s="216">
        <v>46045.0</v>
      </c>
      <c r="B54" s="60" t="s">
        <v>231</v>
      </c>
      <c r="C54" s="217"/>
      <c r="D54" s="21"/>
      <c r="E54" s="217"/>
      <c r="F54" s="218"/>
      <c r="G54" s="218"/>
    </row>
    <row r="55" ht="22.5" customHeight="1">
      <c r="A55" s="216">
        <v>46046.0</v>
      </c>
      <c r="B55" s="60" t="s">
        <v>231</v>
      </c>
      <c r="C55" s="217"/>
      <c r="D55" s="21"/>
      <c r="E55" s="217"/>
      <c r="F55" s="218"/>
      <c r="G55" s="218"/>
    </row>
    <row r="56" ht="22.5" customHeight="1">
      <c r="A56" s="216">
        <v>46047.0</v>
      </c>
      <c r="B56" s="60" t="s">
        <v>231</v>
      </c>
      <c r="C56" s="217"/>
      <c r="D56" s="21"/>
      <c r="E56" s="217"/>
      <c r="F56" s="218"/>
      <c r="G56" s="218"/>
    </row>
    <row r="57" ht="22.5" customHeight="1">
      <c r="A57" s="216">
        <v>46048.0</v>
      </c>
      <c r="B57" s="60" t="s">
        <v>231</v>
      </c>
      <c r="C57" s="217"/>
      <c r="D57" s="21"/>
      <c r="E57" s="217"/>
      <c r="F57" s="218"/>
      <c r="G57" s="218"/>
    </row>
    <row r="58" ht="22.5" customHeight="1">
      <c r="A58" s="216">
        <v>46049.0</v>
      </c>
      <c r="B58" s="60" t="s">
        <v>231</v>
      </c>
      <c r="C58" s="217"/>
      <c r="D58" s="21"/>
      <c r="E58" s="217"/>
      <c r="F58" s="218"/>
      <c r="G58" s="218"/>
    </row>
    <row r="59" ht="22.5" customHeight="1">
      <c r="A59" s="216">
        <v>46050.0</v>
      </c>
      <c r="B59" s="60" t="s">
        <v>231</v>
      </c>
      <c r="C59" s="217"/>
      <c r="D59" s="21"/>
      <c r="E59" s="217"/>
      <c r="F59" s="218"/>
      <c r="G59" s="218"/>
    </row>
    <row r="60" ht="22.5" customHeight="1">
      <c r="A60" s="216">
        <v>46051.0</v>
      </c>
      <c r="B60" s="60" t="s">
        <v>231</v>
      </c>
      <c r="C60" s="217"/>
      <c r="D60" s="21"/>
      <c r="E60" s="217"/>
      <c r="F60" s="218"/>
      <c r="G60" s="218"/>
    </row>
    <row r="61" ht="22.5" customHeight="1">
      <c r="A61" s="216">
        <v>46052.0</v>
      </c>
      <c r="B61" s="60" t="s">
        <v>231</v>
      </c>
      <c r="C61" s="217"/>
      <c r="D61" s="21"/>
      <c r="E61" s="217"/>
      <c r="F61" s="218"/>
      <c r="G61" s="218"/>
    </row>
    <row r="62" ht="22.5" customHeight="1">
      <c r="A62" s="216">
        <v>46053.0</v>
      </c>
      <c r="B62" s="60" t="s">
        <v>231</v>
      </c>
      <c r="C62" s="217"/>
      <c r="D62" s="21"/>
      <c r="E62" s="217"/>
      <c r="F62" s="218"/>
      <c r="G62" s="218"/>
    </row>
    <row r="63" ht="22.5" customHeight="1">
      <c r="A63" s="216"/>
      <c r="B63" s="60" t="s">
        <v>231</v>
      </c>
      <c r="C63" s="217"/>
      <c r="D63" s="21"/>
      <c r="E63" s="217"/>
      <c r="F63" s="218"/>
      <c r="G63" s="218"/>
    </row>
    <row r="64" ht="22.5" customHeight="1">
      <c r="A64" s="216"/>
      <c r="B64" s="60" t="s">
        <v>231</v>
      </c>
      <c r="C64" s="217"/>
      <c r="D64" s="21"/>
      <c r="E64" s="217"/>
      <c r="F64" s="218"/>
      <c r="G64" s="218"/>
    </row>
    <row r="65" ht="22.5" customHeight="1">
      <c r="A65" s="216"/>
      <c r="B65" s="60" t="s">
        <v>231</v>
      </c>
      <c r="C65" s="217"/>
      <c r="D65" s="21"/>
      <c r="E65" s="217"/>
      <c r="F65" s="218"/>
      <c r="G65" s="218"/>
    </row>
    <row r="66" ht="22.5" customHeight="1">
      <c r="A66" s="216"/>
      <c r="B66" s="60" t="s">
        <v>231</v>
      </c>
      <c r="C66" s="217"/>
      <c r="D66" s="21"/>
      <c r="E66" s="217"/>
      <c r="F66" s="218"/>
      <c r="G66" s="218"/>
    </row>
    <row r="67" ht="22.5" customHeight="1">
      <c r="A67" s="216"/>
      <c r="B67" s="60" t="s">
        <v>231</v>
      </c>
      <c r="C67" s="217"/>
      <c r="D67" s="21"/>
      <c r="E67" s="217"/>
      <c r="F67" s="218"/>
      <c r="G67" s="218"/>
    </row>
    <row r="68" ht="22.5" customHeight="1">
      <c r="A68" s="216"/>
      <c r="B68" s="60" t="s">
        <v>231</v>
      </c>
      <c r="C68" s="217"/>
      <c r="D68" s="21"/>
      <c r="E68" s="217"/>
      <c r="F68" s="218"/>
      <c r="G68" s="218"/>
    </row>
    <row r="69" ht="22.5" customHeight="1">
      <c r="A69" s="216"/>
      <c r="B69" s="60" t="s">
        <v>231</v>
      </c>
      <c r="C69" s="217"/>
      <c r="D69" s="21"/>
      <c r="E69" s="217"/>
      <c r="F69" s="218"/>
      <c r="G69" s="218"/>
    </row>
    <row r="70" ht="22.5" customHeight="1">
      <c r="A70" s="216"/>
      <c r="B70" s="60" t="s">
        <v>231</v>
      </c>
      <c r="C70" s="217"/>
      <c r="D70" s="21"/>
      <c r="E70" s="217"/>
      <c r="F70" s="218"/>
      <c r="G70" s="218"/>
    </row>
    <row r="71" ht="22.5" customHeight="1">
      <c r="A71" s="216"/>
      <c r="B71" s="60" t="s">
        <v>231</v>
      </c>
      <c r="C71" s="217"/>
      <c r="D71" s="21"/>
      <c r="E71" s="217"/>
      <c r="F71" s="218"/>
      <c r="G71" s="218"/>
    </row>
    <row r="72" ht="22.5" customHeight="1">
      <c r="A72" s="216"/>
      <c r="B72" s="60" t="s">
        <v>231</v>
      </c>
      <c r="C72" s="217"/>
      <c r="D72" s="21"/>
      <c r="E72" s="217"/>
      <c r="F72" s="218"/>
      <c r="G72" s="218"/>
    </row>
    <row r="73" ht="22.5" customHeight="1">
      <c r="A73" s="216"/>
      <c r="B73" s="60" t="s">
        <v>231</v>
      </c>
      <c r="C73" s="217"/>
      <c r="D73" s="21"/>
      <c r="E73" s="217"/>
      <c r="F73" s="218"/>
      <c r="G73" s="218"/>
    </row>
    <row r="74" ht="22.5" customHeight="1">
      <c r="A74" s="216"/>
      <c r="B74" s="60" t="s">
        <v>231</v>
      </c>
      <c r="C74" s="217"/>
      <c r="D74" s="21"/>
      <c r="E74" s="217"/>
      <c r="F74" s="218"/>
      <c r="G74" s="218"/>
    </row>
    <row r="75" ht="22.5" customHeight="1">
      <c r="A75" s="216"/>
      <c r="B75" s="60" t="s">
        <v>231</v>
      </c>
      <c r="C75" s="217"/>
      <c r="D75" s="21"/>
      <c r="E75" s="217"/>
      <c r="F75" s="218"/>
      <c r="G75" s="218"/>
    </row>
    <row r="76" ht="22.5" customHeight="1">
      <c r="A76" s="216"/>
      <c r="B76" s="60" t="s">
        <v>231</v>
      </c>
      <c r="C76" s="217"/>
      <c r="D76" s="21"/>
      <c r="E76" s="217"/>
      <c r="F76" s="218"/>
      <c r="G76" s="218"/>
    </row>
    <row r="77" ht="22.5" customHeight="1">
      <c r="A77" s="216"/>
      <c r="B77" s="60" t="s">
        <v>231</v>
      </c>
      <c r="C77" s="217"/>
      <c r="D77" s="21"/>
      <c r="E77" s="217"/>
      <c r="F77" s="218"/>
      <c r="G77" s="218"/>
    </row>
    <row r="78" ht="22.5" customHeight="1">
      <c r="A78" s="216"/>
      <c r="B78" s="60" t="s">
        <v>231</v>
      </c>
      <c r="C78" s="217"/>
      <c r="D78" s="21"/>
      <c r="E78" s="217"/>
      <c r="F78" s="218"/>
      <c r="G78" s="218"/>
    </row>
    <row r="79" ht="22.5" customHeight="1">
      <c r="A79" s="216"/>
      <c r="B79" s="60" t="s">
        <v>231</v>
      </c>
      <c r="C79" s="217"/>
      <c r="D79" s="21"/>
      <c r="E79" s="217"/>
      <c r="F79" s="218"/>
      <c r="G79" s="218"/>
    </row>
    <row r="80" ht="22.5" customHeight="1">
      <c r="A80" s="216"/>
      <c r="B80" s="60" t="s">
        <v>231</v>
      </c>
      <c r="C80" s="217"/>
      <c r="D80" s="21"/>
      <c r="E80" s="217"/>
      <c r="F80" s="218"/>
      <c r="G80" s="218"/>
    </row>
    <row r="81" ht="22.5" customHeight="1">
      <c r="A81" s="216"/>
      <c r="B81" s="60" t="s">
        <v>231</v>
      </c>
      <c r="C81" s="217"/>
      <c r="D81" s="21"/>
      <c r="E81" s="217"/>
      <c r="F81" s="218"/>
      <c r="G81" s="218"/>
    </row>
    <row r="82" ht="22.5" customHeight="1">
      <c r="A82" s="216"/>
      <c r="B82" s="60" t="s">
        <v>231</v>
      </c>
      <c r="C82" s="217"/>
      <c r="D82" s="21"/>
      <c r="E82" s="217"/>
      <c r="F82" s="218"/>
      <c r="G82" s="218"/>
    </row>
    <row r="83" ht="22.5" customHeight="1">
      <c r="A83" s="216"/>
      <c r="B83" s="60" t="s">
        <v>231</v>
      </c>
      <c r="C83" s="217"/>
      <c r="D83" s="21"/>
      <c r="E83" s="217"/>
      <c r="F83" s="218"/>
      <c r="G83" s="218"/>
    </row>
    <row r="84" ht="22.5" customHeight="1">
      <c r="A84" s="216"/>
      <c r="B84" s="60" t="s">
        <v>231</v>
      </c>
      <c r="C84" s="217"/>
      <c r="D84" s="21"/>
      <c r="E84" s="217"/>
      <c r="F84" s="218"/>
      <c r="G84" s="218"/>
    </row>
    <row r="85" ht="22.5" customHeight="1">
      <c r="A85" s="216"/>
      <c r="B85" s="60" t="s">
        <v>231</v>
      </c>
      <c r="C85" s="217"/>
      <c r="D85" s="21"/>
      <c r="E85" s="217"/>
      <c r="F85" s="218"/>
      <c r="G85" s="218"/>
    </row>
    <row r="86" ht="22.5" customHeight="1">
      <c r="A86" s="216"/>
      <c r="B86" s="60" t="s">
        <v>231</v>
      </c>
      <c r="C86" s="217"/>
      <c r="D86" s="21"/>
      <c r="E86" s="217"/>
      <c r="F86" s="218"/>
      <c r="G86" s="218"/>
    </row>
    <row r="87" ht="22.5" customHeight="1">
      <c r="A87" s="216"/>
      <c r="B87" s="60" t="s">
        <v>231</v>
      </c>
      <c r="C87" s="217"/>
      <c r="D87" s="21"/>
      <c r="E87" s="217"/>
      <c r="F87" s="218"/>
      <c r="G87" s="218"/>
    </row>
    <row r="88" ht="22.5" customHeight="1">
      <c r="A88" s="216"/>
      <c r="B88" s="60" t="s">
        <v>231</v>
      </c>
      <c r="C88" s="217"/>
      <c r="D88" s="21"/>
      <c r="E88" s="217"/>
      <c r="F88" s="218"/>
      <c r="G88" s="218"/>
    </row>
    <row r="89" ht="22.5" customHeight="1">
      <c r="A89" s="216"/>
      <c r="B89" s="60" t="s">
        <v>231</v>
      </c>
      <c r="C89" s="217"/>
      <c r="D89" s="21"/>
      <c r="E89" s="217"/>
      <c r="F89" s="218"/>
      <c r="G89" s="218"/>
    </row>
    <row r="90" ht="22.5" customHeight="1">
      <c r="A90" s="216"/>
      <c r="B90" s="60" t="s">
        <v>231</v>
      </c>
      <c r="C90" s="217"/>
      <c r="D90" s="21"/>
      <c r="E90" s="217"/>
      <c r="F90" s="218"/>
      <c r="G90" s="218"/>
    </row>
    <row r="91" ht="22.5" customHeight="1">
      <c r="A91" s="216"/>
      <c r="B91" s="60" t="s">
        <v>231</v>
      </c>
      <c r="C91" s="217"/>
      <c r="D91" s="21"/>
      <c r="E91" s="217"/>
      <c r="F91" s="218"/>
      <c r="G91" s="218"/>
    </row>
    <row r="92" ht="22.5" customHeight="1">
      <c r="A92" s="216"/>
      <c r="B92" s="60" t="s">
        <v>231</v>
      </c>
      <c r="C92" s="217"/>
      <c r="D92" s="21"/>
      <c r="E92" s="217"/>
      <c r="F92" s="218"/>
      <c r="G92" s="218"/>
    </row>
    <row r="93" ht="22.5" customHeight="1">
      <c r="A93" s="216"/>
      <c r="B93" s="60" t="s">
        <v>231</v>
      </c>
      <c r="C93" s="217"/>
      <c r="D93" s="21"/>
      <c r="E93" s="217"/>
      <c r="F93" s="218"/>
      <c r="G93" s="218"/>
    </row>
    <row r="94" ht="22.5" customHeight="1">
      <c r="A94" s="216"/>
      <c r="B94" s="60" t="s">
        <v>231</v>
      </c>
      <c r="C94" s="217"/>
      <c r="D94" s="21"/>
      <c r="E94" s="217"/>
      <c r="F94" s="218"/>
      <c r="G94" s="218"/>
    </row>
    <row r="95" ht="22.5" customHeight="1">
      <c r="A95" s="216"/>
      <c r="B95" s="60" t="s">
        <v>231</v>
      </c>
      <c r="C95" s="217"/>
      <c r="D95" s="21"/>
      <c r="E95" s="217"/>
      <c r="F95" s="218"/>
      <c r="G95" s="218"/>
    </row>
    <row r="96" ht="22.5" customHeight="1">
      <c r="A96" s="216"/>
      <c r="B96" s="60" t="s">
        <v>231</v>
      </c>
      <c r="C96" s="217"/>
      <c r="D96" s="21"/>
      <c r="E96" s="217"/>
      <c r="F96" s="218"/>
      <c r="G96" s="218"/>
    </row>
    <row r="97" ht="22.5" customHeight="1">
      <c r="A97" s="216"/>
      <c r="B97" s="60" t="s">
        <v>231</v>
      </c>
      <c r="C97" s="217"/>
      <c r="D97" s="21"/>
      <c r="E97" s="217"/>
      <c r="F97" s="218"/>
      <c r="G97" s="218"/>
    </row>
    <row r="98" ht="22.5" customHeight="1">
      <c r="A98" s="216"/>
      <c r="B98" s="60" t="s">
        <v>231</v>
      </c>
      <c r="C98" s="217"/>
      <c r="D98" s="21"/>
      <c r="E98" s="217"/>
      <c r="F98" s="218"/>
      <c r="G98" s="218"/>
    </row>
    <row r="99" ht="22.5" customHeight="1">
      <c r="A99" s="216"/>
      <c r="B99" s="60" t="s">
        <v>231</v>
      </c>
      <c r="C99" s="217"/>
      <c r="D99" s="21"/>
      <c r="E99" s="217"/>
      <c r="F99" s="218"/>
      <c r="G99" s="218"/>
    </row>
    <row r="100" ht="22.5" customHeight="1">
      <c r="A100" s="216"/>
      <c r="B100" s="60" t="s">
        <v>231</v>
      </c>
      <c r="C100" s="217"/>
      <c r="D100" s="21"/>
      <c r="E100" s="217"/>
      <c r="F100" s="218"/>
      <c r="G100" s="218"/>
    </row>
    <row r="101" ht="22.5" customHeight="1">
      <c r="A101" s="216"/>
      <c r="B101" s="60" t="s">
        <v>231</v>
      </c>
      <c r="C101" s="217"/>
      <c r="D101" s="21"/>
      <c r="E101" s="217"/>
      <c r="F101" s="218"/>
      <c r="G101" s="218"/>
    </row>
    <row r="102" ht="22.5" customHeight="1">
      <c r="A102" s="216"/>
      <c r="B102" s="60" t="s">
        <v>231</v>
      </c>
      <c r="C102" s="224"/>
      <c r="D102" s="34"/>
      <c r="E102" s="224"/>
      <c r="F102" s="225"/>
      <c r="G102" s="225"/>
    </row>
    <row r="103" ht="22.5" customHeight="1">
      <c r="A103" s="216"/>
      <c r="B103" s="60" t="s">
        <v>231</v>
      </c>
      <c r="C103" s="224"/>
      <c r="D103" s="34"/>
      <c r="E103" s="224"/>
      <c r="F103" s="225"/>
      <c r="G103" s="225"/>
    </row>
    <row r="104" ht="22.5" customHeight="1">
      <c r="A104" s="216"/>
      <c r="B104" s="60" t="s">
        <v>231</v>
      </c>
      <c r="C104" s="224"/>
      <c r="D104" s="34"/>
      <c r="E104" s="224"/>
      <c r="F104" s="225"/>
      <c r="G104" s="225"/>
    </row>
    <row r="105" ht="22.5" customHeight="1">
      <c r="A105" s="216"/>
      <c r="B105" s="60" t="s">
        <v>231</v>
      </c>
      <c r="C105" s="224"/>
      <c r="D105" s="34"/>
      <c r="E105" s="224"/>
      <c r="F105" s="225"/>
      <c r="G105" s="225"/>
    </row>
    <row r="106" ht="22.5" customHeight="1">
      <c r="A106" s="216"/>
      <c r="B106" s="60" t="s">
        <v>231</v>
      </c>
      <c r="C106" s="224"/>
      <c r="D106" s="34"/>
      <c r="E106" s="224"/>
      <c r="F106" s="225"/>
      <c r="G106" s="225"/>
    </row>
    <row r="107" ht="22.5" customHeight="1">
      <c r="A107" s="216"/>
      <c r="B107" s="60" t="s">
        <v>231</v>
      </c>
      <c r="C107" s="224"/>
      <c r="D107" s="34"/>
      <c r="E107" s="224"/>
      <c r="F107" s="225"/>
      <c r="G107" s="225"/>
    </row>
    <row r="108" ht="22.5" customHeight="1">
      <c r="A108" s="216"/>
      <c r="B108" s="60" t="s">
        <v>231</v>
      </c>
      <c r="C108" s="224"/>
      <c r="D108" s="34"/>
      <c r="E108" s="224"/>
      <c r="F108" s="225"/>
      <c r="G108" s="225"/>
    </row>
    <row r="109" ht="22.5" customHeight="1">
      <c r="A109" s="216"/>
      <c r="B109" s="60" t="s">
        <v>231</v>
      </c>
      <c r="C109" s="224"/>
      <c r="D109" s="34"/>
      <c r="E109" s="224"/>
      <c r="F109" s="225"/>
      <c r="G109" s="225"/>
    </row>
    <row r="110" ht="22.5" customHeight="1">
      <c r="A110" s="216"/>
      <c r="B110" s="60" t="s">
        <v>231</v>
      </c>
      <c r="C110" s="224"/>
      <c r="D110" s="34"/>
      <c r="E110" s="224"/>
      <c r="F110" s="225"/>
      <c r="G110" s="225"/>
    </row>
    <row r="111" ht="22.5" customHeight="1">
      <c r="A111" s="216"/>
      <c r="B111" s="60" t="s">
        <v>231</v>
      </c>
      <c r="C111" s="224"/>
      <c r="D111" s="34"/>
      <c r="E111" s="224"/>
      <c r="F111" s="225"/>
      <c r="G111" s="225"/>
    </row>
    <row r="112" ht="22.5" customHeight="1">
      <c r="A112" s="216"/>
      <c r="B112" s="60" t="s">
        <v>231</v>
      </c>
      <c r="C112" s="224"/>
      <c r="D112" s="34"/>
      <c r="E112" s="224"/>
      <c r="F112" s="225"/>
      <c r="G112" s="225"/>
    </row>
    <row r="113" ht="22.5" customHeight="1">
      <c r="A113" s="216"/>
      <c r="B113" s="60" t="s">
        <v>231</v>
      </c>
      <c r="C113" s="224"/>
      <c r="D113" s="34"/>
      <c r="E113" s="224"/>
      <c r="F113" s="225"/>
      <c r="G113" s="225"/>
    </row>
    <row r="114" ht="22.5" customHeight="1">
      <c r="A114" s="216"/>
      <c r="B114" s="60" t="s">
        <v>231</v>
      </c>
      <c r="C114" s="224"/>
      <c r="D114" s="34"/>
      <c r="E114" s="224"/>
      <c r="F114" s="225"/>
      <c r="G114" s="225"/>
    </row>
    <row r="115" ht="22.5" customHeight="1">
      <c r="A115" s="216"/>
      <c r="B115" s="60" t="s">
        <v>231</v>
      </c>
      <c r="C115" s="224"/>
      <c r="D115" s="34"/>
      <c r="E115" s="224"/>
      <c r="F115" s="225"/>
      <c r="G115" s="225"/>
    </row>
    <row r="116" ht="22.5" customHeight="1">
      <c r="A116" s="216"/>
      <c r="B116" s="60" t="s">
        <v>231</v>
      </c>
      <c r="C116" s="224"/>
      <c r="D116" s="34"/>
      <c r="E116" s="224"/>
      <c r="F116" s="225"/>
      <c r="G116" s="225"/>
    </row>
    <row r="117" ht="22.5" customHeight="1">
      <c r="A117" s="216"/>
      <c r="B117" s="60" t="s">
        <v>231</v>
      </c>
      <c r="C117" s="224"/>
      <c r="D117" s="34"/>
      <c r="E117" s="224"/>
      <c r="F117" s="225"/>
      <c r="G117" s="225"/>
    </row>
    <row r="118" ht="22.5" customHeight="1">
      <c r="A118" s="216"/>
      <c r="B118" s="60" t="s">
        <v>231</v>
      </c>
      <c r="C118" s="224"/>
      <c r="D118" s="34"/>
      <c r="E118" s="224"/>
      <c r="F118" s="225"/>
      <c r="G118" s="225"/>
    </row>
    <row r="119" ht="22.5" customHeight="1">
      <c r="A119" s="226"/>
      <c r="B119" s="60" t="s">
        <v>231</v>
      </c>
      <c r="C119" s="224"/>
      <c r="D119" s="34"/>
      <c r="E119" s="224"/>
      <c r="F119" s="225"/>
      <c r="G119" s="225"/>
    </row>
    <row r="120" ht="22.5" customHeight="1">
      <c r="A120" s="226"/>
      <c r="B120" s="60" t="s">
        <v>231</v>
      </c>
      <c r="C120" s="224"/>
      <c r="D120" s="34"/>
      <c r="E120" s="224"/>
      <c r="F120" s="225"/>
      <c r="G120" s="225"/>
    </row>
    <row r="121" ht="22.5" customHeight="1">
      <c r="A121" s="226"/>
      <c r="B121" s="60" t="s">
        <v>231</v>
      </c>
      <c r="C121" s="224"/>
      <c r="D121" s="34"/>
      <c r="E121" s="224"/>
      <c r="F121" s="225"/>
      <c r="G121" s="225"/>
    </row>
    <row r="122" ht="22.5" customHeight="1">
      <c r="A122" s="226"/>
      <c r="B122" s="60" t="s">
        <v>231</v>
      </c>
      <c r="C122" s="224"/>
      <c r="D122" s="34"/>
      <c r="E122" s="224"/>
      <c r="F122" s="225"/>
      <c r="G122" s="225"/>
    </row>
    <row r="123" ht="22.5" customHeight="1">
      <c r="A123" s="226"/>
      <c r="B123" s="60" t="s">
        <v>231</v>
      </c>
      <c r="C123" s="224"/>
      <c r="D123" s="34"/>
      <c r="E123" s="224"/>
      <c r="F123" s="225"/>
      <c r="G123" s="225"/>
    </row>
    <row r="124">
      <c r="A124" s="227"/>
      <c r="B124" s="227"/>
      <c r="C124" s="227"/>
      <c r="D124" s="227"/>
      <c r="E124" s="227"/>
      <c r="F124" s="228"/>
      <c r="G124" s="228"/>
    </row>
    <row r="125">
      <c r="A125" s="227"/>
      <c r="B125" s="227"/>
      <c r="C125" s="227"/>
      <c r="D125" s="227"/>
      <c r="E125" s="227"/>
      <c r="F125" s="228"/>
      <c r="G125" s="228"/>
    </row>
    <row r="126">
      <c r="A126" s="227"/>
      <c r="B126" s="227"/>
      <c r="C126" s="227"/>
      <c r="D126" s="227"/>
      <c r="E126" s="227"/>
      <c r="F126" s="228"/>
      <c r="G126" s="228"/>
    </row>
    <row r="127">
      <c r="A127" s="227"/>
      <c r="B127" s="227"/>
      <c r="C127" s="227"/>
      <c r="D127" s="227"/>
      <c r="E127" s="227"/>
      <c r="F127" s="228"/>
      <c r="G127" s="228"/>
    </row>
    <row r="128">
      <c r="A128" s="227"/>
      <c r="B128" s="227"/>
      <c r="C128" s="227"/>
      <c r="D128" s="227"/>
      <c r="E128" s="227"/>
      <c r="F128" s="228"/>
      <c r="G128" s="228"/>
    </row>
    <row r="129">
      <c r="A129" s="227"/>
      <c r="B129" s="227"/>
      <c r="C129" s="227"/>
      <c r="D129" s="227"/>
      <c r="E129" s="227"/>
      <c r="F129" s="228"/>
      <c r="G129" s="228"/>
    </row>
    <row r="130">
      <c r="A130" s="227"/>
      <c r="B130" s="227"/>
      <c r="C130" s="227"/>
      <c r="D130" s="227"/>
      <c r="E130" s="227"/>
      <c r="F130" s="228"/>
      <c r="G130" s="228"/>
    </row>
    <row r="131">
      <c r="A131" s="227"/>
      <c r="B131" s="227"/>
      <c r="C131" s="227"/>
      <c r="D131" s="227"/>
      <c r="E131" s="227"/>
      <c r="F131" s="228"/>
      <c r="G131" s="228"/>
    </row>
    <row r="132">
      <c r="A132" s="227"/>
      <c r="B132" s="227"/>
      <c r="C132" s="227"/>
      <c r="D132" s="227"/>
      <c r="E132" s="227"/>
      <c r="F132" s="228"/>
      <c r="G132" s="228"/>
    </row>
    <row r="133">
      <c r="A133" s="227"/>
      <c r="B133" s="227"/>
      <c r="C133" s="227"/>
      <c r="D133" s="227"/>
      <c r="E133" s="227"/>
      <c r="F133" s="228"/>
      <c r="G133" s="228"/>
    </row>
    <row r="134">
      <c r="A134" s="227"/>
      <c r="B134" s="227"/>
      <c r="C134" s="227"/>
      <c r="D134" s="227"/>
      <c r="E134" s="227"/>
      <c r="F134" s="228"/>
      <c r="G134" s="228"/>
    </row>
    <row r="135">
      <c r="A135" s="227"/>
      <c r="B135" s="227"/>
      <c r="C135" s="227"/>
      <c r="D135" s="227"/>
      <c r="E135" s="227"/>
      <c r="F135" s="228"/>
      <c r="G135" s="228"/>
    </row>
    <row r="136">
      <c r="A136" s="227"/>
      <c r="B136" s="227"/>
      <c r="C136" s="227"/>
      <c r="D136" s="227"/>
      <c r="E136" s="227"/>
      <c r="F136" s="228"/>
      <c r="G136" s="228"/>
    </row>
    <row r="137">
      <c r="A137" s="227"/>
      <c r="B137" s="227"/>
      <c r="C137" s="227"/>
      <c r="D137" s="227"/>
      <c r="E137" s="227"/>
      <c r="F137" s="228"/>
      <c r="G137" s="228"/>
    </row>
    <row r="138">
      <c r="A138" s="227"/>
      <c r="B138" s="227"/>
      <c r="C138" s="227"/>
      <c r="D138" s="227"/>
      <c r="E138" s="227"/>
      <c r="F138" s="228"/>
      <c r="G138" s="228"/>
    </row>
    <row r="139">
      <c r="A139" s="227"/>
      <c r="B139" s="227"/>
      <c r="C139" s="227"/>
      <c r="D139" s="227"/>
      <c r="E139" s="227"/>
      <c r="F139" s="228"/>
      <c r="G139" s="228"/>
    </row>
    <row r="140">
      <c r="A140" s="227"/>
      <c r="B140" s="227"/>
      <c r="C140" s="227"/>
      <c r="D140" s="227"/>
      <c r="E140" s="227"/>
      <c r="F140" s="228"/>
      <c r="G140" s="228"/>
    </row>
    <row r="141">
      <c r="A141" s="227"/>
      <c r="B141" s="227"/>
      <c r="C141" s="227"/>
      <c r="D141" s="227"/>
      <c r="E141" s="227"/>
      <c r="F141" s="228"/>
      <c r="G141" s="228"/>
    </row>
    <row r="142">
      <c r="A142" s="227"/>
      <c r="B142" s="227"/>
      <c r="C142" s="227"/>
      <c r="D142" s="227"/>
      <c r="E142" s="227"/>
      <c r="F142" s="228"/>
      <c r="G142" s="228"/>
    </row>
    <row r="143">
      <c r="A143" s="227"/>
      <c r="B143" s="227"/>
      <c r="C143" s="227"/>
      <c r="D143" s="227"/>
      <c r="E143" s="227"/>
      <c r="F143" s="228"/>
      <c r="G143" s="228"/>
    </row>
    <row r="144">
      <c r="A144" s="227"/>
      <c r="B144" s="227"/>
      <c r="C144" s="227"/>
      <c r="D144" s="227"/>
      <c r="E144" s="227"/>
      <c r="F144" s="228"/>
      <c r="G144" s="228"/>
    </row>
    <row r="145">
      <c r="A145" s="227"/>
      <c r="B145" s="227"/>
      <c r="C145" s="227"/>
      <c r="D145" s="227"/>
      <c r="E145" s="227"/>
      <c r="F145" s="228"/>
      <c r="G145" s="228"/>
    </row>
    <row r="146">
      <c r="A146" s="227"/>
      <c r="B146" s="227"/>
      <c r="C146" s="227"/>
      <c r="D146" s="227"/>
      <c r="E146" s="227"/>
      <c r="F146" s="228"/>
      <c r="G146" s="228"/>
    </row>
    <row r="147">
      <c r="A147" s="227"/>
      <c r="B147" s="227"/>
      <c r="C147" s="227"/>
      <c r="D147" s="227"/>
      <c r="E147" s="227"/>
      <c r="F147" s="228"/>
      <c r="G147" s="228"/>
    </row>
    <row r="148">
      <c r="A148" s="227"/>
      <c r="B148" s="227"/>
      <c r="C148" s="227"/>
      <c r="D148" s="227"/>
      <c r="E148" s="227"/>
      <c r="F148" s="228"/>
      <c r="G148" s="228"/>
    </row>
    <row r="149">
      <c r="A149" s="227"/>
      <c r="B149" s="227"/>
      <c r="C149" s="227"/>
      <c r="D149" s="227"/>
      <c r="E149" s="227"/>
      <c r="F149" s="228"/>
      <c r="G149" s="228"/>
    </row>
    <row r="150">
      <c r="A150" s="227"/>
      <c r="B150" s="227"/>
      <c r="C150" s="227"/>
      <c r="D150" s="227"/>
      <c r="E150" s="227"/>
      <c r="F150" s="228"/>
      <c r="G150" s="228"/>
    </row>
    <row r="151">
      <c r="A151" s="227"/>
      <c r="B151" s="227"/>
      <c r="C151" s="227"/>
      <c r="D151" s="227"/>
      <c r="E151" s="227"/>
      <c r="F151" s="228"/>
      <c r="G151" s="228"/>
    </row>
    <row r="152">
      <c r="A152" s="227"/>
      <c r="B152" s="227"/>
      <c r="C152" s="227"/>
      <c r="D152" s="227"/>
      <c r="E152" s="227"/>
      <c r="F152" s="228"/>
      <c r="G152" s="228"/>
    </row>
    <row r="153">
      <c r="A153" s="227"/>
      <c r="B153" s="227"/>
      <c r="C153" s="227"/>
      <c r="D153" s="227"/>
      <c r="E153" s="227"/>
      <c r="F153" s="228"/>
      <c r="G153" s="228"/>
    </row>
    <row r="154">
      <c r="A154" s="227"/>
      <c r="B154" s="227"/>
      <c r="C154" s="227"/>
      <c r="D154" s="227"/>
      <c r="E154" s="227"/>
      <c r="F154" s="228"/>
      <c r="G154" s="228"/>
    </row>
    <row r="155">
      <c r="A155" s="227"/>
      <c r="B155" s="227"/>
      <c r="C155" s="227"/>
      <c r="D155" s="227"/>
      <c r="E155" s="227"/>
      <c r="F155" s="228"/>
      <c r="G155" s="228"/>
    </row>
    <row r="156">
      <c r="A156" s="227"/>
      <c r="B156" s="227"/>
      <c r="C156" s="227"/>
      <c r="D156" s="227"/>
      <c r="E156" s="227"/>
      <c r="F156" s="228"/>
      <c r="G156" s="228"/>
    </row>
    <row r="157">
      <c r="A157" s="227"/>
      <c r="B157" s="227"/>
      <c r="C157" s="227"/>
      <c r="D157" s="227"/>
      <c r="E157" s="227"/>
      <c r="F157" s="228"/>
      <c r="G157" s="228"/>
    </row>
    <row r="158">
      <c r="A158" s="227"/>
      <c r="B158" s="227"/>
      <c r="C158" s="227"/>
      <c r="D158" s="227"/>
      <c r="E158" s="227"/>
      <c r="F158" s="228"/>
      <c r="G158" s="228"/>
    </row>
    <row r="159">
      <c r="A159" s="227"/>
      <c r="B159" s="227"/>
      <c r="C159" s="227"/>
      <c r="D159" s="227"/>
      <c r="E159" s="227"/>
      <c r="F159" s="228"/>
      <c r="G159" s="228"/>
    </row>
    <row r="160">
      <c r="A160" s="227"/>
      <c r="B160" s="227"/>
      <c r="C160" s="227"/>
      <c r="D160" s="227"/>
      <c r="E160" s="227"/>
      <c r="F160" s="228"/>
      <c r="G160" s="228"/>
    </row>
    <row r="161">
      <c r="A161" s="227"/>
      <c r="B161" s="227"/>
      <c r="C161" s="227"/>
      <c r="D161" s="227"/>
      <c r="E161" s="227"/>
      <c r="F161" s="228"/>
      <c r="G161" s="228"/>
    </row>
    <row r="162">
      <c r="A162" s="227"/>
      <c r="B162" s="227"/>
      <c r="C162" s="227"/>
      <c r="D162" s="227"/>
      <c r="E162" s="227"/>
      <c r="F162" s="228"/>
      <c r="G162" s="228"/>
    </row>
    <row r="163">
      <c r="A163" s="227"/>
      <c r="B163" s="227"/>
      <c r="C163" s="227"/>
      <c r="D163" s="227"/>
      <c r="E163" s="227"/>
      <c r="F163" s="228"/>
      <c r="G163" s="228"/>
    </row>
    <row r="164">
      <c r="A164" s="227"/>
      <c r="B164" s="227"/>
      <c r="C164" s="227"/>
      <c r="D164" s="227"/>
      <c r="E164" s="227"/>
      <c r="F164" s="228"/>
      <c r="G164" s="228"/>
    </row>
    <row r="165">
      <c r="A165" s="227"/>
      <c r="B165" s="227"/>
      <c r="C165" s="227"/>
      <c r="D165" s="227"/>
      <c r="E165" s="227"/>
      <c r="F165" s="228"/>
      <c r="G165" s="228"/>
    </row>
    <row r="166">
      <c r="A166" s="227"/>
      <c r="B166" s="227"/>
      <c r="C166" s="227"/>
      <c r="D166" s="227"/>
      <c r="E166" s="227"/>
      <c r="F166" s="228"/>
      <c r="G166" s="228"/>
    </row>
    <row r="167">
      <c r="A167" s="227"/>
      <c r="B167" s="227"/>
      <c r="C167" s="227"/>
      <c r="D167" s="227"/>
      <c r="E167" s="227"/>
      <c r="F167" s="228"/>
      <c r="G167" s="228"/>
    </row>
    <row r="168">
      <c r="A168" s="227"/>
      <c r="B168" s="227"/>
      <c r="C168" s="227"/>
      <c r="D168" s="227"/>
      <c r="E168" s="227"/>
      <c r="F168" s="228"/>
      <c r="G168" s="228"/>
    </row>
    <row r="169">
      <c r="A169" s="227"/>
      <c r="B169" s="227"/>
      <c r="C169" s="227"/>
      <c r="D169" s="227"/>
      <c r="E169" s="227"/>
      <c r="F169" s="228"/>
      <c r="G169" s="228"/>
    </row>
    <row r="170">
      <c r="A170" s="227"/>
      <c r="B170" s="227"/>
      <c r="C170" s="227"/>
      <c r="D170" s="227"/>
      <c r="E170" s="227"/>
      <c r="F170" s="228"/>
      <c r="G170" s="228"/>
    </row>
    <row r="171">
      <c r="A171" s="227"/>
      <c r="B171" s="227"/>
      <c r="C171" s="227"/>
      <c r="D171" s="227"/>
      <c r="E171" s="227"/>
      <c r="F171" s="228"/>
      <c r="G171" s="228"/>
    </row>
    <row r="172">
      <c r="A172" s="227"/>
      <c r="B172" s="227"/>
      <c r="C172" s="227"/>
      <c r="D172" s="227"/>
      <c r="E172" s="227"/>
      <c r="F172" s="228"/>
      <c r="G172" s="228"/>
    </row>
    <row r="173">
      <c r="A173" s="227"/>
      <c r="B173" s="227"/>
      <c r="C173" s="227"/>
      <c r="D173" s="227"/>
      <c r="E173" s="227"/>
      <c r="F173" s="228"/>
      <c r="G173" s="228"/>
    </row>
    <row r="174">
      <c r="A174" s="227"/>
      <c r="B174" s="227"/>
      <c r="C174" s="227"/>
      <c r="D174" s="227"/>
      <c r="E174" s="227"/>
      <c r="F174" s="228"/>
      <c r="G174" s="228"/>
    </row>
    <row r="175">
      <c r="A175" s="227"/>
      <c r="B175" s="227"/>
      <c r="C175" s="227"/>
      <c r="D175" s="227"/>
      <c r="E175" s="227"/>
      <c r="F175" s="228"/>
      <c r="G175" s="228"/>
    </row>
    <row r="176">
      <c r="A176" s="227"/>
      <c r="B176" s="227"/>
      <c r="C176" s="227"/>
      <c r="D176" s="227"/>
      <c r="E176" s="227"/>
      <c r="F176" s="228"/>
      <c r="G176" s="228"/>
    </row>
    <row r="177">
      <c r="A177" s="227"/>
      <c r="B177" s="227"/>
      <c r="C177" s="227"/>
      <c r="D177" s="227"/>
      <c r="E177" s="227"/>
      <c r="F177" s="228"/>
      <c r="G177" s="228"/>
    </row>
    <row r="178">
      <c r="A178" s="227"/>
      <c r="B178" s="227"/>
      <c r="C178" s="227"/>
      <c r="D178" s="227"/>
      <c r="E178" s="227"/>
      <c r="F178" s="228"/>
      <c r="G178" s="228"/>
    </row>
    <row r="179">
      <c r="A179" s="227"/>
      <c r="B179" s="227"/>
      <c r="C179" s="227"/>
      <c r="D179" s="227"/>
      <c r="E179" s="227"/>
      <c r="F179" s="228"/>
      <c r="G179" s="228"/>
    </row>
    <row r="180">
      <c r="A180" s="227"/>
      <c r="B180" s="227"/>
      <c r="C180" s="227"/>
      <c r="D180" s="227"/>
      <c r="E180" s="227"/>
      <c r="F180" s="228"/>
      <c r="G180" s="228"/>
    </row>
    <row r="181">
      <c r="A181" s="227"/>
      <c r="B181" s="227"/>
      <c r="C181" s="227"/>
      <c r="D181" s="227"/>
      <c r="E181" s="227"/>
      <c r="F181" s="228"/>
      <c r="G181" s="228"/>
    </row>
    <row r="182">
      <c r="A182" s="227"/>
      <c r="B182" s="227"/>
      <c r="C182" s="227"/>
      <c r="D182" s="227"/>
      <c r="E182" s="227"/>
      <c r="F182" s="228"/>
      <c r="G182" s="228"/>
    </row>
    <row r="183">
      <c r="A183" s="227"/>
      <c r="B183" s="227"/>
      <c r="C183" s="227"/>
      <c r="D183" s="227"/>
      <c r="E183" s="227"/>
      <c r="F183" s="228"/>
      <c r="G183" s="228"/>
    </row>
    <row r="184">
      <c r="A184" s="227"/>
      <c r="B184" s="227"/>
      <c r="C184" s="227"/>
      <c r="D184" s="227"/>
      <c r="E184" s="227"/>
      <c r="F184" s="228"/>
      <c r="G184" s="228"/>
    </row>
    <row r="185">
      <c r="A185" s="227"/>
      <c r="B185" s="227"/>
      <c r="C185" s="227"/>
      <c r="D185" s="227"/>
      <c r="E185" s="227"/>
      <c r="F185" s="228"/>
      <c r="G185" s="228"/>
    </row>
    <row r="186">
      <c r="A186" s="227"/>
      <c r="B186" s="227"/>
      <c r="C186" s="227"/>
      <c r="D186" s="227"/>
      <c r="E186" s="227"/>
      <c r="F186" s="228"/>
      <c r="G186" s="228"/>
    </row>
    <row r="187">
      <c r="A187" s="227"/>
      <c r="B187" s="227"/>
      <c r="C187" s="227"/>
      <c r="D187" s="227"/>
      <c r="E187" s="227"/>
      <c r="F187" s="228"/>
      <c r="G187" s="228"/>
    </row>
    <row r="188">
      <c r="A188" s="227"/>
      <c r="B188" s="227"/>
      <c r="C188" s="227"/>
      <c r="D188" s="227"/>
      <c r="E188" s="227"/>
      <c r="F188" s="228"/>
      <c r="G188" s="228"/>
    </row>
    <row r="189">
      <c r="A189" s="227"/>
      <c r="B189" s="227"/>
      <c r="C189" s="227"/>
      <c r="D189" s="227"/>
      <c r="E189" s="227"/>
      <c r="F189" s="228"/>
      <c r="G189" s="228"/>
    </row>
    <row r="190">
      <c r="A190" s="227"/>
      <c r="B190" s="227"/>
      <c r="C190" s="227"/>
      <c r="D190" s="227"/>
      <c r="E190" s="227"/>
      <c r="F190" s="228"/>
      <c r="G190" s="228"/>
    </row>
    <row r="191">
      <c r="A191" s="227"/>
      <c r="B191" s="227"/>
      <c r="C191" s="227"/>
      <c r="D191" s="227"/>
      <c r="E191" s="227"/>
      <c r="F191" s="228"/>
      <c r="G191" s="228"/>
    </row>
    <row r="192">
      <c r="A192" s="227"/>
      <c r="B192" s="227"/>
      <c r="C192" s="227"/>
      <c r="D192" s="227"/>
      <c r="E192" s="227"/>
      <c r="F192" s="228"/>
      <c r="G192" s="228"/>
    </row>
    <row r="193">
      <c r="A193" s="227"/>
      <c r="B193" s="227"/>
      <c r="C193" s="227"/>
      <c r="D193" s="227"/>
      <c r="E193" s="227"/>
      <c r="F193" s="228"/>
      <c r="G193" s="228"/>
    </row>
    <row r="194">
      <c r="A194" s="227"/>
      <c r="B194" s="227"/>
      <c r="C194" s="227"/>
      <c r="D194" s="227"/>
      <c r="E194" s="227"/>
      <c r="F194" s="228"/>
      <c r="G194" s="228"/>
    </row>
    <row r="195">
      <c r="A195" s="227"/>
      <c r="B195" s="227"/>
      <c r="C195" s="227"/>
      <c r="D195" s="227"/>
      <c r="E195" s="227"/>
      <c r="F195" s="228"/>
      <c r="G195" s="228"/>
    </row>
    <row r="196">
      <c r="A196" s="227"/>
      <c r="B196" s="227"/>
      <c r="C196" s="227"/>
      <c r="D196" s="227"/>
      <c r="E196" s="227"/>
      <c r="F196" s="228"/>
      <c r="G196" s="228"/>
    </row>
    <row r="197">
      <c r="A197" s="227"/>
      <c r="B197" s="227"/>
      <c r="C197" s="227"/>
      <c r="D197" s="227"/>
      <c r="E197" s="227"/>
      <c r="F197" s="228"/>
      <c r="G197" s="228"/>
    </row>
    <row r="198">
      <c r="A198" s="227"/>
      <c r="B198" s="227"/>
      <c r="C198" s="227"/>
      <c r="D198" s="227"/>
      <c r="E198" s="227"/>
      <c r="F198" s="228"/>
      <c r="G198" s="228"/>
    </row>
    <row r="199">
      <c r="A199" s="227"/>
      <c r="B199" s="227"/>
      <c r="C199" s="227"/>
      <c r="D199" s="227"/>
      <c r="E199" s="227"/>
      <c r="F199" s="228"/>
      <c r="G199" s="228"/>
    </row>
    <row r="200">
      <c r="A200" s="227"/>
      <c r="B200" s="227"/>
      <c r="C200" s="227"/>
      <c r="D200" s="227"/>
      <c r="E200" s="227"/>
      <c r="F200" s="228"/>
      <c r="G200" s="228"/>
    </row>
    <row r="201">
      <c r="A201" s="227"/>
      <c r="B201" s="227"/>
      <c r="C201" s="227"/>
      <c r="D201" s="227"/>
      <c r="E201" s="227"/>
      <c r="F201" s="228"/>
      <c r="G201" s="228"/>
    </row>
    <row r="202">
      <c r="A202" s="227"/>
      <c r="B202" s="227"/>
      <c r="C202" s="227"/>
      <c r="D202" s="227"/>
      <c r="E202" s="227"/>
      <c r="F202" s="228"/>
      <c r="G202" s="228"/>
    </row>
    <row r="203">
      <c r="A203" s="227"/>
      <c r="B203" s="227"/>
      <c r="C203" s="227"/>
      <c r="D203" s="227"/>
      <c r="E203" s="227"/>
      <c r="F203" s="228"/>
      <c r="G203" s="228"/>
    </row>
    <row r="204">
      <c r="A204" s="227"/>
      <c r="B204" s="227"/>
      <c r="C204" s="227"/>
      <c r="D204" s="227"/>
      <c r="E204" s="227"/>
      <c r="F204" s="228"/>
      <c r="G204" s="228"/>
    </row>
    <row r="205">
      <c r="A205" s="227"/>
      <c r="B205" s="227"/>
      <c r="C205" s="227"/>
      <c r="D205" s="227"/>
      <c r="E205" s="227"/>
      <c r="F205" s="228"/>
      <c r="G205" s="228"/>
    </row>
    <row r="206">
      <c r="A206" s="227"/>
      <c r="B206" s="227"/>
      <c r="C206" s="227"/>
      <c r="D206" s="227"/>
      <c r="E206" s="227"/>
      <c r="F206" s="228"/>
      <c r="G206" s="228"/>
    </row>
    <row r="207">
      <c r="A207" s="227"/>
      <c r="B207" s="227"/>
      <c r="C207" s="227"/>
      <c r="D207" s="227"/>
      <c r="E207" s="227"/>
      <c r="F207" s="228"/>
      <c r="G207" s="228"/>
    </row>
    <row r="208">
      <c r="A208" s="227"/>
      <c r="B208" s="227"/>
      <c r="C208" s="227"/>
      <c r="D208" s="227"/>
      <c r="E208" s="227"/>
      <c r="F208" s="228"/>
      <c r="G208" s="228"/>
    </row>
    <row r="209">
      <c r="A209" s="227"/>
      <c r="B209" s="227"/>
      <c r="C209" s="227"/>
      <c r="D209" s="227"/>
      <c r="E209" s="227"/>
      <c r="F209" s="228"/>
      <c r="G209" s="228"/>
    </row>
    <row r="210">
      <c r="A210" s="227"/>
      <c r="B210" s="227"/>
      <c r="C210" s="227"/>
      <c r="D210" s="227"/>
      <c r="E210" s="227"/>
      <c r="F210" s="228"/>
      <c r="G210" s="228"/>
    </row>
    <row r="211">
      <c r="A211" s="227"/>
      <c r="B211" s="227"/>
      <c r="C211" s="227"/>
      <c r="D211" s="227"/>
      <c r="E211" s="227"/>
      <c r="F211" s="228"/>
      <c r="G211" s="228"/>
    </row>
    <row r="212">
      <c r="A212" s="227"/>
      <c r="B212" s="227"/>
      <c r="C212" s="227"/>
      <c r="D212" s="227"/>
      <c r="E212" s="227"/>
      <c r="F212" s="228"/>
      <c r="G212" s="228"/>
    </row>
    <row r="213">
      <c r="A213" s="227"/>
      <c r="B213" s="227"/>
      <c r="C213" s="227"/>
      <c r="D213" s="227"/>
      <c r="E213" s="227"/>
      <c r="F213" s="228"/>
      <c r="G213" s="228"/>
    </row>
    <row r="214">
      <c r="A214" s="227"/>
      <c r="B214" s="227"/>
      <c r="C214" s="227"/>
      <c r="D214" s="227"/>
      <c r="E214" s="227"/>
      <c r="F214" s="228"/>
      <c r="G214" s="228"/>
    </row>
    <row r="215">
      <c r="A215" s="227"/>
      <c r="B215" s="227"/>
      <c r="C215" s="227"/>
      <c r="D215" s="227"/>
      <c r="E215" s="227"/>
      <c r="F215" s="228"/>
      <c r="G215" s="228"/>
    </row>
    <row r="216">
      <c r="A216" s="227"/>
      <c r="B216" s="227"/>
      <c r="C216" s="227"/>
      <c r="D216" s="227"/>
      <c r="E216" s="227"/>
      <c r="F216" s="228"/>
      <c r="G216" s="228"/>
    </row>
    <row r="217">
      <c r="A217" s="227"/>
      <c r="B217" s="227"/>
      <c r="C217" s="227"/>
      <c r="D217" s="227"/>
      <c r="E217" s="227"/>
      <c r="F217" s="228"/>
      <c r="G217" s="228"/>
    </row>
    <row r="218">
      <c r="A218" s="227"/>
      <c r="B218" s="227"/>
      <c r="C218" s="227"/>
      <c r="D218" s="227"/>
      <c r="E218" s="227"/>
      <c r="F218" s="228"/>
      <c r="G218" s="228"/>
    </row>
    <row r="219">
      <c r="A219" s="227"/>
      <c r="B219" s="227"/>
      <c r="C219" s="227"/>
      <c r="D219" s="227"/>
      <c r="E219" s="227"/>
      <c r="F219" s="228"/>
      <c r="G219" s="228"/>
    </row>
    <row r="220">
      <c r="A220" s="227"/>
      <c r="B220" s="227"/>
      <c r="C220" s="227"/>
      <c r="D220" s="227"/>
      <c r="E220" s="227"/>
      <c r="F220" s="228"/>
      <c r="G220" s="228"/>
    </row>
    <row r="221">
      <c r="A221" s="227"/>
      <c r="B221" s="227"/>
      <c r="C221" s="227"/>
      <c r="D221" s="227"/>
      <c r="E221" s="227"/>
      <c r="F221" s="228"/>
      <c r="G221" s="228"/>
    </row>
    <row r="222">
      <c r="A222" s="227"/>
      <c r="B222" s="227"/>
      <c r="C222" s="227"/>
      <c r="D222" s="227"/>
      <c r="E222" s="227"/>
      <c r="F222" s="228"/>
      <c r="G222" s="228"/>
    </row>
    <row r="223">
      <c r="A223" s="227"/>
      <c r="B223" s="227"/>
      <c r="C223" s="227"/>
      <c r="D223" s="227"/>
      <c r="E223" s="227"/>
      <c r="F223" s="228"/>
      <c r="G223" s="228"/>
    </row>
    <row r="224">
      <c r="A224" s="227"/>
      <c r="B224" s="227"/>
      <c r="C224" s="227"/>
      <c r="D224" s="227"/>
      <c r="E224" s="227"/>
      <c r="F224" s="228"/>
      <c r="G224" s="228"/>
    </row>
    <row r="225">
      <c r="A225" s="227"/>
      <c r="B225" s="227"/>
      <c r="C225" s="227"/>
      <c r="D225" s="227"/>
      <c r="E225" s="227"/>
      <c r="F225" s="228"/>
      <c r="G225" s="228"/>
    </row>
    <row r="226">
      <c r="A226" s="227"/>
      <c r="B226" s="227"/>
      <c r="C226" s="227"/>
      <c r="D226" s="227"/>
      <c r="E226" s="227"/>
      <c r="F226" s="228"/>
      <c r="G226" s="228"/>
    </row>
    <row r="227">
      <c r="A227" s="227"/>
      <c r="B227" s="227"/>
      <c r="C227" s="227"/>
      <c r="D227" s="227"/>
      <c r="E227" s="227"/>
      <c r="F227" s="228"/>
      <c r="G227" s="228"/>
    </row>
    <row r="228">
      <c r="A228" s="227"/>
      <c r="B228" s="227"/>
      <c r="C228" s="227"/>
      <c r="D228" s="227"/>
      <c r="E228" s="227"/>
      <c r="F228" s="228"/>
      <c r="G228" s="228"/>
    </row>
    <row r="229">
      <c r="A229" s="227"/>
      <c r="B229" s="227"/>
      <c r="C229" s="227"/>
      <c r="D229" s="227"/>
      <c r="E229" s="227"/>
      <c r="F229" s="228"/>
      <c r="G229" s="228"/>
    </row>
    <row r="230">
      <c r="A230" s="227"/>
      <c r="B230" s="227"/>
      <c r="C230" s="227"/>
      <c r="D230" s="227"/>
      <c r="E230" s="227"/>
      <c r="F230" s="228"/>
      <c r="G230" s="228"/>
    </row>
    <row r="231">
      <c r="A231" s="227"/>
      <c r="B231" s="227"/>
      <c r="C231" s="227"/>
      <c r="D231" s="227"/>
      <c r="E231" s="227"/>
      <c r="F231" s="228"/>
      <c r="G231" s="228"/>
    </row>
    <row r="232">
      <c r="A232" s="227"/>
      <c r="B232" s="227"/>
      <c r="C232" s="227"/>
      <c r="D232" s="227"/>
      <c r="E232" s="227"/>
      <c r="F232" s="228"/>
      <c r="G232" s="228"/>
    </row>
    <row r="233">
      <c r="A233" s="227"/>
      <c r="B233" s="227"/>
      <c r="C233" s="227"/>
      <c r="D233" s="227"/>
      <c r="E233" s="227"/>
      <c r="F233" s="228"/>
      <c r="G233" s="228"/>
    </row>
    <row r="234">
      <c r="A234" s="227"/>
      <c r="B234" s="227"/>
      <c r="C234" s="227"/>
      <c r="D234" s="227"/>
      <c r="E234" s="227"/>
      <c r="F234" s="228"/>
      <c r="G234" s="228"/>
    </row>
    <row r="235">
      <c r="A235" s="227"/>
      <c r="B235" s="227"/>
      <c r="C235" s="227"/>
      <c r="D235" s="227"/>
      <c r="E235" s="227"/>
      <c r="F235" s="228"/>
      <c r="G235" s="228"/>
    </row>
    <row r="236">
      <c r="A236" s="227"/>
      <c r="B236" s="227"/>
      <c r="C236" s="227"/>
      <c r="D236" s="227"/>
      <c r="E236" s="227"/>
      <c r="F236" s="228"/>
      <c r="G236" s="228"/>
    </row>
    <row r="237">
      <c r="A237" s="227"/>
      <c r="B237" s="227"/>
      <c r="C237" s="227"/>
      <c r="D237" s="227"/>
      <c r="E237" s="227"/>
      <c r="F237" s="228"/>
      <c r="G237" s="228"/>
    </row>
    <row r="238">
      <c r="A238" s="227"/>
      <c r="B238" s="227"/>
      <c r="C238" s="227"/>
      <c r="D238" s="227"/>
      <c r="E238" s="227"/>
      <c r="F238" s="228"/>
      <c r="G238" s="228"/>
    </row>
    <row r="239">
      <c r="A239" s="227"/>
      <c r="B239" s="227"/>
      <c r="C239" s="227"/>
      <c r="D239" s="227"/>
      <c r="E239" s="227"/>
      <c r="F239" s="228"/>
      <c r="G239" s="228"/>
    </row>
    <row r="240">
      <c r="A240" s="227"/>
      <c r="B240" s="227"/>
      <c r="C240" s="227"/>
      <c r="D240" s="227"/>
      <c r="E240" s="227"/>
      <c r="F240" s="228"/>
      <c r="G240" s="228"/>
    </row>
    <row r="241">
      <c r="A241" s="227"/>
      <c r="B241" s="227"/>
      <c r="C241" s="227"/>
      <c r="D241" s="227"/>
      <c r="E241" s="227"/>
      <c r="F241" s="228"/>
      <c r="G241" s="228"/>
    </row>
    <row r="242">
      <c r="A242" s="227"/>
      <c r="B242" s="227"/>
      <c r="C242" s="227"/>
      <c r="D242" s="227"/>
      <c r="E242" s="227"/>
      <c r="F242" s="228"/>
      <c r="G242" s="228"/>
    </row>
    <row r="243">
      <c r="A243" s="227"/>
      <c r="B243" s="227"/>
      <c r="C243" s="227"/>
      <c r="D243" s="227"/>
      <c r="E243" s="227"/>
      <c r="F243" s="228"/>
      <c r="G243" s="228"/>
    </row>
    <row r="244">
      <c r="A244" s="227"/>
      <c r="B244" s="227"/>
      <c r="C244" s="227"/>
      <c r="D244" s="227"/>
      <c r="E244" s="227"/>
      <c r="F244" s="228"/>
      <c r="G244" s="228"/>
    </row>
    <row r="245">
      <c r="A245" s="227"/>
      <c r="B245" s="227"/>
      <c r="C245" s="227"/>
      <c r="D245" s="227"/>
      <c r="E245" s="227"/>
      <c r="F245" s="228"/>
      <c r="G245" s="228"/>
    </row>
    <row r="246">
      <c r="A246" s="227"/>
      <c r="B246" s="227"/>
      <c r="C246" s="227"/>
      <c r="D246" s="227"/>
      <c r="E246" s="227"/>
      <c r="F246" s="228"/>
      <c r="G246" s="228"/>
    </row>
    <row r="247">
      <c r="A247" s="227"/>
      <c r="B247" s="227"/>
      <c r="C247" s="227"/>
      <c r="D247" s="227"/>
      <c r="E247" s="227"/>
      <c r="F247" s="228"/>
      <c r="G247" s="228"/>
    </row>
    <row r="248">
      <c r="A248" s="227"/>
      <c r="B248" s="227"/>
      <c r="C248" s="227"/>
      <c r="D248" s="227"/>
      <c r="E248" s="227"/>
      <c r="F248" s="228"/>
      <c r="G248" s="228"/>
    </row>
    <row r="249">
      <c r="A249" s="227"/>
      <c r="B249" s="227"/>
      <c r="C249" s="227"/>
      <c r="D249" s="227"/>
      <c r="E249" s="227"/>
      <c r="F249" s="228"/>
      <c r="G249" s="228"/>
    </row>
    <row r="250">
      <c r="A250" s="227"/>
      <c r="B250" s="227"/>
      <c r="C250" s="227"/>
      <c r="D250" s="227"/>
      <c r="E250" s="227"/>
      <c r="F250" s="228"/>
      <c r="G250" s="228"/>
    </row>
    <row r="251">
      <c r="A251" s="227"/>
      <c r="B251" s="227"/>
      <c r="C251" s="227"/>
      <c r="D251" s="227"/>
      <c r="E251" s="227"/>
      <c r="F251" s="228"/>
      <c r="G251" s="228"/>
    </row>
    <row r="252">
      <c r="A252" s="227"/>
      <c r="B252" s="227"/>
      <c r="C252" s="227"/>
      <c r="D252" s="227"/>
      <c r="E252" s="227"/>
      <c r="F252" s="228"/>
      <c r="G252" s="228"/>
    </row>
    <row r="253">
      <c r="A253" s="227"/>
      <c r="B253" s="227"/>
      <c r="C253" s="227"/>
      <c r="D253" s="227"/>
      <c r="E253" s="227"/>
      <c r="F253" s="228"/>
      <c r="G253" s="228"/>
    </row>
    <row r="254">
      <c r="A254" s="227"/>
      <c r="B254" s="227"/>
      <c r="C254" s="227"/>
      <c r="D254" s="227"/>
      <c r="E254" s="227"/>
      <c r="F254" s="228"/>
      <c r="G254" s="228"/>
    </row>
    <row r="255">
      <c r="A255" s="227"/>
      <c r="B255" s="227"/>
      <c r="C255" s="227"/>
      <c r="D255" s="227"/>
      <c r="E255" s="227"/>
      <c r="F255" s="228"/>
      <c r="G255" s="228"/>
    </row>
    <row r="256">
      <c r="A256" s="227"/>
      <c r="B256" s="227"/>
      <c r="C256" s="227"/>
      <c r="D256" s="227"/>
      <c r="E256" s="227"/>
      <c r="F256" s="228"/>
      <c r="G256" s="228"/>
    </row>
    <row r="257">
      <c r="A257" s="227"/>
      <c r="B257" s="227"/>
      <c r="C257" s="227"/>
      <c r="D257" s="227"/>
      <c r="E257" s="227"/>
      <c r="F257" s="228"/>
      <c r="G257" s="228"/>
    </row>
    <row r="258">
      <c r="A258" s="227"/>
      <c r="B258" s="227"/>
      <c r="C258" s="227"/>
      <c r="D258" s="227"/>
      <c r="E258" s="227"/>
      <c r="F258" s="228"/>
      <c r="G258" s="228"/>
    </row>
    <row r="259">
      <c r="A259" s="227"/>
      <c r="B259" s="227"/>
      <c r="C259" s="227"/>
      <c r="D259" s="227"/>
      <c r="E259" s="227"/>
      <c r="F259" s="228"/>
      <c r="G259" s="228"/>
    </row>
    <row r="260">
      <c r="A260" s="227"/>
      <c r="B260" s="227"/>
      <c r="C260" s="227"/>
      <c r="D260" s="227"/>
      <c r="E260" s="227"/>
      <c r="F260" s="228"/>
      <c r="G260" s="228"/>
    </row>
    <row r="261">
      <c r="A261" s="227"/>
      <c r="B261" s="227"/>
      <c r="C261" s="227"/>
      <c r="D261" s="227"/>
      <c r="E261" s="227"/>
      <c r="F261" s="228"/>
      <c r="G261" s="228"/>
    </row>
    <row r="262">
      <c r="A262" s="227"/>
      <c r="B262" s="227"/>
      <c r="C262" s="227"/>
      <c r="D262" s="227"/>
      <c r="E262" s="227"/>
      <c r="F262" s="228"/>
      <c r="G262" s="228"/>
    </row>
    <row r="263">
      <c r="A263" s="227"/>
      <c r="B263" s="227"/>
      <c r="C263" s="227"/>
      <c r="D263" s="227"/>
      <c r="E263" s="227"/>
      <c r="F263" s="228"/>
      <c r="G263" s="228"/>
    </row>
    <row r="264">
      <c r="A264" s="227"/>
      <c r="B264" s="227"/>
      <c r="C264" s="227"/>
      <c r="D264" s="227"/>
      <c r="E264" s="227"/>
      <c r="F264" s="228"/>
      <c r="G264" s="228"/>
    </row>
    <row r="265">
      <c r="A265" s="227"/>
      <c r="B265" s="227"/>
      <c r="C265" s="227"/>
      <c r="D265" s="227"/>
      <c r="E265" s="227"/>
      <c r="F265" s="228"/>
      <c r="G265" s="228"/>
    </row>
    <row r="266">
      <c r="A266" s="227"/>
      <c r="B266" s="227"/>
      <c r="C266" s="227"/>
      <c r="D266" s="227"/>
      <c r="E266" s="227"/>
      <c r="F266" s="228"/>
      <c r="G266" s="228"/>
    </row>
    <row r="267">
      <c r="A267" s="227"/>
      <c r="B267" s="227"/>
      <c r="C267" s="227"/>
      <c r="D267" s="227"/>
      <c r="E267" s="227"/>
      <c r="F267" s="228"/>
      <c r="G267" s="228"/>
    </row>
    <row r="268">
      <c r="A268" s="227"/>
      <c r="B268" s="227"/>
      <c r="C268" s="227"/>
      <c r="D268" s="227"/>
      <c r="E268" s="227"/>
      <c r="F268" s="228"/>
      <c r="G268" s="228"/>
    </row>
    <row r="269">
      <c r="A269" s="227"/>
      <c r="B269" s="227"/>
      <c r="C269" s="227"/>
      <c r="D269" s="227"/>
      <c r="E269" s="227"/>
      <c r="F269" s="228"/>
      <c r="G269" s="228"/>
    </row>
    <row r="270">
      <c r="A270" s="227"/>
      <c r="B270" s="227"/>
      <c r="C270" s="227"/>
      <c r="D270" s="227"/>
      <c r="E270" s="227"/>
      <c r="F270" s="228"/>
      <c r="G270" s="228"/>
    </row>
    <row r="271">
      <c r="A271" s="227"/>
      <c r="B271" s="227"/>
      <c r="C271" s="227"/>
      <c r="D271" s="227"/>
      <c r="E271" s="227"/>
      <c r="F271" s="228"/>
      <c r="G271" s="228"/>
    </row>
    <row r="272">
      <c r="A272" s="227"/>
      <c r="B272" s="227"/>
      <c r="C272" s="227"/>
      <c r="D272" s="227"/>
      <c r="E272" s="227"/>
      <c r="F272" s="228"/>
      <c r="G272" s="228"/>
    </row>
    <row r="273">
      <c r="A273" s="227"/>
      <c r="B273" s="227"/>
      <c r="C273" s="227"/>
      <c r="D273" s="227"/>
      <c r="E273" s="227"/>
      <c r="F273" s="228"/>
      <c r="G273" s="228"/>
    </row>
    <row r="274">
      <c r="A274" s="227"/>
      <c r="B274" s="227"/>
      <c r="C274" s="227"/>
      <c r="D274" s="227"/>
      <c r="E274" s="227"/>
      <c r="F274" s="228"/>
      <c r="G274" s="228"/>
    </row>
    <row r="275">
      <c r="A275" s="227"/>
      <c r="B275" s="227"/>
      <c r="C275" s="227"/>
      <c r="D275" s="227"/>
      <c r="E275" s="227"/>
      <c r="F275" s="228"/>
      <c r="G275" s="228"/>
    </row>
    <row r="276">
      <c r="A276" s="227"/>
      <c r="B276" s="227"/>
      <c r="C276" s="227"/>
      <c r="D276" s="227"/>
      <c r="E276" s="227"/>
      <c r="F276" s="228"/>
      <c r="G276" s="228"/>
    </row>
    <row r="277">
      <c r="A277" s="227"/>
      <c r="B277" s="227"/>
      <c r="C277" s="227"/>
      <c r="D277" s="227"/>
      <c r="E277" s="227"/>
      <c r="F277" s="228"/>
      <c r="G277" s="228"/>
    </row>
    <row r="278">
      <c r="A278" s="227"/>
      <c r="B278" s="227"/>
      <c r="C278" s="227"/>
      <c r="D278" s="227"/>
      <c r="E278" s="227"/>
      <c r="F278" s="228"/>
      <c r="G278" s="228"/>
    </row>
    <row r="279">
      <c r="A279" s="227"/>
      <c r="B279" s="227"/>
      <c r="C279" s="227"/>
      <c r="D279" s="227"/>
      <c r="E279" s="227"/>
      <c r="F279" s="228"/>
      <c r="G279" s="228"/>
    </row>
    <row r="280">
      <c r="A280" s="227"/>
      <c r="B280" s="227"/>
      <c r="C280" s="227"/>
      <c r="D280" s="227"/>
      <c r="E280" s="227"/>
      <c r="F280" s="228"/>
      <c r="G280" s="228"/>
    </row>
    <row r="281">
      <c r="A281" s="227"/>
      <c r="B281" s="227"/>
      <c r="C281" s="227"/>
      <c r="D281" s="227"/>
      <c r="E281" s="227"/>
      <c r="F281" s="228"/>
      <c r="G281" s="228"/>
    </row>
    <row r="282">
      <c r="A282" s="227"/>
      <c r="B282" s="227"/>
      <c r="C282" s="227"/>
      <c r="D282" s="227"/>
      <c r="E282" s="227"/>
      <c r="F282" s="228"/>
      <c r="G282" s="228"/>
    </row>
    <row r="283">
      <c r="A283" s="227"/>
      <c r="B283" s="227"/>
      <c r="C283" s="227"/>
      <c r="D283" s="227"/>
      <c r="E283" s="227"/>
      <c r="F283" s="228"/>
      <c r="G283" s="228"/>
    </row>
    <row r="284">
      <c r="A284" s="227"/>
      <c r="B284" s="227"/>
      <c r="C284" s="227"/>
      <c r="D284" s="227"/>
      <c r="E284" s="227"/>
      <c r="F284" s="228"/>
      <c r="G284" s="228"/>
    </row>
    <row r="285">
      <c r="A285" s="227"/>
      <c r="B285" s="227"/>
      <c r="C285" s="227"/>
      <c r="D285" s="227"/>
      <c r="E285" s="227"/>
      <c r="F285" s="228"/>
      <c r="G285" s="228"/>
    </row>
    <row r="286">
      <c r="A286" s="227"/>
      <c r="B286" s="227"/>
      <c r="C286" s="227"/>
      <c r="D286" s="227"/>
      <c r="E286" s="227"/>
      <c r="F286" s="228"/>
      <c r="G286" s="228"/>
    </row>
    <row r="287">
      <c r="A287" s="227"/>
      <c r="B287" s="227"/>
      <c r="C287" s="227"/>
      <c r="D287" s="227"/>
      <c r="E287" s="227"/>
      <c r="F287" s="228"/>
      <c r="G287" s="228"/>
    </row>
    <row r="288">
      <c r="A288" s="227"/>
      <c r="B288" s="227"/>
      <c r="C288" s="227"/>
      <c r="D288" s="227"/>
      <c r="E288" s="227"/>
      <c r="F288" s="228"/>
      <c r="G288" s="228"/>
    </row>
    <row r="289">
      <c r="A289" s="227"/>
      <c r="B289" s="227"/>
      <c r="C289" s="227"/>
      <c r="D289" s="227"/>
      <c r="E289" s="227"/>
      <c r="F289" s="228"/>
      <c r="G289" s="228"/>
    </row>
    <row r="290">
      <c r="A290" s="227"/>
      <c r="B290" s="227"/>
      <c r="C290" s="227"/>
      <c r="D290" s="227"/>
      <c r="E290" s="227"/>
      <c r="F290" s="228"/>
      <c r="G290" s="228"/>
    </row>
    <row r="291">
      <c r="A291" s="227"/>
      <c r="B291" s="227"/>
      <c r="C291" s="227"/>
      <c r="D291" s="227"/>
      <c r="E291" s="227"/>
      <c r="F291" s="228"/>
      <c r="G291" s="228"/>
    </row>
    <row r="292">
      <c r="A292" s="227"/>
      <c r="B292" s="227"/>
      <c r="C292" s="227"/>
      <c r="D292" s="227"/>
      <c r="E292" s="227"/>
      <c r="F292" s="228"/>
      <c r="G292" s="228"/>
    </row>
    <row r="293">
      <c r="A293" s="227"/>
      <c r="B293" s="227"/>
      <c r="C293" s="227"/>
      <c r="D293" s="227"/>
      <c r="E293" s="227"/>
      <c r="F293" s="228"/>
      <c r="G293" s="228"/>
    </row>
    <row r="294">
      <c r="A294" s="227"/>
      <c r="B294" s="227"/>
      <c r="C294" s="227"/>
      <c r="D294" s="227"/>
      <c r="E294" s="227"/>
      <c r="F294" s="228"/>
      <c r="G294" s="228"/>
    </row>
    <row r="295">
      <c r="A295" s="227"/>
      <c r="B295" s="227"/>
      <c r="C295" s="227"/>
      <c r="D295" s="227"/>
      <c r="E295" s="227"/>
      <c r="F295" s="228"/>
      <c r="G295" s="228"/>
    </row>
    <row r="296">
      <c r="A296" s="227"/>
      <c r="B296" s="227"/>
      <c r="C296" s="227"/>
      <c r="D296" s="227"/>
      <c r="E296" s="227"/>
      <c r="F296" s="228"/>
      <c r="G296" s="228"/>
    </row>
    <row r="297">
      <c r="A297" s="227"/>
      <c r="B297" s="227"/>
      <c r="C297" s="227"/>
      <c r="D297" s="227"/>
      <c r="E297" s="227"/>
      <c r="F297" s="228"/>
      <c r="G297" s="228"/>
    </row>
    <row r="298">
      <c r="A298" s="227"/>
      <c r="B298" s="227"/>
      <c r="C298" s="227"/>
      <c r="D298" s="227"/>
      <c r="E298" s="227"/>
      <c r="F298" s="228"/>
      <c r="G298" s="228"/>
    </row>
    <row r="299">
      <c r="A299" s="227"/>
      <c r="B299" s="227"/>
      <c r="C299" s="227"/>
      <c r="D299" s="227"/>
      <c r="E299" s="227"/>
      <c r="F299" s="228"/>
      <c r="G299" s="228"/>
    </row>
    <row r="300">
      <c r="A300" s="227"/>
      <c r="B300" s="227"/>
      <c r="C300" s="227"/>
      <c r="D300" s="227"/>
      <c r="E300" s="227"/>
      <c r="F300" s="228"/>
      <c r="G300" s="228"/>
    </row>
    <row r="301">
      <c r="A301" s="227"/>
      <c r="B301" s="227"/>
      <c r="C301" s="227"/>
      <c r="D301" s="227"/>
      <c r="E301" s="227"/>
      <c r="F301" s="228"/>
      <c r="G301" s="228"/>
    </row>
    <row r="302">
      <c r="A302" s="227"/>
      <c r="B302" s="227"/>
      <c r="C302" s="227"/>
      <c r="D302" s="227"/>
      <c r="E302" s="227"/>
      <c r="F302" s="228"/>
      <c r="G302" s="228"/>
    </row>
    <row r="303">
      <c r="A303" s="227"/>
      <c r="B303" s="227"/>
      <c r="C303" s="227"/>
      <c r="D303" s="227"/>
      <c r="E303" s="227"/>
      <c r="F303" s="228"/>
      <c r="G303" s="228"/>
    </row>
    <row r="304">
      <c r="A304" s="227"/>
      <c r="B304" s="227"/>
      <c r="C304" s="227"/>
      <c r="D304" s="227"/>
      <c r="E304" s="227"/>
      <c r="F304" s="228"/>
      <c r="G304" s="228"/>
    </row>
    <row r="305">
      <c r="A305" s="227"/>
      <c r="B305" s="227"/>
      <c r="C305" s="227"/>
      <c r="D305" s="227"/>
      <c r="E305" s="227"/>
      <c r="F305" s="228"/>
      <c r="G305" s="228"/>
    </row>
    <row r="306">
      <c r="A306" s="227"/>
      <c r="B306" s="227"/>
      <c r="C306" s="227"/>
      <c r="D306" s="227"/>
      <c r="E306" s="227"/>
      <c r="F306" s="228"/>
      <c r="G306" s="228"/>
    </row>
    <row r="307">
      <c r="A307" s="227"/>
      <c r="B307" s="227"/>
      <c r="C307" s="227"/>
      <c r="D307" s="227"/>
      <c r="E307" s="227"/>
      <c r="F307" s="228"/>
      <c r="G307" s="228"/>
    </row>
    <row r="308">
      <c r="A308" s="227"/>
      <c r="B308" s="227"/>
      <c r="C308" s="227"/>
      <c r="D308" s="227"/>
      <c r="E308" s="227"/>
      <c r="F308" s="228"/>
      <c r="G308" s="228"/>
    </row>
    <row r="309">
      <c r="A309" s="227"/>
      <c r="B309" s="227"/>
      <c r="C309" s="227"/>
      <c r="D309" s="227"/>
      <c r="E309" s="227"/>
      <c r="F309" s="228"/>
      <c r="G309" s="228"/>
    </row>
    <row r="310">
      <c r="A310" s="227"/>
      <c r="B310" s="227"/>
      <c r="C310" s="227"/>
      <c r="D310" s="227"/>
      <c r="E310" s="227"/>
      <c r="F310" s="228"/>
      <c r="G310" s="228"/>
    </row>
    <row r="311">
      <c r="A311" s="227"/>
      <c r="B311" s="227"/>
      <c r="C311" s="227"/>
      <c r="D311" s="227"/>
      <c r="E311" s="227"/>
      <c r="F311" s="228"/>
      <c r="G311" s="228"/>
    </row>
    <row r="312">
      <c r="A312" s="227"/>
      <c r="B312" s="227"/>
      <c r="C312" s="227"/>
      <c r="D312" s="227"/>
      <c r="E312" s="227"/>
      <c r="F312" s="228"/>
      <c r="G312" s="228"/>
    </row>
    <row r="313">
      <c r="A313" s="227"/>
      <c r="B313" s="227"/>
      <c r="C313" s="227"/>
      <c r="D313" s="227"/>
      <c r="E313" s="227"/>
      <c r="F313" s="228"/>
      <c r="G313" s="228"/>
    </row>
    <row r="314">
      <c r="A314" s="227"/>
      <c r="B314" s="227"/>
      <c r="C314" s="227"/>
      <c r="D314" s="227"/>
      <c r="E314" s="227"/>
      <c r="F314" s="228"/>
      <c r="G314" s="228"/>
    </row>
    <row r="315">
      <c r="A315" s="227"/>
      <c r="B315" s="227"/>
      <c r="C315" s="227"/>
      <c r="D315" s="227"/>
      <c r="E315" s="227"/>
      <c r="F315" s="228"/>
      <c r="G315" s="228"/>
    </row>
    <row r="316">
      <c r="A316" s="227"/>
      <c r="B316" s="227"/>
      <c r="C316" s="227"/>
      <c r="D316" s="227"/>
      <c r="E316" s="227"/>
      <c r="F316" s="228"/>
      <c r="G316" s="228"/>
    </row>
    <row r="317">
      <c r="A317" s="227"/>
      <c r="B317" s="227"/>
      <c r="C317" s="227"/>
      <c r="D317" s="227"/>
      <c r="E317" s="227"/>
      <c r="F317" s="228"/>
      <c r="G317" s="228"/>
    </row>
    <row r="318">
      <c r="A318" s="227"/>
      <c r="B318" s="227"/>
      <c r="C318" s="227"/>
      <c r="D318" s="227"/>
      <c r="E318" s="227"/>
      <c r="F318" s="228"/>
      <c r="G318" s="228"/>
    </row>
    <row r="319">
      <c r="A319" s="227"/>
      <c r="B319" s="227"/>
      <c r="C319" s="227"/>
      <c r="D319" s="227"/>
      <c r="E319" s="227"/>
      <c r="F319" s="228"/>
      <c r="G319" s="228"/>
    </row>
    <row r="320">
      <c r="A320" s="227"/>
      <c r="B320" s="227"/>
      <c r="C320" s="227"/>
      <c r="D320" s="227"/>
      <c r="E320" s="227"/>
      <c r="F320" s="228"/>
      <c r="G320" s="228"/>
    </row>
    <row r="321">
      <c r="A321" s="227"/>
      <c r="B321" s="227"/>
      <c r="C321" s="227"/>
      <c r="D321" s="227"/>
      <c r="E321" s="227"/>
      <c r="F321" s="228"/>
      <c r="G321" s="228"/>
    </row>
    <row r="322">
      <c r="A322" s="227"/>
      <c r="B322" s="227"/>
      <c r="C322" s="227"/>
      <c r="D322" s="227"/>
      <c r="E322" s="227"/>
      <c r="F322" s="228"/>
      <c r="G322" s="228"/>
    </row>
    <row r="323">
      <c r="A323" s="227"/>
      <c r="B323" s="227"/>
      <c r="C323" s="227"/>
      <c r="D323" s="227"/>
      <c r="E323" s="227"/>
      <c r="F323" s="228"/>
      <c r="G323" s="228"/>
    </row>
    <row r="324">
      <c r="A324" s="227"/>
      <c r="B324" s="227"/>
      <c r="C324" s="227"/>
      <c r="D324" s="227"/>
      <c r="E324" s="227"/>
      <c r="F324" s="228"/>
      <c r="G324" s="228"/>
    </row>
    <row r="325">
      <c r="A325" s="227"/>
      <c r="B325" s="227"/>
      <c r="C325" s="227"/>
      <c r="D325" s="227"/>
      <c r="E325" s="227"/>
      <c r="F325" s="228"/>
      <c r="G325" s="228"/>
    </row>
    <row r="326">
      <c r="A326" s="227"/>
      <c r="B326" s="227"/>
      <c r="C326" s="227"/>
      <c r="D326" s="227"/>
      <c r="E326" s="227"/>
      <c r="F326" s="228"/>
      <c r="G326" s="228"/>
    </row>
    <row r="327">
      <c r="A327" s="227"/>
      <c r="B327" s="227"/>
      <c r="C327" s="227"/>
      <c r="D327" s="227"/>
      <c r="E327" s="227"/>
      <c r="F327" s="228"/>
      <c r="G327" s="228"/>
    </row>
    <row r="328">
      <c r="A328" s="227"/>
      <c r="B328" s="227"/>
      <c r="C328" s="227"/>
      <c r="D328" s="227"/>
      <c r="E328" s="227"/>
      <c r="F328" s="228"/>
      <c r="G328" s="228"/>
    </row>
    <row r="329">
      <c r="A329" s="227"/>
      <c r="B329" s="227"/>
      <c r="C329" s="227"/>
      <c r="D329" s="227"/>
      <c r="E329" s="227"/>
      <c r="F329" s="228"/>
      <c r="G329" s="228"/>
    </row>
    <row r="330">
      <c r="A330" s="227"/>
      <c r="B330" s="227"/>
      <c r="C330" s="227"/>
      <c r="D330" s="227"/>
      <c r="E330" s="227"/>
      <c r="F330" s="228"/>
      <c r="G330" s="228"/>
    </row>
    <row r="331">
      <c r="A331" s="227"/>
      <c r="B331" s="227"/>
      <c r="C331" s="227"/>
      <c r="D331" s="227"/>
      <c r="E331" s="227"/>
      <c r="F331" s="228"/>
      <c r="G331" s="228"/>
    </row>
    <row r="332">
      <c r="A332" s="227"/>
      <c r="B332" s="227"/>
      <c r="C332" s="227"/>
      <c r="D332" s="227"/>
      <c r="E332" s="227"/>
      <c r="F332" s="228"/>
      <c r="G332" s="228"/>
    </row>
    <row r="333">
      <c r="A333" s="227"/>
      <c r="B333" s="227"/>
      <c r="C333" s="227"/>
      <c r="D333" s="227"/>
      <c r="E333" s="227"/>
      <c r="F333" s="228"/>
      <c r="G333" s="228"/>
    </row>
    <row r="334">
      <c r="A334" s="227"/>
      <c r="B334" s="227"/>
      <c r="C334" s="227"/>
      <c r="D334" s="227"/>
      <c r="E334" s="227"/>
      <c r="F334" s="228"/>
      <c r="G334" s="228"/>
    </row>
    <row r="335">
      <c r="A335" s="227"/>
      <c r="B335" s="227"/>
      <c r="C335" s="227"/>
      <c r="D335" s="227"/>
      <c r="E335" s="227"/>
      <c r="F335" s="228"/>
      <c r="G335" s="228"/>
    </row>
    <row r="336">
      <c r="A336" s="227"/>
      <c r="B336" s="227"/>
      <c r="C336" s="227"/>
      <c r="D336" s="227"/>
      <c r="E336" s="227"/>
      <c r="F336" s="228"/>
      <c r="G336" s="228"/>
    </row>
    <row r="337">
      <c r="A337" s="227"/>
      <c r="B337" s="227"/>
      <c r="C337" s="227"/>
      <c r="D337" s="227"/>
      <c r="E337" s="227"/>
      <c r="F337" s="228"/>
      <c r="G337" s="228"/>
    </row>
    <row r="338">
      <c r="A338" s="227"/>
      <c r="B338" s="227"/>
      <c r="C338" s="227"/>
      <c r="D338" s="227"/>
      <c r="E338" s="227"/>
      <c r="F338" s="228"/>
      <c r="G338" s="228"/>
    </row>
    <row r="339">
      <c r="A339" s="227"/>
      <c r="B339" s="227"/>
      <c r="C339" s="227"/>
      <c r="D339" s="227"/>
      <c r="E339" s="227"/>
      <c r="F339" s="228"/>
      <c r="G339" s="228"/>
    </row>
    <row r="340">
      <c r="A340" s="227"/>
      <c r="B340" s="227"/>
      <c r="C340" s="227"/>
      <c r="D340" s="227"/>
      <c r="E340" s="227"/>
      <c r="F340" s="228"/>
      <c r="G340" s="228"/>
    </row>
    <row r="341">
      <c r="A341" s="227"/>
      <c r="B341" s="227"/>
      <c r="C341" s="227"/>
      <c r="D341" s="227"/>
      <c r="E341" s="227"/>
      <c r="F341" s="228"/>
      <c r="G341" s="228"/>
    </row>
    <row r="342">
      <c r="A342" s="227"/>
      <c r="B342" s="227"/>
      <c r="C342" s="227"/>
      <c r="D342" s="227"/>
      <c r="E342" s="227"/>
      <c r="F342" s="228"/>
      <c r="G342" s="228"/>
    </row>
    <row r="343">
      <c r="A343" s="227"/>
      <c r="B343" s="227"/>
      <c r="C343" s="227"/>
      <c r="D343" s="227"/>
      <c r="E343" s="227"/>
      <c r="F343" s="228"/>
      <c r="G343" s="228"/>
    </row>
    <row r="344">
      <c r="A344" s="227"/>
      <c r="B344" s="227"/>
      <c r="C344" s="227"/>
      <c r="D344" s="227"/>
      <c r="E344" s="227"/>
      <c r="F344" s="228"/>
      <c r="G344" s="228"/>
    </row>
    <row r="345">
      <c r="A345" s="227"/>
      <c r="B345" s="227"/>
      <c r="C345" s="227"/>
      <c r="D345" s="227"/>
      <c r="E345" s="227"/>
      <c r="F345" s="228"/>
      <c r="G345" s="228"/>
    </row>
    <row r="346">
      <c r="A346" s="227"/>
      <c r="B346" s="227"/>
      <c r="C346" s="227"/>
      <c r="D346" s="227"/>
      <c r="E346" s="227"/>
      <c r="F346" s="228"/>
      <c r="G346" s="228"/>
    </row>
    <row r="347">
      <c r="A347" s="227"/>
      <c r="B347" s="227"/>
      <c r="C347" s="227"/>
      <c r="D347" s="227"/>
      <c r="E347" s="227"/>
      <c r="F347" s="228"/>
      <c r="G347" s="228"/>
    </row>
    <row r="348">
      <c r="A348" s="227"/>
      <c r="B348" s="227"/>
      <c r="C348" s="227"/>
      <c r="D348" s="227"/>
      <c r="E348" s="227"/>
      <c r="F348" s="228"/>
      <c r="G348" s="228"/>
    </row>
    <row r="349">
      <c r="A349" s="227"/>
      <c r="B349" s="227"/>
      <c r="C349" s="227"/>
      <c r="D349" s="227"/>
      <c r="E349" s="227"/>
      <c r="F349" s="228"/>
      <c r="G349" s="228"/>
    </row>
    <row r="350">
      <c r="A350" s="227"/>
      <c r="B350" s="227"/>
      <c r="C350" s="227"/>
      <c r="D350" s="227"/>
      <c r="E350" s="227"/>
      <c r="F350" s="228"/>
      <c r="G350" s="228"/>
    </row>
    <row r="351">
      <c r="A351" s="227"/>
      <c r="B351" s="227"/>
      <c r="C351" s="227"/>
      <c r="D351" s="227"/>
      <c r="E351" s="227"/>
      <c r="F351" s="228"/>
      <c r="G351" s="228"/>
    </row>
    <row r="352">
      <c r="A352" s="227"/>
      <c r="B352" s="227"/>
      <c r="C352" s="227"/>
      <c r="D352" s="227"/>
      <c r="E352" s="227"/>
      <c r="F352" s="228"/>
      <c r="G352" s="228"/>
    </row>
    <row r="353">
      <c r="A353" s="227"/>
      <c r="B353" s="227"/>
      <c r="C353" s="227"/>
      <c r="D353" s="227"/>
      <c r="E353" s="227"/>
      <c r="F353" s="228"/>
      <c r="G353" s="228"/>
    </row>
    <row r="354">
      <c r="A354" s="227"/>
      <c r="B354" s="227"/>
      <c r="C354" s="227"/>
      <c r="D354" s="227"/>
      <c r="E354" s="227"/>
      <c r="F354" s="228"/>
      <c r="G354" s="228"/>
    </row>
    <row r="355">
      <c r="A355" s="227"/>
      <c r="B355" s="227"/>
      <c r="C355" s="227"/>
      <c r="D355" s="227"/>
      <c r="E355" s="227"/>
      <c r="F355" s="228"/>
      <c r="G355" s="228"/>
    </row>
    <row r="356">
      <c r="A356" s="227"/>
      <c r="B356" s="227"/>
      <c r="C356" s="227"/>
      <c r="D356" s="227"/>
      <c r="E356" s="227"/>
      <c r="F356" s="228"/>
      <c r="G356" s="228"/>
    </row>
    <row r="357">
      <c r="A357" s="227"/>
      <c r="B357" s="227"/>
      <c r="C357" s="227"/>
      <c r="D357" s="227"/>
      <c r="E357" s="227"/>
      <c r="F357" s="228"/>
      <c r="G357" s="228"/>
    </row>
    <row r="358">
      <c r="A358" s="227"/>
      <c r="B358" s="227"/>
      <c r="C358" s="227"/>
      <c r="D358" s="227"/>
      <c r="E358" s="227"/>
      <c r="F358" s="228"/>
      <c r="G358" s="228"/>
    </row>
    <row r="359">
      <c r="A359" s="227"/>
      <c r="B359" s="227"/>
      <c r="C359" s="227"/>
      <c r="D359" s="227"/>
      <c r="E359" s="227"/>
      <c r="F359" s="228"/>
      <c r="G359" s="228"/>
    </row>
    <row r="360">
      <c r="A360" s="227"/>
      <c r="B360" s="227"/>
      <c r="C360" s="227"/>
      <c r="D360" s="227"/>
      <c r="E360" s="227"/>
      <c r="F360" s="228"/>
      <c r="G360" s="228"/>
    </row>
    <row r="361">
      <c r="A361" s="227"/>
      <c r="B361" s="227"/>
      <c r="C361" s="227"/>
      <c r="D361" s="227"/>
      <c r="E361" s="227"/>
      <c r="F361" s="228"/>
      <c r="G361" s="228"/>
    </row>
    <row r="362">
      <c r="A362" s="227"/>
      <c r="B362" s="227"/>
      <c r="C362" s="227"/>
      <c r="D362" s="227"/>
      <c r="E362" s="227"/>
      <c r="F362" s="228"/>
      <c r="G362" s="228"/>
    </row>
    <row r="363">
      <c r="A363" s="227"/>
      <c r="B363" s="227"/>
      <c r="C363" s="227"/>
      <c r="D363" s="227"/>
      <c r="E363" s="227"/>
      <c r="F363" s="228"/>
      <c r="G363" s="228"/>
    </row>
    <row r="364">
      <c r="A364" s="227"/>
      <c r="B364" s="227"/>
      <c r="C364" s="227"/>
      <c r="D364" s="227"/>
      <c r="E364" s="227"/>
      <c r="F364" s="228"/>
      <c r="G364" s="228"/>
    </row>
    <row r="365">
      <c r="A365" s="227"/>
      <c r="B365" s="227"/>
      <c r="C365" s="227"/>
      <c r="D365" s="227"/>
      <c r="E365" s="227"/>
      <c r="F365" s="228"/>
      <c r="G365" s="228"/>
    </row>
    <row r="366">
      <c r="A366" s="227"/>
      <c r="B366" s="227"/>
      <c r="C366" s="227"/>
      <c r="D366" s="227"/>
      <c r="E366" s="227"/>
      <c r="F366" s="228"/>
      <c r="G366" s="228"/>
    </row>
    <row r="367">
      <c r="A367" s="227"/>
      <c r="B367" s="227"/>
      <c r="C367" s="227"/>
      <c r="D367" s="227"/>
      <c r="E367" s="227"/>
      <c r="F367" s="228"/>
      <c r="G367" s="228"/>
    </row>
    <row r="368">
      <c r="A368" s="227"/>
      <c r="B368" s="227"/>
      <c r="C368" s="227"/>
      <c r="D368" s="227"/>
      <c r="E368" s="227"/>
      <c r="F368" s="228"/>
      <c r="G368" s="228"/>
    </row>
    <row r="369">
      <c r="A369" s="227"/>
      <c r="B369" s="227"/>
      <c r="C369" s="227"/>
      <c r="D369" s="227"/>
      <c r="E369" s="227"/>
      <c r="F369" s="228"/>
      <c r="G369" s="228"/>
    </row>
    <row r="370">
      <c r="A370" s="227"/>
      <c r="B370" s="227"/>
      <c r="C370" s="227"/>
      <c r="D370" s="227"/>
      <c r="E370" s="227"/>
      <c r="F370" s="228"/>
      <c r="G370" s="228"/>
    </row>
    <row r="371">
      <c r="A371" s="227"/>
      <c r="B371" s="227"/>
      <c r="C371" s="227"/>
      <c r="D371" s="227"/>
      <c r="E371" s="227"/>
      <c r="F371" s="228"/>
      <c r="G371" s="228"/>
    </row>
    <row r="372">
      <c r="A372" s="227"/>
      <c r="B372" s="227"/>
      <c r="C372" s="227"/>
      <c r="D372" s="227"/>
      <c r="E372" s="227"/>
      <c r="F372" s="228"/>
      <c r="G372" s="228"/>
    </row>
    <row r="373">
      <c r="A373" s="227"/>
      <c r="B373" s="227"/>
      <c r="C373" s="227"/>
      <c r="D373" s="227"/>
      <c r="E373" s="227"/>
      <c r="F373" s="228"/>
      <c r="G373" s="228"/>
    </row>
    <row r="374">
      <c r="A374" s="227"/>
      <c r="B374" s="227"/>
      <c r="C374" s="227"/>
      <c r="D374" s="227"/>
      <c r="E374" s="227"/>
      <c r="F374" s="228"/>
      <c r="G374" s="228"/>
    </row>
    <row r="375">
      <c r="A375" s="227"/>
      <c r="B375" s="227"/>
      <c r="C375" s="227"/>
      <c r="D375" s="227"/>
      <c r="E375" s="227"/>
      <c r="F375" s="228"/>
      <c r="G375" s="228"/>
    </row>
    <row r="376">
      <c r="A376" s="227"/>
      <c r="B376" s="227"/>
      <c r="C376" s="227"/>
      <c r="D376" s="227"/>
      <c r="E376" s="227"/>
      <c r="F376" s="228"/>
      <c r="G376" s="228"/>
    </row>
    <row r="377">
      <c r="A377" s="227"/>
      <c r="B377" s="227"/>
      <c r="C377" s="227"/>
      <c r="D377" s="227"/>
      <c r="E377" s="227"/>
      <c r="F377" s="228"/>
      <c r="G377" s="228"/>
    </row>
    <row r="378">
      <c r="A378" s="227"/>
      <c r="B378" s="227"/>
      <c r="C378" s="227"/>
      <c r="D378" s="227"/>
      <c r="E378" s="227"/>
      <c r="F378" s="228"/>
      <c r="G378" s="228"/>
    </row>
    <row r="379">
      <c r="A379" s="227"/>
      <c r="B379" s="227"/>
      <c r="C379" s="227"/>
      <c r="D379" s="227"/>
      <c r="E379" s="227"/>
      <c r="F379" s="228"/>
      <c r="G379" s="228"/>
    </row>
    <row r="380">
      <c r="A380" s="227"/>
      <c r="B380" s="227"/>
      <c r="C380" s="227"/>
      <c r="D380" s="227"/>
      <c r="E380" s="227"/>
      <c r="F380" s="228"/>
      <c r="G380" s="228"/>
    </row>
    <row r="381">
      <c r="A381" s="227"/>
      <c r="B381" s="227"/>
      <c r="C381" s="227"/>
      <c r="D381" s="227"/>
      <c r="E381" s="227"/>
      <c r="F381" s="228"/>
      <c r="G381" s="228"/>
    </row>
    <row r="382">
      <c r="A382" s="227"/>
      <c r="B382" s="227"/>
      <c r="C382" s="227"/>
      <c r="D382" s="227"/>
      <c r="E382" s="227"/>
      <c r="F382" s="228"/>
      <c r="G382" s="228"/>
    </row>
    <row r="383">
      <c r="A383" s="227"/>
      <c r="B383" s="227"/>
      <c r="C383" s="227"/>
      <c r="D383" s="227"/>
      <c r="E383" s="227"/>
      <c r="F383" s="228"/>
      <c r="G383" s="228"/>
    </row>
    <row r="384">
      <c r="A384" s="227"/>
      <c r="B384" s="227"/>
      <c r="C384" s="227"/>
      <c r="D384" s="227"/>
      <c r="E384" s="227"/>
      <c r="F384" s="228"/>
      <c r="G384" s="228"/>
    </row>
    <row r="385">
      <c r="A385" s="227"/>
      <c r="B385" s="227"/>
      <c r="C385" s="227"/>
      <c r="D385" s="227"/>
      <c r="E385" s="227"/>
      <c r="F385" s="228"/>
      <c r="G385" s="228"/>
    </row>
    <row r="386">
      <c r="A386" s="227"/>
      <c r="B386" s="227"/>
      <c r="C386" s="227"/>
      <c r="D386" s="227"/>
      <c r="E386" s="227"/>
      <c r="F386" s="228"/>
      <c r="G386" s="228"/>
    </row>
    <row r="387">
      <c r="A387" s="227"/>
      <c r="B387" s="227"/>
      <c r="C387" s="227"/>
      <c r="D387" s="227"/>
      <c r="E387" s="227"/>
      <c r="F387" s="228"/>
      <c r="G387" s="228"/>
    </row>
    <row r="388">
      <c r="A388" s="227"/>
      <c r="B388" s="227"/>
      <c r="C388" s="227"/>
      <c r="D388" s="227"/>
      <c r="E388" s="227"/>
      <c r="F388" s="228"/>
      <c r="G388" s="228"/>
    </row>
    <row r="389">
      <c r="A389" s="227"/>
      <c r="B389" s="227"/>
      <c r="C389" s="227"/>
      <c r="D389" s="227"/>
      <c r="E389" s="227"/>
      <c r="F389" s="228"/>
      <c r="G389" s="228"/>
    </row>
    <row r="390">
      <c r="A390" s="227"/>
      <c r="B390" s="227"/>
      <c r="C390" s="227"/>
      <c r="D390" s="227"/>
      <c r="E390" s="227"/>
      <c r="F390" s="228"/>
      <c r="G390" s="228"/>
    </row>
    <row r="391">
      <c r="A391" s="227"/>
      <c r="B391" s="227"/>
      <c r="C391" s="227"/>
      <c r="D391" s="227"/>
      <c r="E391" s="227"/>
      <c r="F391" s="228"/>
      <c r="G391" s="228"/>
    </row>
    <row r="392">
      <c r="A392" s="227"/>
      <c r="B392" s="227"/>
      <c r="C392" s="227"/>
      <c r="D392" s="227"/>
      <c r="E392" s="227"/>
      <c r="F392" s="228"/>
      <c r="G392" s="228"/>
    </row>
    <row r="393">
      <c r="A393" s="227"/>
      <c r="B393" s="227"/>
      <c r="C393" s="227"/>
      <c r="D393" s="227"/>
      <c r="E393" s="227"/>
      <c r="F393" s="228"/>
      <c r="G393" s="228"/>
    </row>
    <row r="394">
      <c r="A394" s="227"/>
      <c r="B394" s="227"/>
      <c r="C394" s="227"/>
      <c r="D394" s="227"/>
      <c r="E394" s="227"/>
      <c r="F394" s="228"/>
      <c r="G394" s="228"/>
    </row>
    <row r="395">
      <c r="A395" s="227"/>
      <c r="B395" s="227"/>
      <c r="C395" s="227"/>
      <c r="D395" s="227"/>
      <c r="E395" s="227"/>
      <c r="F395" s="228"/>
      <c r="G395" s="228"/>
    </row>
    <row r="396">
      <c r="A396" s="227"/>
      <c r="B396" s="227"/>
      <c r="C396" s="227"/>
      <c r="D396" s="227"/>
      <c r="E396" s="227"/>
      <c r="F396" s="228"/>
      <c r="G396" s="228"/>
    </row>
    <row r="397">
      <c r="A397" s="227"/>
      <c r="B397" s="227"/>
      <c r="C397" s="227"/>
      <c r="D397" s="227"/>
      <c r="E397" s="227"/>
      <c r="F397" s="228"/>
      <c r="G397" s="228"/>
    </row>
    <row r="398">
      <c r="A398" s="227"/>
      <c r="B398" s="227"/>
      <c r="C398" s="227"/>
      <c r="D398" s="227"/>
      <c r="E398" s="227"/>
      <c r="F398" s="228"/>
      <c r="G398" s="228"/>
    </row>
    <row r="399">
      <c r="A399" s="227"/>
      <c r="B399" s="227"/>
      <c r="C399" s="227"/>
      <c r="D399" s="227"/>
      <c r="E399" s="227"/>
      <c r="F399" s="228"/>
      <c r="G399" s="228"/>
    </row>
    <row r="400">
      <c r="A400" s="227"/>
      <c r="B400" s="227"/>
      <c r="C400" s="227"/>
      <c r="D400" s="227"/>
      <c r="E400" s="227"/>
      <c r="F400" s="228"/>
      <c r="G400" s="228"/>
    </row>
    <row r="401">
      <c r="A401" s="227"/>
      <c r="B401" s="227"/>
      <c r="C401" s="227"/>
      <c r="D401" s="227"/>
      <c r="E401" s="227"/>
      <c r="F401" s="228"/>
      <c r="G401" s="228"/>
    </row>
    <row r="402">
      <c r="A402" s="227"/>
      <c r="B402" s="227"/>
      <c r="C402" s="227"/>
      <c r="D402" s="227"/>
      <c r="E402" s="227"/>
      <c r="F402" s="228"/>
      <c r="G402" s="228"/>
    </row>
    <row r="403">
      <c r="A403" s="227"/>
      <c r="B403" s="227"/>
      <c r="C403" s="227"/>
      <c r="D403" s="227"/>
      <c r="E403" s="227"/>
      <c r="F403" s="228"/>
      <c r="G403" s="228"/>
    </row>
    <row r="404">
      <c r="A404" s="227"/>
      <c r="B404" s="227"/>
      <c r="C404" s="227"/>
      <c r="D404" s="227"/>
      <c r="E404" s="227"/>
      <c r="F404" s="228"/>
      <c r="G404" s="228"/>
    </row>
    <row r="405">
      <c r="A405" s="227"/>
      <c r="B405" s="227"/>
      <c r="C405" s="227"/>
      <c r="D405" s="227"/>
      <c r="E405" s="227"/>
      <c r="F405" s="228"/>
      <c r="G405" s="228"/>
    </row>
    <row r="406">
      <c r="A406" s="227"/>
      <c r="B406" s="227"/>
      <c r="C406" s="227"/>
      <c r="D406" s="227"/>
      <c r="E406" s="227"/>
      <c r="F406" s="228"/>
      <c r="G406" s="228"/>
    </row>
    <row r="407">
      <c r="A407" s="227"/>
      <c r="B407" s="227"/>
      <c r="C407" s="227"/>
      <c r="D407" s="227"/>
      <c r="E407" s="227"/>
      <c r="F407" s="228"/>
      <c r="G407" s="228"/>
    </row>
    <row r="408">
      <c r="A408" s="227"/>
      <c r="B408" s="227"/>
      <c r="C408" s="227"/>
      <c r="D408" s="227"/>
      <c r="E408" s="227"/>
      <c r="F408" s="228"/>
      <c r="G408" s="228"/>
    </row>
    <row r="409">
      <c r="A409" s="227"/>
      <c r="B409" s="227"/>
      <c r="C409" s="227"/>
      <c r="D409" s="227"/>
      <c r="E409" s="227"/>
      <c r="F409" s="228"/>
      <c r="G409" s="228"/>
    </row>
    <row r="410">
      <c r="A410" s="227"/>
      <c r="B410" s="227"/>
      <c r="C410" s="227"/>
      <c r="D410" s="227"/>
      <c r="E410" s="227"/>
      <c r="F410" s="228"/>
      <c r="G410" s="228"/>
    </row>
    <row r="411">
      <c r="A411" s="227"/>
      <c r="B411" s="227"/>
      <c r="C411" s="227"/>
      <c r="D411" s="227"/>
      <c r="E411" s="227"/>
      <c r="F411" s="228"/>
      <c r="G411" s="228"/>
    </row>
    <row r="412">
      <c r="A412" s="227"/>
      <c r="B412" s="227"/>
      <c r="C412" s="227"/>
      <c r="D412" s="227"/>
      <c r="E412" s="227"/>
      <c r="F412" s="228"/>
      <c r="G412" s="228"/>
    </row>
    <row r="413">
      <c r="A413" s="227"/>
      <c r="B413" s="227"/>
      <c r="C413" s="227"/>
      <c r="D413" s="227"/>
      <c r="E413" s="227"/>
      <c r="F413" s="228"/>
      <c r="G413" s="228"/>
    </row>
    <row r="414">
      <c r="A414" s="227"/>
      <c r="B414" s="227"/>
      <c r="C414" s="227"/>
      <c r="D414" s="227"/>
      <c r="E414" s="227"/>
      <c r="F414" s="228"/>
      <c r="G414" s="228"/>
    </row>
    <row r="415">
      <c r="A415" s="227"/>
      <c r="B415" s="227"/>
      <c r="C415" s="227"/>
      <c r="D415" s="227"/>
      <c r="E415" s="227"/>
      <c r="F415" s="228"/>
      <c r="G415" s="228"/>
    </row>
    <row r="416">
      <c r="A416" s="227"/>
      <c r="B416" s="227"/>
      <c r="C416" s="227"/>
      <c r="D416" s="227"/>
      <c r="E416" s="227"/>
      <c r="F416" s="228"/>
      <c r="G416" s="228"/>
    </row>
    <row r="417">
      <c r="A417" s="227"/>
      <c r="B417" s="227"/>
      <c r="C417" s="227"/>
      <c r="D417" s="227"/>
      <c r="E417" s="227"/>
      <c r="F417" s="228"/>
      <c r="G417" s="228"/>
    </row>
    <row r="418">
      <c r="A418" s="227"/>
      <c r="B418" s="227"/>
      <c r="C418" s="227"/>
      <c r="D418" s="227"/>
      <c r="E418" s="227"/>
      <c r="F418" s="228"/>
      <c r="G418" s="228"/>
    </row>
    <row r="419">
      <c r="A419" s="227"/>
      <c r="B419" s="227"/>
      <c r="C419" s="227"/>
      <c r="D419" s="227"/>
      <c r="E419" s="227"/>
      <c r="F419" s="228"/>
      <c r="G419" s="228"/>
    </row>
    <row r="420">
      <c r="A420" s="227"/>
      <c r="B420" s="227"/>
      <c r="C420" s="227"/>
      <c r="D420" s="227"/>
      <c r="E420" s="227"/>
      <c r="F420" s="228"/>
      <c r="G420" s="228"/>
    </row>
    <row r="421">
      <c r="A421" s="227"/>
      <c r="B421" s="227"/>
      <c r="C421" s="227"/>
      <c r="D421" s="227"/>
      <c r="E421" s="227"/>
      <c r="F421" s="228"/>
      <c r="G421" s="228"/>
    </row>
    <row r="422">
      <c r="A422" s="227"/>
      <c r="B422" s="227"/>
      <c r="C422" s="227"/>
      <c r="D422" s="227"/>
      <c r="E422" s="227"/>
      <c r="F422" s="228"/>
      <c r="G422" s="228"/>
    </row>
    <row r="423">
      <c r="A423" s="227"/>
      <c r="B423" s="227"/>
      <c r="C423" s="227"/>
      <c r="D423" s="227"/>
      <c r="E423" s="227"/>
      <c r="F423" s="228"/>
      <c r="G423" s="228"/>
    </row>
    <row r="424">
      <c r="A424" s="227"/>
      <c r="B424" s="227"/>
      <c r="C424" s="227"/>
      <c r="D424" s="227"/>
      <c r="E424" s="227"/>
      <c r="F424" s="228"/>
      <c r="G424" s="228"/>
    </row>
    <row r="425">
      <c r="A425" s="227"/>
      <c r="B425" s="227"/>
      <c r="C425" s="227"/>
      <c r="D425" s="227"/>
      <c r="E425" s="227"/>
      <c r="F425" s="228"/>
      <c r="G425" s="228"/>
    </row>
    <row r="426">
      <c r="A426" s="227"/>
      <c r="B426" s="227"/>
      <c r="C426" s="227"/>
      <c r="D426" s="227"/>
      <c r="E426" s="227"/>
      <c r="F426" s="228"/>
      <c r="G426" s="228"/>
    </row>
    <row r="427">
      <c r="A427" s="227"/>
      <c r="B427" s="227"/>
      <c r="C427" s="227"/>
      <c r="D427" s="227"/>
      <c r="E427" s="227"/>
      <c r="F427" s="228"/>
      <c r="G427" s="228"/>
    </row>
    <row r="428">
      <c r="A428" s="227"/>
      <c r="B428" s="227"/>
      <c r="C428" s="227"/>
      <c r="D428" s="227"/>
      <c r="E428" s="227"/>
      <c r="F428" s="228"/>
      <c r="G428" s="228"/>
    </row>
    <row r="429">
      <c r="A429" s="227"/>
      <c r="B429" s="227"/>
      <c r="C429" s="227"/>
      <c r="D429" s="227"/>
      <c r="E429" s="227"/>
      <c r="F429" s="228"/>
      <c r="G429" s="228"/>
    </row>
    <row r="430">
      <c r="A430" s="227"/>
      <c r="B430" s="227"/>
      <c r="C430" s="227"/>
      <c r="D430" s="227"/>
      <c r="E430" s="227"/>
      <c r="F430" s="228"/>
      <c r="G430" s="228"/>
    </row>
    <row r="431">
      <c r="A431" s="227"/>
      <c r="B431" s="227"/>
      <c r="C431" s="227"/>
      <c r="D431" s="227"/>
      <c r="E431" s="227"/>
      <c r="F431" s="228"/>
      <c r="G431" s="228"/>
    </row>
    <row r="432">
      <c r="A432" s="227"/>
      <c r="B432" s="227"/>
      <c r="C432" s="227"/>
      <c r="D432" s="227"/>
      <c r="E432" s="227"/>
      <c r="F432" s="228"/>
      <c r="G432" s="228"/>
    </row>
    <row r="433">
      <c r="A433" s="227"/>
      <c r="B433" s="227"/>
      <c r="C433" s="227"/>
      <c r="D433" s="227"/>
      <c r="E433" s="227"/>
      <c r="F433" s="228"/>
      <c r="G433" s="228"/>
    </row>
    <row r="434">
      <c r="A434" s="227"/>
      <c r="B434" s="227"/>
      <c r="C434" s="227"/>
      <c r="D434" s="227"/>
      <c r="E434" s="227"/>
      <c r="F434" s="228"/>
      <c r="G434" s="228"/>
    </row>
    <row r="435">
      <c r="A435" s="227"/>
      <c r="B435" s="227"/>
      <c r="C435" s="227"/>
      <c r="D435" s="227"/>
      <c r="E435" s="227"/>
      <c r="F435" s="228"/>
      <c r="G435" s="228"/>
    </row>
    <row r="436">
      <c r="A436" s="227"/>
      <c r="B436" s="227"/>
      <c r="C436" s="227"/>
      <c r="D436" s="227"/>
      <c r="E436" s="227"/>
      <c r="F436" s="228"/>
      <c r="G436" s="228"/>
    </row>
    <row r="437">
      <c r="A437" s="227"/>
      <c r="B437" s="227"/>
      <c r="C437" s="227"/>
      <c r="D437" s="227"/>
      <c r="E437" s="227"/>
      <c r="F437" s="228"/>
      <c r="G437" s="228"/>
    </row>
    <row r="438">
      <c r="A438" s="227"/>
      <c r="B438" s="227"/>
      <c r="C438" s="227"/>
      <c r="D438" s="227"/>
      <c r="E438" s="227"/>
      <c r="F438" s="228"/>
      <c r="G438" s="228"/>
    </row>
    <row r="439">
      <c r="A439" s="227"/>
      <c r="B439" s="227"/>
      <c r="C439" s="227"/>
      <c r="D439" s="227"/>
      <c r="E439" s="227"/>
      <c r="F439" s="228"/>
      <c r="G439" s="228"/>
    </row>
    <row r="440">
      <c r="A440" s="227"/>
      <c r="B440" s="227"/>
      <c r="C440" s="227"/>
      <c r="D440" s="227"/>
      <c r="E440" s="227"/>
      <c r="F440" s="228"/>
      <c r="G440" s="228"/>
    </row>
    <row r="441">
      <c r="A441" s="227"/>
      <c r="B441" s="227"/>
      <c r="C441" s="227"/>
      <c r="D441" s="227"/>
      <c r="E441" s="227"/>
      <c r="F441" s="228"/>
      <c r="G441" s="228"/>
    </row>
    <row r="442">
      <c r="A442" s="227"/>
      <c r="B442" s="227"/>
      <c r="C442" s="227"/>
      <c r="D442" s="227"/>
      <c r="E442" s="227"/>
      <c r="F442" s="228"/>
      <c r="G442" s="228"/>
    </row>
    <row r="443">
      <c r="A443" s="227"/>
      <c r="B443" s="227"/>
      <c r="C443" s="227"/>
      <c r="D443" s="227"/>
      <c r="E443" s="227"/>
      <c r="F443" s="228"/>
      <c r="G443" s="228"/>
    </row>
    <row r="444">
      <c r="A444" s="227"/>
      <c r="B444" s="227"/>
      <c r="C444" s="227"/>
      <c r="D444" s="227"/>
      <c r="E444" s="227"/>
      <c r="F444" s="228"/>
      <c r="G444" s="228"/>
    </row>
    <row r="445">
      <c r="A445" s="227"/>
      <c r="B445" s="227"/>
      <c r="C445" s="227"/>
      <c r="D445" s="227"/>
      <c r="E445" s="227"/>
      <c r="F445" s="228"/>
      <c r="G445" s="228"/>
    </row>
    <row r="446">
      <c r="A446" s="227"/>
      <c r="B446" s="227"/>
      <c r="C446" s="227"/>
      <c r="D446" s="227"/>
      <c r="E446" s="227"/>
      <c r="F446" s="228"/>
      <c r="G446" s="228"/>
    </row>
    <row r="447">
      <c r="A447" s="227"/>
      <c r="B447" s="227"/>
      <c r="C447" s="227"/>
      <c r="D447" s="227"/>
      <c r="E447" s="227"/>
      <c r="F447" s="228"/>
      <c r="G447" s="228"/>
    </row>
    <row r="448">
      <c r="A448" s="227"/>
      <c r="B448" s="227"/>
      <c r="C448" s="227"/>
      <c r="D448" s="227"/>
      <c r="E448" s="227"/>
      <c r="F448" s="228"/>
      <c r="G448" s="228"/>
    </row>
    <row r="449">
      <c r="A449" s="227"/>
      <c r="B449" s="227"/>
      <c r="C449" s="227"/>
      <c r="D449" s="227"/>
      <c r="E449" s="227"/>
      <c r="F449" s="228"/>
      <c r="G449" s="228"/>
    </row>
    <row r="450">
      <c r="A450" s="227"/>
      <c r="B450" s="227"/>
      <c r="C450" s="227"/>
      <c r="D450" s="227"/>
      <c r="E450" s="227"/>
      <c r="F450" s="228"/>
      <c r="G450" s="228"/>
    </row>
    <row r="451">
      <c r="A451" s="227"/>
      <c r="B451" s="227"/>
      <c r="C451" s="227"/>
      <c r="D451" s="227"/>
      <c r="E451" s="227"/>
      <c r="F451" s="228"/>
      <c r="G451" s="228"/>
    </row>
    <row r="452">
      <c r="A452" s="227"/>
      <c r="B452" s="227"/>
      <c r="C452" s="227"/>
      <c r="D452" s="227"/>
      <c r="E452" s="227"/>
      <c r="F452" s="228"/>
      <c r="G452" s="228"/>
    </row>
    <row r="453">
      <c r="A453" s="227"/>
      <c r="B453" s="227"/>
      <c r="C453" s="227"/>
      <c r="D453" s="227"/>
      <c r="E453" s="227"/>
      <c r="F453" s="228"/>
      <c r="G453" s="228"/>
    </row>
    <row r="454">
      <c r="A454" s="227"/>
      <c r="B454" s="227"/>
      <c r="C454" s="227"/>
      <c r="D454" s="227"/>
      <c r="E454" s="227"/>
      <c r="F454" s="228"/>
      <c r="G454" s="228"/>
    </row>
    <row r="455">
      <c r="A455" s="227"/>
      <c r="B455" s="227"/>
      <c r="C455" s="227"/>
      <c r="D455" s="227"/>
      <c r="E455" s="227"/>
      <c r="F455" s="228"/>
      <c r="G455" s="228"/>
    </row>
    <row r="456">
      <c r="A456" s="227"/>
      <c r="B456" s="227"/>
      <c r="C456" s="227"/>
      <c r="D456" s="227"/>
      <c r="E456" s="227"/>
      <c r="F456" s="228"/>
      <c r="G456" s="228"/>
    </row>
    <row r="457">
      <c r="A457" s="227"/>
      <c r="B457" s="227"/>
      <c r="C457" s="227"/>
      <c r="D457" s="227"/>
      <c r="E457" s="227"/>
      <c r="F457" s="228"/>
      <c r="G457" s="228"/>
    </row>
    <row r="458">
      <c r="A458" s="227"/>
      <c r="B458" s="227"/>
      <c r="C458" s="227"/>
      <c r="D458" s="227"/>
      <c r="E458" s="227"/>
      <c r="F458" s="228"/>
      <c r="G458" s="228"/>
    </row>
    <row r="459">
      <c r="A459" s="227"/>
      <c r="B459" s="227"/>
      <c r="C459" s="227"/>
      <c r="D459" s="227"/>
      <c r="E459" s="227"/>
      <c r="F459" s="228"/>
      <c r="G459" s="228"/>
    </row>
    <row r="460">
      <c r="A460" s="227"/>
      <c r="B460" s="227"/>
      <c r="C460" s="227"/>
      <c r="D460" s="227"/>
      <c r="E460" s="227"/>
      <c r="F460" s="228"/>
      <c r="G460" s="228"/>
    </row>
    <row r="461">
      <c r="A461" s="227"/>
      <c r="B461" s="227"/>
      <c r="C461" s="227"/>
      <c r="D461" s="227"/>
      <c r="E461" s="227"/>
      <c r="F461" s="228"/>
      <c r="G461" s="228"/>
    </row>
    <row r="462">
      <c r="A462" s="227"/>
      <c r="B462" s="227"/>
      <c r="C462" s="227"/>
      <c r="D462" s="227"/>
      <c r="E462" s="227"/>
      <c r="F462" s="228"/>
      <c r="G462" s="228"/>
    </row>
    <row r="463">
      <c r="A463" s="227"/>
      <c r="B463" s="227"/>
      <c r="C463" s="227"/>
      <c r="D463" s="227"/>
      <c r="E463" s="227"/>
      <c r="F463" s="228"/>
      <c r="G463" s="228"/>
    </row>
    <row r="464">
      <c r="A464" s="227"/>
      <c r="B464" s="227"/>
      <c r="C464" s="227"/>
      <c r="D464" s="227"/>
      <c r="E464" s="227"/>
      <c r="F464" s="228"/>
      <c r="G464" s="228"/>
    </row>
    <row r="465">
      <c r="A465" s="227"/>
      <c r="B465" s="227"/>
      <c r="C465" s="227"/>
      <c r="D465" s="227"/>
      <c r="E465" s="227"/>
      <c r="F465" s="228"/>
      <c r="G465" s="228"/>
    </row>
    <row r="466">
      <c r="A466" s="227"/>
      <c r="B466" s="227"/>
      <c r="C466" s="227"/>
      <c r="D466" s="227"/>
      <c r="E466" s="227"/>
      <c r="F466" s="228"/>
      <c r="G466" s="228"/>
    </row>
    <row r="467">
      <c r="A467" s="227"/>
      <c r="B467" s="227"/>
      <c r="C467" s="227"/>
      <c r="D467" s="227"/>
      <c r="E467" s="227"/>
      <c r="F467" s="228"/>
      <c r="G467" s="228"/>
    </row>
    <row r="468">
      <c r="A468" s="227"/>
      <c r="B468" s="227"/>
      <c r="C468" s="227"/>
      <c r="D468" s="227"/>
      <c r="E468" s="227"/>
      <c r="F468" s="228"/>
      <c r="G468" s="228"/>
    </row>
    <row r="469">
      <c r="A469" s="227"/>
      <c r="B469" s="227"/>
      <c r="C469" s="227"/>
      <c r="D469" s="227"/>
      <c r="E469" s="227"/>
      <c r="F469" s="228"/>
      <c r="G469" s="228"/>
    </row>
    <row r="470">
      <c r="A470" s="227"/>
      <c r="B470" s="227"/>
      <c r="C470" s="227"/>
      <c r="D470" s="227"/>
      <c r="E470" s="227"/>
      <c r="F470" s="228"/>
      <c r="G470" s="228"/>
    </row>
    <row r="471">
      <c r="A471" s="227"/>
      <c r="B471" s="227"/>
      <c r="C471" s="227"/>
      <c r="D471" s="227"/>
      <c r="E471" s="227"/>
      <c r="F471" s="228"/>
      <c r="G471" s="228"/>
    </row>
    <row r="472">
      <c r="A472" s="227"/>
      <c r="B472" s="227"/>
      <c r="C472" s="227"/>
      <c r="D472" s="227"/>
      <c r="E472" s="227"/>
      <c r="F472" s="228"/>
      <c r="G472" s="228"/>
    </row>
    <row r="473">
      <c r="A473" s="227"/>
      <c r="B473" s="227"/>
      <c r="C473" s="227"/>
      <c r="D473" s="227"/>
      <c r="E473" s="227"/>
      <c r="F473" s="228"/>
      <c r="G473" s="228"/>
    </row>
    <row r="474">
      <c r="A474" s="227"/>
      <c r="B474" s="227"/>
      <c r="C474" s="227"/>
      <c r="D474" s="227"/>
      <c r="E474" s="227"/>
      <c r="F474" s="228"/>
      <c r="G474" s="228"/>
    </row>
    <row r="475">
      <c r="A475" s="227"/>
      <c r="B475" s="227"/>
      <c r="C475" s="227"/>
      <c r="D475" s="227"/>
      <c r="E475" s="227"/>
      <c r="F475" s="228"/>
      <c r="G475" s="228"/>
    </row>
    <row r="476">
      <c r="A476" s="227"/>
      <c r="B476" s="227"/>
      <c r="C476" s="227"/>
      <c r="D476" s="227"/>
      <c r="E476" s="227"/>
      <c r="F476" s="228"/>
      <c r="G476" s="228"/>
    </row>
    <row r="477">
      <c r="A477" s="227"/>
      <c r="B477" s="227"/>
      <c r="C477" s="227"/>
      <c r="D477" s="227"/>
      <c r="E477" s="227"/>
      <c r="F477" s="228"/>
      <c r="G477" s="228"/>
    </row>
    <row r="478">
      <c r="A478" s="227"/>
      <c r="B478" s="227"/>
      <c r="C478" s="227"/>
      <c r="D478" s="227"/>
      <c r="E478" s="227"/>
      <c r="F478" s="228"/>
      <c r="G478" s="228"/>
    </row>
    <row r="479">
      <c r="A479" s="227"/>
      <c r="B479" s="227"/>
      <c r="C479" s="227"/>
      <c r="D479" s="227"/>
      <c r="E479" s="227"/>
      <c r="F479" s="228"/>
      <c r="G479" s="228"/>
    </row>
    <row r="480">
      <c r="A480" s="227"/>
      <c r="B480" s="227"/>
      <c r="C480" s="227"/>
      <c r="D480" s="227"/>
      <c r="E480" s="227"/>
      <c r="F480" s="228"/>
      <c r="G480" s="228"/>
    </row>
    <row r="481">
      <c r="A481" s="227"/>
      <c r="B481" s="227"/>
      <c r="C481" s="227"/>
      <c r="D481" s="227"/>
      <c r="E481" s="227"/>
      <c r="F481" s="228"/>
      <c r="G481" s="228"/>
    </row>
    <row r="482">
      <c r="A482" s="227"/>
      <c r="B482" s="227"/>
      <c r="C482" s="227"/>
      <c r="D482" s="227"/>
      <c r="E482" s="227"/>
      <c r="F482" s="228"/>
      <c r="G482" s="228"/>
    </row>
    <row r="483">
      <c r="A483" s="227"/>
      <c r="B483" s="227"/>
      <c r="C483" s="227"/>
      <c r="D483" s="227"/>
      <c r="E483" s="227"/>
      <c r="F483" s="228"/>
      <c r="G483" s="228"/>
    </row>
    <row r="484">
      <c r="A484" s="227"/>
      <c r="B484" s="227"/>
      <c r="C484" s="227"/>
      <c r="D484" s="227"/>
      <c r="E484" s="227"/>
      <c r="F484" s="228"/>
      <c r="G484" s="228"/>
    </row>
    <row r="485">
      <c r="A485" s="227"/>
      <c r="B485" s="227"/>
      <c r="C485" s="227"/>
      <c r="D485" s="227"/>
      <c r="E485" s="227"/>
      <c r="F485" s="228"/>
      <c r="G485" s="228"/>
    </row>
    <row r="486">
      <c r="A486" s="227"/>
      <c r="B486" s="227"/>
      <c r="C486" s="227"/>
      <c r="D486" s="227"/>
      <c r="E486" s="227"/>
      <c r="F486" s="228"/>
      <c r="G486" s="228"/>
    </row>
    <row r="487">
      <c r="A487" s="227"/>
      <c r="B487" s="227"/>
      <c r="C487" s="227"/>
      <c r="D487" s="227"/>
      <c r="E487" s="227"/>
      <c r="F487" s="228"/>
      <c r="G487" s="228"/>
    </row>
    <row r="488">
      <c r="A488" s="227"/>
      <c r="B488" s="227"/>
      <c r="C488" s="227"/>
      <c r="D488" s="227"/>
      <c r="E488" s="227"/>
      <c r="F488" s="228"/>
      <c r="G488" s="228"/>
    </row>
    <row r="489">
      <c r="A489" s="227"/>
      <c r="B489" s="227"/>
      <c r="C489" s="227"/>
      <c r="D489" s="227"/>
      <c r="E489" s="227"/>
      <c r="F489" s="228"/>
      <c r="G489" s="228"/>
    </row>
    <row r="490">
      <c r="A490" s="227"/>
      <c r="B490" s="227"/>
      <c r="C490" s="227"/>
      <c r="D490" s="227"/>
      <c r="E490" s="227"/>
      <c r="F490" s="228"/>
      <c r="G490" s="228"/>
    </row>
    <row r="491">
      <c r="A491" s="227"/>
      <c r="B491" s="227"/>
      <c r="C491" s="227"/>
      <c r="D491" s="227"/>
      <c r="E491" s="227"/>
      <c r="F491" s="228"/>
      <c r="G491" s="228"/>
    </row>
    <row r="492">
      <c r="A492" s="227"/>
      <c r="B492" s="227"/>
      <c r="C492" s="227"/>
      <c r="D492" s="227"/>
      <c r="E492" s="227"/>
      <c r="F492" s="228"/>
      <c r="G492" s="228"/>
    </row>
    <row r="493">
      <c r="A493" s="227"/>
      <c r="B493" s="227"/>
      <c r="C493" s="227"/>
      <c r="D493" s="227"/>
      <c r="E493" s="227"/>
      <c r="F493" s="228"/>
      <c r="G493" s="228"/>
    </row>
    <row r="494">
      <c r="A494" s="227"/>
      <c r="B494" s="227"/>
      <c r="C494" s="227"/>
      <c r="D494" s="227"/>
      <c r="E494" s="227"/>
      <c r="F494" s="228"/>
      <c r="G494" s="228"/>
    </row>
    <row r="495">
      <c r="A495" s="227"/>
      <c r="B495" s="227"/>
      <c r="C495" s="227"/>
      <c r="D495" s="227"/>
      <c r="E495" s="227"/>
      <c r="F495" s="228"/>
      <c r="G495" s="228"/>
    </row>
    <row r="496">
      <c r="A496" s="227"/>
      <c r="B496" s="227"/>
      <c r="C496" s="227"/>
      <c r="D496" s="227"/>
      <c r="E496" s="227"/>
      <c r="F496" s="228"/>
      <c r="G496" s="228"/>
    </row>
    <row r="497">
      <c r="A497" s="227"/>
      <c r="B497" s="227"/>
      <c r="C497" s="227"/>
      <c r="D497" s="227"/>
      <c r="E497" s="227"/>
      <c r="F497" s="228"/>
      <c r="G497" s="228"/>
    </row>
    <row r="498">
      <c r="A498" s="227"/>
      <c r="B498" s="227"/>
      <c r="C498" s="227"/>
      <c r="D498" s="227"/>
      <c r="E498" s="227"/>
      <c r="F498" s="228"/>
      <c r="G498" s="228"/>
    </row>
    <row r="499">
      <c r="A499" s="227"/>
      <c r="B499" s="227"/>
      <c r="C499" s="227"/>
      <c r="D499" s="227"/>
      <c r="E499" s="227"/>
      <c r="F499" s="228"/>
      <c r="G499" s="228"/>
    </row>
    <row r="500">
      <c r="A500" s="227"/>
      <c r="B500" s="227"/>
      <c r="C500" s="227"/>
      <c r="D500" s="227"/>
      <c r="E500" s="227"/>
      <c r="F500" s="228"/>
      <c r="G500" s="228"/>
    </row>
    <row r="501">
      <c r="A501" s="227"/>
      <c r="B501" s="227"/>
      <c r="C501" s="227"/>
      <c r="D501" s="227"/>
      <c r="E501" s="227"/>
      <c r="F501" s="228"/>
      <c r="G501" s="228"/>
    </row>
    <row r="502">
      <c r="A502" s="227"/>
      <c r="B502" s="227"/>
      <c r="C502" s="227"/>
      <c r="D502" s="227"/>
      <c r="E502" s="227"/>
      <c r="F502" s="228"/>
      <c r="G502" s="228"/>
    </row>
    <row r="503">
      <c r="A503" s="227"/>
      <c r="B503" s="227"/>
      <c r="C503" s="227"/>
      <c r="D503" s="227"/>
      <c r="E503" s="227"/>
      <c r="F503" s="228"/>
      <c r="G503" s="228"/>
    </row>
    <row r="504">
      <c r="A504" s="227"/>
      <c r="B504" s="227"/>
      <c r="C504" s="227"/>
      <c r="D504" s="227"/>
      <c r="E504" s="227"/>
      <c r="F504" s="228"/>
      <c r="G504" s="228"/>
    </row>
    <row r="505">
      <c r="A505" s="227"/>
      <c r="B505" s="227"/>
      <c r="C505" s="227"/>
      <c r="D505" s="227"/>
      <c r="E505" s="227"/>
      <c r="F505" s="228"/>
      <c r="G505" s="228"/>
    </row>
    <row r="506">
      <c r="A506" s="227"/>
      <c r="B506" s="227"/>
      <c r="C506" s="227"/>
      <c r="D506" s="227"/>
      <c r="E506" s="227"/>
      <c r="F506" s="228"/>
      <c r="G506" s="228"/>
    </row>
    <row r="507">
      <c r="A507" s="227"/>
      <c r="B507" s="227"/>
      <c r="C507" s="227"/>
      <c r="D507" s="227"/>
      <c r="E507" s="227"/>
      <c r="F507" s="228"/>
      <c r="G507" s="228"/>
    </row>
    <row r="508">
      <c r="A508" s="227"/>
      <c r="B508" s="227"/>
      <c r="C508" s="227"/>
      <c r="D508" s="227"/>
      <c r="E508" s="227"/>
      <c r="F508" s="228"/>
      <c r="G508" s="228"/>
    </row>
    <row r="509">
      <c r="A509" s="227"/>
      <c r="B509" s="227"/>
      <c r="C509" s="227"/>
      <c r="D509" s="227"/>
      <c r="E509" s="227"/>
      <c r="F509" s="228"/>
      <c r="G509" s="228"/>
    </row>
    <row r="510">
      <c r="A510" s="227"/>
      <c r="B510" s="227"/>
      <c r="C510" s="227"/>
      <c r="D510" s="227"/>
      <c r="E510" s="227"/>
      <c r="F510" s="228"/>
      <c r="G510" s="228"/>
    </row>
    <row r="511">
      <c r="A511" s="227"/>
      <c r="B511" s="227"/>
      <c r="C511" s="227"/>
      <c r="D511" s="227"/>
      <c r="E511" s="227"/>
      <c r="F511" s="228"/>
      <c r="G511" s="228"/>
    </row>
    <row r="512">
      <c r="A512" s="227"/>
      <c r="B512" s="227"/>
      <c r="C512" s="227"/>
      <c r="D512" s="227"/>
      <c r="E512" s="227"/>
      <c r="F512" s="228"/>
      <c r="G512" s="228"/>
    </row>
    <row r="513">
      <c r="A513" s="227"/>
      <c r="B513" s="227"/>
      <c r="C513" s="227"/>
      <c r="D513" s="227"/>
      <c r="E513" s="227"/>
      <c r="F513" s="228"/>
      <c r="G513" s="228"/>
    </row>
    <row r="514">
      <c r="A514" s="227"/>
      <c r="B514" s="227"/>
      <c r="C514" s="227"/>
      <c r="D514" s="227"/>
      <c r="E514" s="227"/>
      <c r="F514" s="228"/>
      <c r="G514" s="228"/>
    </row>
    <row r="515">
      <c r="A515" s="227"/>
      <c r="B515" s="227"/>
      <c r="C515" s="227"/>
      <c r="D515" s="227"/>
      <c r="E515" s="227"/>
      <c r="F515" s="228"/>
      <c r="G515" s="228"/>
    </row>
    <row r="516">
      <c r="A516" s="227"/>
      <c r="B516" s="227"/>
      <c r="C516" s="227"/>
      <c r="D516" s="227"/>
      <c r="E516" s="227"/>
      <c r="F516" s="228"/>
      <c r="G516" s="228"/>
    </row>
    <row r="517">
      <c r="A517" s="227"/>
      <c r="B517" s="227"/>
      <c r="C517" s="227"/>
      <c r="D517" s="227"/>
      <c r="E517" s="227"/>
      <c r="F517" s="228"/>
      <c r="G517" s="228"/>
    </row>
    <row r="518">
      <c r="A518" s="227"/>
      <c r="B518" s="227"/>
      <c r="C518" s="227"/>
      <c r="D518" s="227"/>
      <c r="E518" s="227"/>
      <c r="F518" s="228"/>
      <c r="G518" s="228"/>
    </row>
    <row r="519">
      <c r="A519" s="227"/>
      <c r="B519" s="227"/>
      <c r="C519" s="227"/>
      <c r="D519" s="227"/>
      <c r="E519" s="227"/>
      <c r="F519" s="228"/>
      <c r="G519" s="228"/>
    </row>
    <row r="520">
      <c r="A520" s="227"/>
      <c r="B520" s="227"/>
      <c r="C520" s="227"/>
      <c r="D520" s="227"/>
      <c r="E520" s="227"/>
      <c r="F520" s="228"/>
      <c r="G520" s="228"/>
    </row>
    <row r="521">
      <c r="A521" s="227"/>
      <c r="B521" s="227"/>
      <c r="C521" s="227"/>
      <c r="D521" s="227"/>
      <c r="E521" s="227"/>
      <c r="F521" s="228"/>
      <c r="G521" s="228"/>
    </row>
    <row r="522">
      <c r="A522" s="227"/>
      <c r="B522" s="227"/>
      <c r="C522" s="227"/>
      <c r="D522" s="227"/>
      <c r="E522" s="227"/>
      <c r="F522" s="228"/>
      <c r="G522" s="228"/>
    </row>
    <row r="523">
      <c r="A523" s="227"/>
      <c r="B523" s="227"/>
      <c r="C523" s="227"/>
      <c r="D523" s="227"/>
      <c r="E523" s="227"/>
      <c r="F523" s="228"/>
      <c r="G523" s="228"/>
    </row>
    <row r="524">
      <c r="A524" s="227"/>
      <c r="B524" s="227"/>
      <c r="C524" s="227"/>
      <c r="D524" s="227"/>
      <c r="E524" s="227"/>
      <c r="F524" s="228"/>
      <c r="G524" s="228"/>
    </row>
    <row r="525">
      <c r="A525" s="227"/>
      <c r="B525" s="227"/>
      <c r="C525" s="227"/>
      <c r="D525" s="227"/>
      <c r="E525" s="227"/>
      <c r="F525" s="228"/>
      <c r="G525" s="228"/>
    </row>
    <row r="526">
      <c r="A526" s="227"/>
      <c r="B526" s="227"/>
      <c r="C526" s="227"/>
      <c r="D526" s="227"/>
      <c r="E526" s="227"/>
      <c r="F526" s="228"/>
      <c r="G526" s="228"/>
    </row>
    <row r="527">
      <c r="A527" s="227"/>
      <c r="B527" s="227"/>
      <c r="C527" s="227"/>
      <c r="D527" s="227"/>
      <c r="E527" s="227"/>
      <c r="F527" s="228"/>
      <c r="G527" s="228"/>
    </row>
    <row r="528">
      <c r="A528" s="227"/>
      <c r="B528" s="227"/>
      <c r="C528" s="227"/>
      <c r="D528" s="227"/>
      <c r="E528" s="227"/>
      <c r="F528" s="228"/>
      <c r="G528" s="228"/>
    </row>
    <row r="529">
      <c r="A529" s="227"/>
      <c r="B529" s="227"/>
      <c r="C529" s="227"/>
      <c r="D529" s="227"/>
      <c r="E529" s="227"/>
      <c r="F529" s="228"/>
      <c r="G529" s="228"/>
    </row>
    <row r="530">
      <c r="A530" s="227"/>
      <c r="B530" s="227"/>
      <c r="C530" s="227"/>
      <c r="D530" s="227"/>
      <c r="E530" s="227"/>
      <c r="F530" s="228"/>
      <c r="G530" s="228"/>
    </row>
    <row r="531">
      <c r="A531" s="227"/>
      <c r="B531" s="227"/>
      <c r="C531" s="227"/>
      <c r="D531" s="227"/>
      <c r="E531" s="227"/>
      <c r="F531" s="228"/>
      <c r="G531" s="228"/>
    </row>
    <row r="532">
      <c r="A532" s="227"/>
      <c r="B532" s="227"/>
      <c r="C532" s="227"/>
      <c r="D532" s="227"/>
      <c r="E532" s="227"/>
      <c r="F532" s="228"/>
      <c r="G532" s="228"/>
    </row>
    <row r="533">
      <c r="A533" s="227"/>
      <c r="B533" s="227"/>
      <c r="C533" s="227"/>
      <c r="D533" s="227"/>
      <c r="E533" s="227"/>
      <c r="F533" s="228"/>
      <c r="G533" s="228"/>
    </row>
    <row r="534">
      <c r="A534" s="227"/>
      <c r="B534" s="227"/>
      <c r="C534" s="227"/>
      <c r="D534" s="227"/>
      <c r="E534" s="227"/>
      <c r="F534" s="228"/>
      <c r="G534" s="228"/>
    </row>
    <row r="535">
      <c r="A535" s="227"/>
      <c r="B535" s="227"/>
      <c r="C535" s="227"/>
      <c r="D535" s="227"/>
      <c r="E535" s="227"/>
      <c r="F535" s="228"/>
      <c r="G535" s="228"/>
    </row>
    <row r="536">
      <c r="A536" s="227"/>
      <c r="B536" s="227"/>
      <c r="C536" s="227"/>
      <c r="D536" s="227"/>
      <c r="E536" s="227"/>
      <c r="F536" s="228"/>
      <c r="G536" s="228"/>
    </row>
    <row r="537">
      <c r="A537" s="227"/>
      <c r="B537" s="227"/>
      <c r="C537" s="227"/>
      <c r="D537" s="227"/>
      <c r="E537" s="227"/>
      <c r="F537" s="228"/>
      <c r="G537" s="228"/>
    </row>
    <row r="538">
      <c r="A538" s="227"/>
      <c r="B538" s="227"/>
      <c r="C538" s="227"/>
      <c r="D538" s="227"/>
      <c r="E538" s="227"/>
      <c r="F538" s="228"/>
      <c r="G538" s="228"/>
    </row>
    <row r="539">
      <c r="A539" s="227"/>
      <c r="B539" s="227"/>
      <c r="C539" s="227"/>
      <c r="D539" s="227"/>
      <c r="E539" s="227"/>
      <c r="F539" s="228"/>
      <c r="G539" s="228"/>
    </row>
    <row r="540">
      <c r="A540" s="227"/>
      <c r="B540" s="227"/>
      <c r="C540" s="227"/>
      <c r="D540" s="227"/>
      <c r="E540" s="227"/>
      <c r="F540" s="228"/>
      <c r="G540" s="228"/>
    </row>
    <row r="541">
      <c r="A541" s="227"/>
      <c r="B541" s="227"/>
      <c r="C541" s="227"/>
      <c r="D541" s="227"/>
      <c r="E541" s="227"/>
      <c r="F541" s="228"/>
      <c r="G541" s="228"/>
    </row>
    <row r="542">
      <c r="A542" s="227"/>
      <c r="B542" s="227"/>
      <c r="C542" s="227"/>
      <c r="D542" s="227"/>
      <c r="E542" s="227"/>
      <c r="F542" s="228"/>
      <c r="G542" s="228"/>
    </row>
    <row r="543">
      <c r="A543" s="227"/>
      <c r="B543" s="227"/>
      <c r="C543" s="227"/>
      <c r="D543" s="227"/>
      <c r="E543" s="227"/>
      <c r="F543" s="228"/>
      <c r="G543" s="228"/>
    </row>
    <row r="544">
      <c r="A544" s="227"/>
      <c r="B544" s="227"/>
      <c r="C544" s="227"/>
      <c r="D544" s="227"/>
      <c r="E544" s="227"/>
      <c r="F544" s="228"/>
      <c r="G544" s="228"/>
    </row>
    <row r="545">
      <c r="A545" s="227"/>
      <c r="B545" s="227"/>
      <c r="C545" s="227"/>
      <c r="D545" s="227"/>
      <c r="E545" s="227"/>
      <c r="F545" s="228"/>
      <c r="G545" s="228"/>
    </row>
    <row r="546">
      <c r="A546" s="227"/>
      <c r="B546" s="227"/>
      <c r="C546" s="227"/>
      <c r="D546" s="227"/>
      <c r="E546" s="227"/>
      <c r="F546" s="228"/>
      <c r="G546" s="228"/>
    </row>
    <row r="547">
      <c r="A547" s="227"/>
      <c r="B547" s="227"/>
      <c r="C547" s="227"/>
      <c r="D547" s="227"/>
      <c r="E547" s="227"/>
      <c r="F547" s="228"/>
      <c r="G547" s="228"/>
    </row>
    <row r="548">
      <c r="A548" s="227"/>
      <c r="B548" s="227"/>
      <c r="C548" s="227"/>
      <c r="D548" s="227"/>
      <c r="E548" s="227"/>
      <c r="F548" s="228"/>
      <c r="G548" s="228"/>
    </row>
    <row r="549">
      <c r="A549" s="227"/>
      <c r="B549" s="227"/>
      <c r="C549" s="227"/>
      <c r="D549" s="227"/>
      <c r="E549" s="227"/>
      <c r="F549" s="228"/>
      <c r="G549" s="228"/>
    </row>
    <row r="550">
      <c r="A550" s="227"/>
      <c r="B550" s="227"/>
      <c r="C550" s="227"/>
      <c r="D550" s="227"/>
      <c r="E550" s="227"/>
      <c r="F550" s="228"/>
      <c r="G550" s="228"/>
    </row>
    <row r="551">
      <c r="A551" s="227"/>
      <c r="B551" s="227"/>
      <c r="C551" s="227"/>
      <c r="D551" s="227"/>
      <c r="E551" s="227"/>
      <c r="F551" s="228"/>
      <c r="G551" s="228"/>
    </row>
    <row r="552">
      <c r="A552" s="227"/>
      <c r="B552" s="227"/>
      <c r="C552" s="227"/>
      <c r="D552" s="227"/>
      <c r="E552" s="227"/>
      <c r="F552" s="228"/>
      <c r="G552" s="228"/>
    </row>
    <row r="553">
      <c r="A553" s="227"/>
      <c r="B553" s="227"/>
      <c r="C553" s="227"/>
      <c r="D553" s="227"/>
      <c r="E553" s="227"/>
      <c r="F553" s="228"/>
      <c r="G553" s="228"/>
    </row>
    <row r="554">
      <c r="A554" s="227"/>
      <c r="B554" s="227"/>
      <c r="C554" s="227"/>
      <c r="D554" s="227"/>
      <c r="E554" s="227"/>
      <c r="F554" s="228"/>
      <c r="G554" s="228"/>
    </row>
    <row r="555">
      <c r="A555" s="227"/>
      <c r="B555" s="227"/>
      <c r="C555" s="227"/>
      <c r="D555" s="227"/>
      <c r="E555" s="227"/>
      <c r="F555" s="228"/>
      <c r="G555" s="228"/>
    </row>
    <row r="556">
      <c r="A556" s="227"/>
      <c r="B556" s="227"/>
      <c r="C556" s="227"/>
      <c r="D556" s="227"/>
      <c r="E556" s="227"/>
      <c r="F556" s="228"/>
      <c r="G556" s="228"/>
    </row>
    <row r="557">
      <c r="A557" s="227"/>
      <c r="B557" s="227"/>
      <c r="C557" s="227"/>
      <c r="D557" s="227"/>
      <c r="E557" s="227"/>
      <c r="F557" s="228"/>
      <c r="G557" s="228"/>
    </row>
    <row r="558">
      <c r="A558" s="227"/>
      <c r="B558" s="227"/>
      <c r="C558" s="227"/>
      <c r="D558" s="227"/>
      <c r="E558" s="227"/>
      <c r="F558" s="228"/>
      <c r="G558" s="228"/>
    </row>
    <row r="559">
      <c r="A559" s="227"/>
      <c r="B559" s="227"/>
      <c r="C559" s="227"/>
      <c r="D559" s="227"/>
      <c r="E559" s="227"/>
      <c r="F559" s="228"/>
      <c r="G559" s="228"/>
    </row>
    <row r="560">
      <c r="A560" s="227"/>
      <c r="B560" s="227"/>
      <c r="C560" s="227"/>
      <c r="D560" s="227"/>
      <c r="E560" s="227"/>
      <c r="F560" s="228"/>
      <c r="G560" s="228"/>
    </row>
    <row r="561">
      <c r="A561" s="227"/>
      <c r="B561" s="227"/>
      <c r="C561" s="227"/>
      <c r="D561" s="227"/>
      <c r="E561" s="227"/>
      <c r="F561" s="228"/>
      <c r="G561" s="228"/>
    </row>
    <row r="562">
      <c r="A562" s="227"/>
      <c r="B562" s="227"/>
      <c r="C562" s="227"/>
      <c r="D562" s="227"/>
      <c r="E562" s="227"/>
      <c r="F562" s="228"/>
      <c r="G562" s="228"/>
    </row>
    <row r="563">
      <c r="A563" s="227"/>
      <c r="B563" s="227"/>
      <c r="C563" s="227"/>
      <c r="D563" s="227"/>
      <c r="E563" s="227"/>
      <c r="F563" s="228"/>
      <c r="G563" s="228"/>
    </row>
    <row r="564">
      <c r="A564" s="227"/>
      <c r="B564" s="227"/>
      <c r="C564" s="227"/>
      <c r="D564" s="227"/>
      <c r="E564" s="227"/>
      <c r="F564" s="228"/>
      <c r="G564" s="228"/>
    </row>
    <row r="565">
      <c r="A565" s="227"/>
      <c r="B565" s="227"/>
      <c r="C565" s="227"/>
      <c r="D565" s="227"/>
      <c r="E565" s="227"/>
      <c r="F565" s="228"/>
      <c r="G565" s="228"/>
    </row>
    <row r="566">
      <c r="A566" s="227"/>
      <c r="B566" s="227"/>
      <c r="C566" s="227"/>
      <c r="D566" s="227"/>
      <c r="E566" s="227"/>
      <c r="F566" s="228"/>
      <c r="G566" s="228"/>
    </row>
    <row r="567">
      <c r="A567" s="227"/>
      <c r="B567" s="227"/>
      <c r="C567" s="227"/>
      <c r="D567" s="227"/>
      <c r="E567" s="227"/>
      <c r="F567" s="228"/>
      <c r="G567" s="228"/>
    </row>
    <row r="568">
      <c r="A568" s="227"/>
      <c r="B568" s="227"/>
      <c r="C568" s="227"/>
      <c r="D568" s="227"/>
      <c r="E568" s="227"/>
      <c r="F568" s="228"/>
      <c r="G568" s="228"/>
    </row>
    <row r="569">
      <c r="A569" s="227"/>
      <c r="B569" s="227"/>
      <c r="C569" s="227"/>
      <c r="D569" s="227"/>
      <c r="E569" s="227"/>
      <c r="F569" s="228"/>
      <c r="G569" s="228"/>
    </row>
    <row r="570">
      <c r="A570" s="227"/>
      <c r="B570" s="227"/>
      <c r="C570" s="227"/>
      <c r="D570" s="227"/>
      <c r="E570" s="227"/>
      <c r="F570" s="228"/>
      <c r="G570" s="228"/>
    </row>
    <row r="571">
      <c r="A571" s="227"/>
      <c r="B571" s="227"/>
      <c r="C571" s="227"/>
      <c r="D571" s="227"/>
      <c r="E571" s="227"/>
      <c r="F571" s="228"/>
      <c r="G571" s="228"/>
    </row>
    <row r="572">
      <c r="A572" s="227"/>
      <c r="B572" s="227"/>
      <c r="C572" s="227"/>
      <c r="D572" s="227"/>
      <c r="E572" s="227"/>
      <c r="F572" s="228"/>
      <c r="G572" s="228"/>
    </row>
    <row r="573">
      <c r="A573" s="227"/>
      <c r="B573" s="227"/>
      <c r="C573" s="227"/>
      <c r="D573" s="227"/>
      <c r="E573" s="227"/>
      <c r="F573" s="228"/>
      <c r="G573" s="228"/>
    </row>
    <row r="574">
      <c r="A574" s="227"/>
      <c r="B574" s="227"/>
      <c r="C574" s="227"/>
      <c r="D574" s="227"/>
      <c r="E574" s="227"/>
      <c r="F574" s="228"/>
      <c r="G574" s="228"/>
    </row>
    <row r="575">
      <c r="A575" s="227"/>
      <c r="B575" s="227"/>
      <c r="C575" s="227"/>
      <c r="D575" s="227"/>
      <c r="E575" s="227"/>
      <c r="F575" s="228"/>
      <c r="G575" s="228"/>
    </row>
    <row r="576">
      <c r="A576" s="227"/>
      <c r="B576" s="227"/>
      <c r="C576" s="227"/>
      <c r="D576" s="227"/>
      <c r="E576" s="227"/>
      <c r="F576" s="228"/>
      <c r="G576" s="228"/>
    </row>
    <row r="577">
      <c r="A577" s="227"/>
      <c r="B577" s="227"/>
      <c r="C577" s="227"/>
      <c r="D577" s="227"/>
      <c r="E577" s="227"/>
      <c r="F577" s="228"/>
      <c r="G577" s="228"/>
    </row>
    <row r="578">
      <c r="A578" s="227"/>
      <c r="B578" s="227"/>
      <c r="C578" s="227"/>
      <c r="D578" s="227"/>
      <c r="E578" s="227"/>
      <c r="F578" s="228"/>
      <c r="G578" s="228"/>
    </row>
    <row r="579">
      <c r="A579" s="227"/>
      <c r="B579" s="227"/>
      <c r="C579" s="227"/>
      <c r="D579" s="227"/>
      <c r="E579" s="227"/>
      <c r="F579" s="228"/>
      <c r="G579" s="228"/>
    </row>
    <row r="580">
      <c r="A580" s="227"/>
      <c r="B580" s="227"/>
      <c r="C580" s="227"/>
      <c r="D580" s="227"/>
      <c r="E580" s="227"/>
      <c r="F580" s="228"/>
      <c r="G580" s="228"/>
    </row>
    <row r="581">
      <c r="A581" s="227"/>
      <c r="B581" s="227"/>
      <c r="C581" s="227"/>
      <c r="D581" s="227"/>
      <c r="E581" s="227"/>
      <c r="F581" s="228"/>
      <c r="G581" s="228"/>
    </row>
    <row r="582">
      <c r="A582" s="227"/>
      <c r="B582" s="227"/>
      <c r="C582" s="227"/>
      <c r="D582" s="227"/>
      <c r="E582" s="227"/>
      <c r="F582" s="228"/>
      <c r="G582" s="228"/>
    </row>
    <row r="583">
      <c r="A583" s="227"/>
      <c r="B583" s="227"/>
      <c r="C583" s="227"/>
      <c r="D583" s="227"/>
      <c r="E583" s="227"/>
      <c r="F583" s="228"/>
      <c r="G583" s="228"/>
    </row>
    <row r="584">
      <c r="A584" s="227"/>
      <c r="B584" s="227"/>
      <c r="C584" s="227"/>
      <c r="D584" s="227"/>
      <c r="E584" s="227"/>
      <c r="F584" s="228"/>
      <c r="G584" s="228"/>
    </row>
    <row r="585">
      <c r="A585" s="227"/>
      <c r="B585" s="227"/>
      <c r="C585" s="227"/>
      <c r="D585" s="227"/>
      <c r="E585" s="227"/>
      <c r="F585" s="228"/>
      <c r="G585" s="228"/>
    </row>
    <row r="586">
      <c r="A586" s="227"/>
      <c r="B586" s="227"/>
      <c r="C586" s="227"/>
      <c r="D586" s="227"/>
      <c r="E586" s="227"/>
      <c r="F586" s="228"/>
      <c r="G586" s="228"/>
    </row>
    <row r="587">
      <c r="A587" s="227"/>
      <c r="B587" s="227"/>
      <c r="C587" s="227"/>
      <c r="D587" s="227"/>
      <c r="E587" s="227"/>
      <c r="F587" s="228"/>
      <c r="G587" s="228"/>
    </row>
    <row r="588">
      <c r="A588" s="227"/>
      <c r="B588" s="227"/>
      <c r="C588" s="227"/>
      <c r="D588" s="227"/>
      <c r="E588" s="227"/>
      <c r="F588" s="228"/>
      <c r="G588" s="228"/>
    </row>
    <row r="589">
      <c r="A589" s="227"/>
      <c r="B589" s="227"/>
      <c r="C589" s="227"/>
      <c r="D589" s="227"/>
      <c r="E589" s="227"/>
      <c r="F589" s="228"/>
      <c r="G589" s="228"/>
    </row>
    <row r="590">
      <c r="A590" s="227"/>
      <c r="B590" s="227"/>
      <c r="C590" s="227"/>
      <c r="D590" s="227"/>
      <c r="E590" s="227"/>
      <c r="F590" s="228"/>
      <c r="G590" s="228"/>
    </row>
    <row r="591">
      <c r="A591" s="227"/>
      <c r="B591" s="227"/>
      <c r="C591" s="227"/>
      <c r="D591" s="227"/>
      <c r="E591" s="227"/>
      <c r="F591" s="228"/>
      <c r="G591" s="228"/>
    </row>
    <row r="592">
      <c r="A592" s="227"/>
      <c r="B592" s="227"/>
      <c r="C592" s="227"/>
      <c r="D592" s="227"/>
      <c r="E592" s="227"/>
      <c r="F592" s="228"/>
      <c r="G592" s="228"/>
    </row>
    <row r="593">
      <c r="A593" s="227"/>
      <c r="B593" s="227"/>
      <c r="C593" s="227"/>
      <c r="D593" s="227"/>
      <c r="E593" s="227"/>
      <c r="F593" s="228"/>
      <c r="G593" s="228"/>
    </row>
    <row r="594">
      <c r="A594" s="227"/>
      <c r="B594" s="227"/>
      <c r="C594" s="227"/>
      <c r="D594" s="227"/>
      <c r="E594" s="227"/>
      <c r="F594" s="228"/>
      <c r="G594" s="228"/>
    </row>
    <row r="595">
      <c r="A595" s="227"/>
      <c r="B595" s="227"/>
      <c r="C595" s="227"/>
      <c r="D595" s="227"/>
      <c r="E595" s="227"/>
      <c r="F595" s="228"/>
      <c r="G595" s="228"/>
    </row>
    <row r="596">
      <c r="A596" s="227"/>
      <c r="B596" s="227"/>
      <c r="C596" s="227"/>
      <c r="D596" s="227"/>
      <c r="E596" s="227"/>
      <c r="F596" s="228"/>
      <c r="G596" s="228"/>
    </row>
    <row r="597">
      <c r="A597" s="227"/>
      <c r="B597" s="227"/>
      <c r="C597" s="227"/>
      <c r="D597" s="227"/>
      <c r="E597" s="227"/>
      <c r="F597" s="228"/>
      <c r="G597" s="228"/>
    </row>
    <row r="598">
      <c r="A598" s="227"/>
      <c r="B598" s="227"/>
      <c r="C598" s="227"/>
      <c r="D598" s="227"/>
      <c r="E598" s="227"/>
      <c r="F598" s="228"/>
      <c r="G598" s="228"/>
    </row>
    <row r="599">
      <c r="A599" s="227"/>
      <c r="B599" s="227"/>
      <c r="C599" s="227"/>
      <c r="D599" s="227"/>
      <c r="E599" s="227"/>
      <c r="F599" s="228"/>
      <c r="G599" s="228"/>
    </row>
    <row r="600">
      <c r="A600" s="227"/>
      <c r="B600" s="227"/>
      <c r="C600" s="227"/>
      <c r="D600" s="227"/>
      <c r="E600" s="227"/>
      <c r="F600" s="228"/>
      <c r="G600" s="228"/>
    </row>
    <row r="601">
      <c r="A601" s="227"/>
      <c r="B601" s="227"/>
      <c r="C601" s="227"/>
      <c r="D601" s="227"/>
      <c r="E601" s="227"/>
      <c r="F601" s="228"/>
      <c r="G601" s="228"/>
    </row>
    <row r="602">
      <c r="A602" s="227"/>
      <c r="B602" s="227"/>
      <c r="C602" s="227"/>
      <c r="D602" s="227"/>
      <c r="E602" s="227"/>
      <c r="F602" s="228"/>
      <c r="G602" s="228"/>
    </row>
    <row r="603">
      <c r="A603" s="227"/>
      <c r="B603" s="227"/>
      <c r="C603" s="227"/>
      <c r="D603" s="227"/>
      <c r="E603" s="227"/>
      <c r="F603" s="228"/>
      <c r="G603" s="228"/>
    </row>
    <row r="604">
      <c r="A604" s="227"/>
      <c r="B604" s="227"/>
      <c r="C604" s="227"/>
      <c r="D604" s="227"/>
      <c r="E604" s="227"/>
      <c r="F604" s="228"/>
      <c r="G604" s="228"/>
    </row>
    <row r="605">
      <c r="A605" s="227"/>
      <c r="B605" s="227"/>
      <c r="C605" s="227"/>
      <c r="D605" s="227"/>
      <c r="E605" s="227"/>
      <c r="F605" s="228"/>
      <c r="G605" s="228"/>
    </row>
    <row r="606">
      <c r="A606" s="227"/>
      <c r="B606" s="227"/>
      <c r="C606" s="227"/>
      <c r="D606" s="227"/>
      <c r="E606" s="227"/>
      <c r="F606" s="228"/>
      <c r="G606" s="228"/>
    </row>
    <row r="607">
      <c r="A607" s="227"/>
      <c r="B607" s="227"/>
      <c r="C607" s="227"/>
      <c r="D607" s="227"/>
      <c r="E607" s="227"/>
      <c r="F607" s="228"/>
      <c r="G607" s="228"/>
    </row>
    <row r="608">
      <c r="A608" s="227"/>
      <c r="B608" s="227"/>
      <c r="C608" s="227"/>
      <c r="D608" s="227"/>
      <c r="E608" s="227"/>
      <c r="F608" s="228"/>
      <c r="G608" s="228"/>
    </row>
    <row r="609">
      <c r="A609" s="227"/>
      <c r="B609" s="227"/>
      <c r="C609" s="227"/>
      <c r="D609" s="227"/>
      <c r="E609" s="227"/>
      <c r="F609" s="228"/>
      <c r="G609" s="228"/>
    </row>
    <row r="610">
      <c r="A610" s="227"/>
      <c r="B610" s="227"/>
      <c r="C610" s="227"/>
      <c r="D610" s="227"/>
      <c r="E610" s="227"/>
      <c r="F610" s="228"/>
      <c r="G610" s="228"/>
    </row>
    <row r="611">
      <c r="A611" s="227"/>
      <c r="B611" s="227"/>
      <c r="C611" s="227"/>
      <c r="D611" s="227"/>
      <c r="E611" s="227"/>
      <c r="F611" s="228"/>
      <c r="G611" s="228"/>
    </row>
    <row r="612">
      <c r="A612" s="227"/>
      <c r="B612" s="227"/>
      <c r="C612" s="227"/>
      <c r="D612" s="227"/>
      <c r="E612" s="227"/>
      <c r="F612" s="228"/>
      <c r="G612" s="228"/>
    </row>
    <row r="613">
      <c r="A613" s="227"/>
      <c r="B613" s="227"/>
      <c r="C613" s="227"/>
      <c r="D613" s="227"/>
      <c r="E613" s="227"/>
      <c r="F613" s="228"/>
      <c r="G613" s="228"/>
    </row>
    <row r="614">
      <c r="A614" s="227"/>
      <c r="B614" s="227"/>
      <c r="C614" s="227"/>
      <c r="D614" s="227"/>
      <c r="E614" s="227"/>
      <c r="F614" s="228"/>
      <c r="G614" s="228"/>
    </row>
    <row r="615">
      <c r="A615" s="227"/>
      <c r="B615" s="227"/>
      <c r="C615" s="227"/>
      <c r="D615" s="227"/>
      <c r="E615" s="227"/>
      <c r="F615" s="228"/>
      <c r="G615" s="228"/>
    </row>
    <row r="616">
      <c r="A616" s="227"/>
      <c r="B616" s="227"/>
      <c r="C616" s="227"/>
      <c r="D616" s="227"/>
      <c r="E616" s="227"/>
      <c r="F616" s="228"/>
      <c r="G616" s="228"/>
    </row>
    <row r="617">
      <c r="A617" s="227"/>
      <c r="B617" s="227"/>
      <c r="C617" s="227"/>
      <c r="D617" s="227"/>
      <c r="E617" s="227"/>
      <c r="F617" s="228"/>
      <c r="G617" s="228"/>
    </row>
    <row r="618">
      <c r="A618" s="227"/>
      <c r="B618" s="227"/>
      <c r="C618" s="227"/>
      <c r="D618" s="227"/>
      <c r="E618" s="227"/>
      <c r="F618" s="228"/>
      <c r="G618" s="228"/>
    </row>
    <row r="619">
      <c r="A619" s="227"/>
      <c r="B619" s="227"/>
      <c r="C619" s="227"/>
      <c r="D619" s="227"/>
      <c r="E619" s="227"/>
      <c r="F619" s="228"/>
      <c r="G619" s="228"/>
    </row>
    <row r="620">
      <c r="A620" s="227"/>
      <c r="B620" s="227"/>
      <c r="C620" s="227"/>
      <c r="D620" s="227"/>
      <c r="E620" s="227"/>
      <c r="F620" s="228"/>
      <c r="G620" s="228"/>
    </row>
    <row r="621">
      <c r="A621" s="227"/>
      <c r="B621" s="227"/>
      <c r="C621" s="227"/>
      <c r="D621" s="227"/>
      <c r="E621" s="227"/>
      <c r="F621" s="228"/>
      <c r="G621" s="228"/>
    </row>
    <row r="622">
      <c r="A622" s="227"/>
      <c r="B622" s="227"/>
      <c r="C622" s="227"/>
      <c r="D622" s="227"/>
      <c r="E622" s="227"/>
      <c r="F622" s="228"/>
      <c r="G622" s="228"/>
    </row>
    <row r="623">
      <c r="A623" s="227"/>
      <c r="B623" s="227"/>
      <c r="C623" s="227"/>
      <c r="D623" s="227"/>
      <c r="E623" s="227"/>
      <c r="F623" s="228"/>
      <c r="G623" s="228"/>
    </row>
    <row r="624">
      <c r="A624" s="227"/>
      <c r="B624" s="227"/>
      <c r="C624" s="227"/>
      <c r="D624" s="227"/>
      <c r="E624" s="227"/>
      <c r="F624" s="228"/>
      <c r="G624" s="228"/>
    </row>
    <row r="625">
      <c r="A625" s="227"/>
      <c r="B625" s="227"/>
      <c r="C625" s="227"/>
      <c r="D625" s="227"/>
      <c r="E625" s="227"/>
      <c r="F625" s="228"/>
      <c r="G625" s="228"/>
    </row>
    <row r="626">
      <c r="A626" s="227"/>
      <c r="B626" s="227"/>
      <c r="C626" s="227"/>
      <c r="D626" s="227"/>
      <c r="E626" s="227"/>
      <c r="F626" s="228"/>
      <c r="G626" s="228"/>
    </row>
    <row r="627">
      <c r="A627" s="227"/>
      <c r="B627" s="227"/>
      <c r="C627" s="227"/>
      <c r="D627" s="227"/>
      <c r="E627" s="227"/>
      <c r="F627" s="228"/>
      <c r="G627" s="228"/>
    </row>
    <row r="628">
      <c r="A628" s="227"/>
      <c r="B628" s="227"/>
      <c r="C628" s="227"/>
      <c r="D628" s="227"/>
      <c r="E628" s="227"/>
      <c r="F628" s="228"/>
      <c r="G628" s="228"/>
    </row>
    <row r="629">
      <c r="A629" s="227"/>
      <c r="B629" s="227"/>
      <c r="C629" s="227"/>
      <c r="D629" s="227"/>
      <c r="E629" s="227"/>
      <c r="F629" s="228"/>
      <c r="G629" s="228"/>
    </row>
    <row r="630">
      <c r="A630" s="227"/>
      <c r="B630" s="227"/>
      <c r="C630" s="227"/>
      <c r="D630" s="227"/>
      <c r="E630" s="227"/>
      <c r="F630" s="228"/>
      <c r="G630" s="228"/>
    </row>
    <row r="631">
      <c r="A631" s="227"/>
      <c r="B631" s="227"/>
      <c r="C631" s="227"/>
      <c r="D631" s="227"/>
      <c r="E631" s="227"/>
      <c r="F631" s="228"/>
      <c r="G631" s="228"/>
    </row>
    <row r="632">
      <c r="A632" s="227"/>
      <c r="B632" s="227"/>
      <c r="C632" s="227"/>
      <c r="D632" s="227"/>
      <c r="E632" s="227"/>
      <c r="F632" s="228"/>
      <c r="G632" s="228"/>
    </row>
    <row r="633">
      <c r="A633" s="227"/>
      <c r="B633" s="227"/>
      <c r="C633" s="227"/>
      <c r="D633" s="227"/>
      <c r="E633" s="227"/>
      <c r="F633" s="228"/>
      <c r="G633" s="228"/>
    </row>
    <row r="634">
      <c r="A634" s="227"/>
      <c r="B634" s="227"/>
      <c r="C634" s="227"/>
      <c r="D634" s="227"/>
      <c r="E634" s="227"/>
      <c r="F634" s="228"/>
      <c r="G634" s="228"/>
    </row>
    <row r="635">
      <c r="A635" s="227"/>
      <c r="B635" s="227"/>
      <c r="C635" s="227"/>
      <c r="D635" s="227"/>
      <c r="E635" s="227"/>
      <c r="F635" s="228"/>
      <c r="G635" s="228"/>
    </row>
    <row r="636">
      <c r="A636" s="227"/>
      <c r="B636" s="227"/>
      <c r="C636" s="227"/>
      <c r="D636" s="227"/>
      <c r="E636" s="227"/>
      <c r="F636" s="228"/>
      <c r="G636" s="228"/>
    </row>
    <row r="637">
      <c r="A637" s="227"/>
      <c r="B637" s="227"/>
      <c r="C637" s="227"/>
      <c r="D637" s="227"/>
      <c r="E637" s="227"/>
      <c r="F637" s="228"/>
      <c r="G637" s="228"/>
    </row>
    <row r="638">
      <c r="A638" s="227"/>
      <c r="B638" s="227"/>
      <c r="C638" s="227"/>
      <c r="D638" s="227"/>
      <c r="E638" s="227"/>
      <c r="F638" s="228"/>
      <c r="G638" s="228"/>
    </row>
    <row r="639">
      <c r="A639" s="227"/>
      <c r="B639" s="227"/>
      <c r="C639" s="227"/>
      <c r="D639" s="227"/>
      <c r="E639" s="227"/>
      <c r="F639" s="228"/>
      <c r="G639" s="228"/>
    </row>
    <row r="640">
      <c r="A640" s="227"/>
      <c r="B640" s="227"/>
      <c r="C640" s="227"/>
      <c r="D640" s="227"/>
      <c r="E640" s="227"/>
      <c r="F640" s="228"/>
      <c r="G640" s="228"/>
    </row>
    <row r="641">
      <c r="A641" s="227"/>
      <c r="B641" s="227"/>
      <c r="C641" s="227"/>
      <c r="D641" s="227"/>
      <c r="E641" s="227"/>
      <c r="F641" s="228"/>
      <c r="G641" s="228"/>
    </row>
    <row r="642">
      <c r="A642" s="227"/>
      <c r="B642" s="227"/>
      <c r="C642" s="227"/>
      <c r="D642" s="227"/>
      <c r="E642" s="227"/>
      <c r="F642" s="228"/>
      <c r="G642" s="228"/>
    </row>
    <row r="643">
      <c r="A643" s="227"/>
      <c r="B643" s="227"/>
      <c r="C643" s="227"/>
      <c r="D643" s="227"/>
      <c r="E643" s="227"/>
      <c r="F643" s="228"/>
      <c r="G643" s="228"/>
    </row>
    <row r="644">
      <c r="A644" s="227"/>
      <c r="B644" s="227"/>
      <c r="C644" s="227"/>
      <c r="D644" s="227"/>
      <c r="E644" s="227"/>
      <c r="F644" s="228"/>
      <c r="G644" s="228"/>
    </row>
    <row r="645">
      <c r="A645" s="227"/>
      <c r="B645" s="227"/>
      <c r="C645" s="227"/>
      <c r="D645" s="227"/>
      <c r="E645" s="227"/>
      <c r="F645" s="228"/>
      <c r="G645" s="228"/>
    </row>
    <row r="646">
      <c r="A646" s="227"/>
      <c r="B646" s="227"/>
      <c r="C646" s="227"/>
      <c r="D646" s="227"/>
      <c r="E646" s="227"/>
      <c r="F646" s="228"/>
      <c r="G646" s="228"/>
    </row>
    <row r="647">
      <c r="A647" s="227"/>
      <c r="B647" s="227"/>
      <c r="C647" s="227"/>
      <c r="D647" s="227"/>
      <c r="E647" s="227"/>
      <c r="F647" s="228"/>
      <c r="G647" s="228"/>
    </row>
    <row r="648">
      <c r="A648" s="227"/>
      <c r="B648" s="227"/>
      <c r="C648" s="227"/>
      <c r="D648" s="227"/>
      <c r="E648" s="227"/>
      <c r="F648" s="228"/>
      <c r="G648" s="228"/>
    </row>
    <row r="649">
      <c r="A649" s="227"/>
      <c r="B649" s="227"/>
      <c r="C649" s="227"/>
      <c r="D649" s="227"/>
      <c r="E649" s="227"/>
      <c r="F649" s="228"/>
      <c r="G649" s="228"/>
    </row>
    <row r="650">
      <c r="A650" s="227"/>
      <c r="B650" s="227"/>
      <c r="C650" s="227"/>
      <c r="D650" s="227"/>
      <c r="E650" s="227"/>
      <c r="F650" s="228"/>
      <c r="G650" s="228"/>
    </row>
    <row r="651">
      <c r="A651" s="227"/>
      <c r="B651" s="227"/>
      <c r="C651" s="227"/>
      <c r="D651" s="227"/>
      <c r="E651" s="227"/>
      <c r="F651" s="228"/>
      <c r="G651" s="228"/>
    </row>
    <row r="652">
      <c r="A652" s="227"/>
      <c r="B652" s="227"/>
      <c r="C652" s="227"/>
      <c r="D652" s="227"/>
      <c r="E652" s="227"/>
      <c r="F652" s="228"/>
      <c r="G652" s="228"/>
    </row>
    <row r="653">
      <c r="A653" s="227"/>
      <c r="B653" s="227"/>
      <c r="C653" s="227"/>
      <c r="D653" s="227"/>
      <c r="E653" s="227"/>
      <c r="F653" s="228"/>
      <c r="G653" s="228"/>
    </row>
    <row r="654">
      <c r="A654" s="227"/>
      <c r="B654" s="227"/>
      <c r="C654" s="227"/>
      <c r="D654" s="227"/>
      <c r="E654" s="227"/>
      <c r="F654" s="228"/>
      <c r="G654" s="228"/>
    </row>
    <row r="655">
      <c r="A655" s="227"/>
      <c r="B655" s="227"/>
      <c r="C655" s="227"/>
      <c r="D655" s="227"/>
      <c r="E655" s="227"/>
      <c r="F655" s="228"/>
      <c r="G655" s="228"/>
    </row>
    <row r="656">
      <c r="A656" s="227"/>
      <c r="B656" s="227"/>
      <c r="C656" s="227"/>
      <c r="D656" s="227"/>
      <c r="E656" s="227"/>
      <c r="F656" s="228"/>
      <c r="G656" s="228"/>
    </row>
    <row r="657">
      <c r="A657" s="227"/>
      <c r="B657" s="227"/>
      <c r="C657" s="227"/>
      <c r="D657" s="227"/>
      <c r="E657" s="227"/>
      <c r="F657" s="228"/>
      <c r="G657" s="228"/>
    </row>
    <row r="658">
      <c r="A658" s="227"/>
      <c r="B658" s="227"/>
      <c r="C658" s="227"/>
      <c r="D658" s="227"/>
      <c r="E658" s="227"/>
      <c r="F658" s="228"/>
      <c r="G658" s="228"/>
    </row>
    <row r="659">
      <c r="A659" s="227"/>
      <c r="B659" s="227"/>
      <c r="C659" s="227"/>
      <c r="D659" s="227"/>
      <c r="E659" s="227"/>
      <c r="F659" s="228"/>
      <c r="G659" s="228"/>
    </row>
    <row r="660">
      <c r="A660" s="227"/>
      <c r="B660" s="227"/>
      <c r="C660" s="227"/>
      <c r="D660" s="227"/>
      <c r="E660" s="227"/>
      <c r="F660" s="228"/>
      <c r="G660" s="228"/>
    </row>
    <row r="661">
      <c r="A661" s="227"/>
      <c r="B661" s="227"/>
      <c r="C661" s="227"/>
      <c r="D661" s="227"/>
      <c r="E661" s="227"/>
      <c r="F661" s="228"/>
      <c r="G661" s="228"/>
    </row>
    <row r="662">
      <c r="A662" s="227"/>
      <c r="B662" s="227"/>
      <c r="C662" s="227"/>
      <c r="D662" s="227"/>
      <c r="E662" s="227"/>
      <c r="F662" s="228"/>
      <c r="G662" s="228"/>
    </row>
    <row r="663">
      <c r="A663" s="227"/>
      <c r="B663" s="227"/>
      <c r="C663" s="227"/>
      <c r="D663" s="227"/>
      <c r="E663" s="227"/>
      <c r="F663" s="228"/>
      <c r="G663" s="228"/>
    </row>
    <row r="664">
      <c r="A664" s="227"/>
      <c r="B664" s="227"/>
      <c r="C664" s="227"/>
      <c r="D664" s="227"/>
      <c r="E664" s="227"/>
      <c r="F664" s="228"/>
      <c r="G664" s="228"/>
    </row>
    <row r="665">
      <c r="A665" s="227"/>
      <c r="B665" s="227"/>
      <c r="C665" s="227"/>
      <c r="D665" s="227"/>
      <c r="E665" s="227"/>
      <c r="F665" s="228"/>
      <c r="G665" s="228"/>
    </row>
    <row r="666">
      <c r="A666" s="227"/>
      <c r="B666" s="227"/>
      <c r="C666" s="227"/>
      <c r="D666" s="227"/>
      <c r="E666" s="227"/>
      <c r="F666" s="228"/>
      <c r="G666" s="228"/>
    </row>
    <row r="667">
      <c r="A667" s="227"/>
      <c r="B667" s="227"/>
      <c r="C667" s="227"/>
      <c r="D667" s="227"/>
      <c r="E667" s="227"/>
      <c r="F667" s="228"/>
      <c r="G667" s="228"/>
    </row>
    <row r="668">
      <c r="A668" s="227"/>
      <c r="B668" s="227"/>
      <c r="C668" s="227"/>
      <c r="D668" s="227"/>
      <c r="E668" s="227"/>
      <c r="F668" s="228"/>
      <c r="G668" s="228"/>
    </row>
    <row r="669">
      <c r="A669" s="227"/>
      <c r="B669" s="227"/>
      <c r="C669" s="227"/>
      <c r="D669" s="227"/>
      <c r="E669" s="227"/>
      <c r="F669" s="228"/>
      <c r="G669" s="228"/>
    </row>
    <row r="670">
      <c r="A670" s="227"/>
      <c r="B670" s="227"/>
      <c r="C670" s="227"/>
      <c r="D670" s="227"/>
      <c r="E670" s="227"/>
      <c r="F670" s="228"/>
      <c r="G670" s="228"/>
    </row>
    <row r="671">
      <c r="A671" s="227"/>
      <c r="B671" s="227"/>
      <c r="C671" s="227"/>
      <c r="D671" s="227"/>
      <c r="E671" s="227"/>
      <c r="F671" s="228"/>
      <c r="G671" s="228"/>
    </row>
    <row r="672">
      <c r="A672" s="227"/>
      <c r="B672" s="227"/>
      <c r="C672" s="227"/>
      <c r="D672" s="227"/>
      <c r="E672" s="227"/>
      <c r="F672" s="228"/>
      <c r="G672" s="228"/>
    </row>
    <row r="673">
      <c r="A673" s="227"/>
      <c r="B673" s="227"/>
      <c r="C673" s="227"/>
      <c r="D673" s="227"/>
      <c r="E673" s="227"/>
      <c r="F673" s="228"/>
      <c r="G673" s="228"/>
    </row>
    <row r="674">
      <c r="A674" s="227"/>
      <c r="B674" s="227"/>
      <c r="C674" s="227"/>
      <c r="D674" s="227"/>
      <c r="E674" s="227"/>
      <c r="F674" s="228"/>
      <c r="G674" s="228"/>
    </row>
    <row r="675">
      <c r="A675" s="227"/>
      <c r="B675" s="227"/>
      <c r="C675" s="227"/>
      <c r="D675" s="227"/>
      <c r="E675" s="227"/>
      <c r="F675" s="228"/>
      <c r="G675" s="228"/>
    </row>
    <row r="676">
      <c r="A676" s="227"/>
      <c r="B676" s="227"/>
      <c r="C676" s="227"/>
      <c r="D676" s="227"/>
      <c r="E676" s="227"/>
      <c r="F676" s="228"/>
      <c r="G676" s="228"/>
    </row>
    <row r="677">
      <c r="A677" s="227"/>
      <c r="B677" s="227"/>
      <c r="C677" s="227"/>
      <c r="D677" s="227"/>
      <c r="E677" s="227"/>
      <c r="F677" s="228"/>
      <c r="G677" s="228"/>
    </row>
    <row r="678">
      <c r="A678" s="227"/>
      <c r="B678" s="227"/>
      <c r="C678" s="227"/>
      <c r="D678" s="227"/>
      <c r="E678" s="227"/>
      <c r="F678" s="228"/>
      <c r="G678" s="228"/>
    </row>
    <row r="679">
      <c r="A679" s="227"/>
      <c r="B679" s="227"/>
      <c r="C679" s="227"/>
      <c r="D679" s="227"/>
      <c r="E679" s="227"/>
      <c r="F679" s="228"/>
      <c r="G679" s="228"/>
    </row>
    <row r="680">
      <c r="A680" s="227"/>
      <c r="B680" s="227"/>
      <c r="C680" s="227"/>
      <c r="D680" s="227"/>
      <c r="E680" s="227"/>
      <c r="F680" s="228"/>
      <c r="G680" s="228"/>
    </row>
    <row r="681">
      <c r="A681" s="227"/>
      <c r="B681" s="227"/>
      <c r="C681" s="227"/>
      <c r="D681" s="227"/>
      <c r="E681" s="227"/>
      <c r="F681" s="228"/>
      <c r="G681" s="228"/>
    </row>
    <row r="682">
      <c r="A682" s="227"/>
      <c r="B682" s="227"/>
      <c r="C682" s="227"/>
      <c r="D682" s="227"/>
      <c r="E682" s="227"/>
      <c r="F682" s="228"/>
      <c r="G682" s="228"/>
    </row>
    <row r="683">
      <c r="A683" s="227"/>
      <c r="B683" s="227"/>
      <c r="C683" s="227"/>
      <c r="D683" s="227"/>
      <c r="E683" s="227"/>
      <c r="F683" s="228"/>
      <c r="G683" s="228"/>
    </row>
    <row r="684">
      <c r="A684" s="227"/>
      <c r="B684" s="227"/>
      <c r="C684" s="227"/>
      <c r="D684" s="227"/>
      <c r="E684" s="227"/>
      <c r="F684" s="228"/>
      <c r="G684" s="228"/>
    </row>
    <row r="685">
      <c r="A685" s="227"/>
      <c r="B685" s="227"/>
      <c r="C685" s="227"/>
      <c r="D685" s="227"/>
      <c r="E685" s="227"/>
      <c r="F685" s="228"/>
      <c r="G685" s="228"/>
    </row>
    <row r="686">
      <c r="A686" s="227"/>
      <c r="B686" s="227"/>
      <c r="C686" s="227"/>
      <c r="D686" s="227"/>
      <c r="E686" s="227"/>
      <c r="F686" s="228"/>
      <c r="G686" s="228"/>
    </row>
    <row r="687">
      <c r="A687" s="227"/>
      <c r="B687" s="227"/>
      <c r="C687" s="227"/>
      <c r="D687" s="227"/>
      <c r="E687" s="227"/>
      <c r="F687" s="228"/>
      <c r="G687" s="228"/>
    </row>
    <row r="688">
      <c r="A688" s="227"/>
      <c r="B688" s="227"/>
      <c r="C688" s="227"/>
      <c r="D688" s="227"/>
      <c r="E688" s="227"/>
      <c r="F688" s="228"/>
      <c r="G688" s="228"/>
    </row>
    <row r="689">
      <c r="A689" s="227"/>
      <c r="B689" s="227"/>
      <c r="C689" s="227"/>
      <c r="D689" s="227"/>
      <c r="E689" s="227"/>
      <c r="F689" s="228"/>
      <c r="G689" s="228"/>
    </row>
    <row r="690">
      <c r="A690" s="227"/>
      <c r="B690" s="227"/>
      <c r="C690" s="227"/>
      <c r="D690" s="227"/>
      <c r="E690" s="227"/>
      <c r="F690" s="228"/>
      <c r="G690" s="228"/>
    </row>
    <row r="691">
      <c r="A691" s="227"/>
      <c r="B691" s="227"/>
      <c r="C691" s="227"/>
      <c r="D691" s="227"/>
      <c r="E691" s="227"/>
      <c r="F691" s="228"/>
      <c r="G691" s="228"/>
    </row>
    <row r="692">
      <c r="A692" s="227"/>
      <c r="B692" s="227"/>
      <c r="C692" s="227"/>
      <c r="D692" s="227"/>
      <c r="E692" s="227"/>
      <c r="F692" s="228"/>
      <c r="G692" s="228"/>
    </row>
    <row r="693">
      <c r="A693" s="227"/>
      <c r="B693" s="227"/>
      <c r="C693" s="227"/>
      <c r="D693" s="227"/>
      <c r="E693" s="227"/>
      <c r="F693" s="228"/>
      <c r="G693" s="228"/>
    </row>
    <row r="694">
      <c r="A694" s="227"/>
      <c r="B694" s="227"/>
      <c r="C694" s="227"/>
      <c r="D694" s="227"/>
      <c r="E694" s="227"/>
      <c r="F694" s="228"/>
      <c r="G694" s="228"/>
    </row>
    <row r="695">
      <c r="A695" s="227"/>
      <c r="B695" s="227"/>
      <c r="C695" s="227"/>
      <c r="D695" s="227"/>
      <c r="E695" s="227"/>
      <c r="F695" s="228"/>
      <c r="G695" s="228"/>
    </row>
    <row r="696">
      <c r="A696" s="227"/>
      <c r="B696" s="227"/>
      <c r="C696" s="227"/>
      <c r="D696" s="227"/>
      <c r="E696" s="227"/>
      <c r="F696" s="228"/>
      <c r="G696" s="228"/>
    </row>
    <row r="697">
      <c r="A697" s="227"/>
      <c r="B697" s="227"/>
      <c r="C697" s="227"/>
      <c r="D697" s="227"/>
      <c r="E697" s="227"/>
      <c r="F697" s="228"/>
      <c r="G697" s="228"/>
    </row>
    <row r="698">
      <c r="A698" s="227"/>
      <c r="B698" s="227"/>
      <c r="C698" s="227"/>
      <c r="D698" s="227"/>
      <c r="E698" s="227"/>
      <c r="F698" s="228"/>
      <c r="G698" s="228"/>
    </row>
    <row r="699">
      <c r="A699" s="227"/>
      <c r="B699" s="227"/>
      <c r="C699" s="227"/>
      <c r="D699" s="227"/>
      <c r="E699" s="227"/>
      <c r="F699" s="228"/>
      <c r="G699" s="228"/>
    </row>
    <row r="700">
      <c r="A700" s="227"/>
      <c r="B700" s="227"/>
      <c r="C700" s="227"/>
      <c r="D700" s="227"/>
      <c r="E700" s="227"/>
      <c r="F700" s="228"/>
      <c r="G700" s="228"/>
    </row>
    <row r="701">
      <c r="A701" s="227"/>
      <c r="B701" s="227"/>
      <c r="C701" s="227"/>
      <c r="D701" s="227"/>
      <c r="E701" s="227"/>
      <c r="F701" s="228"/>
      <c r="G701" s="228"/>
    </row>
    <row r="702">
      <c r="A702" s="227"/>
      <c r="B702" s="227"/>
      <c r="C702" s="227"/>
      <c r="D702" s="227"/>
      <c r="E702" s="227"/>
      <c r="F702" s="228"/>
      <c r="G702" s="228"/>
    </row>
    <row r="703">
      <c r="A703" s="227"/>
      <c r="B703" s="227"/>
      <c r="C703" s="227"/>
      <c r="D703" s="227"/>
      <c r="E703" s="227"/>
      <c r="F703" s="228"/>
      <c r="G703" s="228"/>
    </row>
    <row r="704">
      <c r="A704" s="227"/>
      <c r="B704" s="227"/>
      <c r="C704" s="227"/>
      <c r="D704" s="227"/>
      <c r="E704" s="227"/>
      <c r="F704" s="228"/>
      <c r="G704" s="228"/>
    </row>
    <row r="705">
      <c r="A705" s="227"/>
      <c r="B705" s="227"/>
      <c r="C705" s="227"/>
      <c r="D705" s="227"/>
      <c r="E705" s="227"/>
      <c r="F705" s="228"/>
      <c r="G705" s="228"/>
    </row>
    <row r="706">
      <c r="A706" s="227"/>
      <c r="B706" s="227"/>
      <c r="C706" s="227"/>
      <c r="D706" s="227"/>
      <c r="E706" s="227"/>
      <c r="F706" s="228"/>
      <c r="G706" s="228"/>
    </row>
    <row r="707">
      <c r="A707" s="227"/>
      <c r="B707" s="227"/>
      <c r="C707" s="227"/>
      <c r="D707" s="227"/>
      <c r="E707" s="227"/>
      <c r="F707" s="228"/>
      <c r="G707" s="228"/>
    </row>
    <row r="708">
      <c r="A708" s="227"/>
      <c r="B708" s="227"/>
      <c r="C708" s="227"/>
      <c r="D708" s="227"/>
      <c r="E708" s="227"/>
      <c r="F708" s="228"/>
      <c r="G708" s="228"/>
    </row>
    <row r="709">
      <c r="A709" s="227"/>
      <c r="B709" s="227"/>
      <c r="C709" s="227"/>
      <c r="D709" s="227"/>
      <c r="E709" s="227"/>
      <c r="F709" s="228"/>
      <c r="G709" s="228"/>
    </row>
    <row r="710">
      <c r="A710" s="227"/>
      <c r="B710" s="227"/>
      <c r="C710" s="227"/>
      <c r="D710" s="227"/>
      <c r="E710" s="227"/>
      <c r="F710" s="228"/>
      <c r="G710" s="228"/>
    </row>
    <row r="711">
      <c r="A711" s="227"/>
      <c r="B711" s="227"/>
      <c r="C711" s="227"/>
      <c r="D711" s="227"/>
      <c r="E711" s="227"/>
      <c r="F711" s="228"/>
      <c r="G711" s="228"/>
    </row>
    <row r="712">
      <c r="A712" s="227"/>
      <c r="B712" s="227"/>
      <c r="C712" s="227"/>
      <c r="D712" s="227"/>
      <c r="E712" s="227"/>
      <c r="F712" s="228"/>
      <c r="G712" s="228"/>
    </row>
    <row r="713">
      <c r="A713" s="227"/>
      <c r="B713" s="227"/>
      <c r="C713" s="227"/>
      <c r="D713" s="227"/>
      <c r="E713" s="227"/>
      <c r="F713" s="228"/>
      <c r="G713" s="228"/>
    </row>
    <row r="714">
      <c r="A714" s="227"/>
      <c r="B714" s="227"/>
      <c r="C714" s="227"/>
      <c r="D714" s="227"/>
      <c r="E714" s="227"/>
      <c r="F714" s="228"/>
      <c r="G714" s="228"/>
    </row>
    <row r="715">
      <c r="A715" s="227"/>
      <c r="B715" s="227"/>
      <c r="C715" s="227"/>
      <c r="D715" s="227"/>
      <c r="E715" s="227"/>
      <c r="F715" s="228"/>
      <c r="G715" s="228"/>
    </row>
    <row r="716">
      <c r="A716" s="227"/>
      <c r="B716" s="227"/>
      <c r="C716" s="227"/>
      <c r="D716" s="227"/>
      <c r="E716" s="227"/>
      <c r="F716" s="228"/>
      <c r="G716" s="228"/>
    </row>
    <row r="717">
      <c r="A717" s="227"/>
      <c r="B717" s="227"/>
      <c r="C717" s="227"/>
      <c r="D717" s="227"/>
      <c r="E717" s="227"/>
      <c r="F717" s="228"/>
      <c r="G717" s="228"/>
    </row>
    <row r="718">
      <c r="A718" s="227"/>
      <c r="B718" s="227"/>
      <c r="C718" s="227"/>
      <c r="D718" s="227"/>
      <c r="E718" s="227"/>
      <c r="F718" s="228"/>
      <c r="G718" s="228"/>
    </row>
    <row r="719">
      <c r="A719" s="227"/>
      <c r="B719" s="227"/>
      <c r="C719" s="227"/>
      <c r="D719" s="227"/>
      <c r="E719" s="227"/>
      <c r="F719" s="228"/>
      <c r="G719" s="228"/>
    </row>
    <row r="720">
      <c r="A720" s="227"/>
      <c r="B720" s="227"/>
      <c r="C720" s="227"/>
      <c r="D720" s="227"/>
      <c r="E720" s="227"/>
      <c r="F720" s="228"/>
      <c r="G720" s="228"/>
    </row>
    <row r="721">
      <c r="A721" s="227"/>
      <c r="B721" s="227"/>
      <c r="C721" s="227"/>
      <c r="D721" s="227"/>
      <c r="E721" s="227"/>
      <c r="F721" s="228"/>
      <c r="G721" s="228"/>
    </row>
    <row r="722">
      <c r="A722" s="227"/>
      <c r="B722" s="227"/>
      <c r="C722" s="227"/>
      <c r="D722" s="227"/>
      <c r="E722" s="227"/>
      <c r="F722" s="228"/>
      <c r="G722" s="228"/>
    </row>
    <row r="723">
      <c r="A723" s="227"/>
      <c r="B723" s="227"/>
      <c r="C723" s="227"/>
      <c r="D723" s="227"/>
      <c r="E723" s="227"/>
      <c r="F723" s="228"/>
      <c r="G723" s="228"/>
    </row>
    <row r="724">
      <c r="A724" s="227"/>
      <c r="B724" s="227"/>
      <c r="C724" s="227"/>
      <c r="D724" s="227"/>
      <c r="E724" s="227"/>
      <c r="F724" s="228"/>
      <c r="G724" s="228"/>
    </row>
    <row r="725">
      <c r="A725" s="227"/>
      <c r="B725" s="227"/>
      <c r="C725" s="227"/>
      <c r="D725" s="227"/>
      <c r="E725" s="227"/>
      <c r="F725" s="228"/>
      <c r="G725" s="228"/>
    </row>
    <row r="726">
      <c r="A726" s="227"/>
      <c r="B726" s="227"/>
      <c r="C726" s="227"/>
      <c r="D726" s="227"/>
      <c r="E726" s="227"/>
      <c r="F726" s="228"/>
      <c r="G726" s="228"/>
    </row>
    <row r="727">
      <c r="A727" s="227"/>
      <c r="B727" s="227"/>
      <c r="C727" s="227"/>
      <c r="D727" s="227"/>
      <c r="E727" s="227"/>
      <c r="F727" s="228"/>
      <c r="G727" s="228"/>
    </row>
    <row r="728">
      <c r="A728" s="227"/>
      <c r="B728" s="227"/>
      <c r="C728" s="227"/>
      <c r="D728" s="227"/>
      <c r="E728" s="227"/>
      <c r="F728" s="228"/>
      <c r="G728" s="228"/>
    </row>
    <row r="729">
      <c r="A729" s="227"/>
      <c r="B729" s="227"/>
      <c r="C729" s="227"/>
      <c r="D729" s="227"/>
      <c r="E729" s="227"/>
      <c r="F729" s="228"/>
      <c r="G729" s="228"/>
    </row>
    <row r="730">
      <c r="A730" s="227"/>
      <c r="B730" s="227"/>
      <c r="C730" s="227"/>
      <c r="D730" s="227"/>
      <c r="E730" s="227"/>
      <c r="F730" s="228"/>
      <c r="G730" s="228"/>
    </row>
    <row r="731">
      <c r="A731" s="227"/>
      <c r="B731" s="227"/>
      <c r="C731" s="227"/>
      <c r="D731" s="227"/>
      <c r="E731" s="227"/>
      <c r="F731" s="228"/>
      <c r="G731" s="228"/>
    </row>
    <row r="732">
      <c r="A732" s="227"/>
      <c r="B732" s="227"/>
      <c r="C732" s="227"/>
      <c r="D732" s="227"/>
      <c r="E732" s="227"/>
      <c r="F732" s="228"/>
      <c r="G732" s="228"/>
    </row>
    <row r="733">
      <c r="A733" s="227"/>
      <c r="B733" s="227"/>
      <c r="C733" s="227"/>
      <c r="D733" s="227"/>
      <c r="E733" s="227"/>
      <c r="F733" s="228"/>
      <c r="G733" s="228"/>
    </row>
    <row r="734">
      <c r="A734" s="227"/>
      <c r="B734" s="227"/>
      <c r="C734" s="227"/>
      <c r="D734" s="227"/>
      <c r="E734" s="227"/>
      <c r="F734" s="228"/>
      <c r="G734" s="228"/>
    </row>
    <row r="735">
      <c r="A735" s="227"/>
      <c r="B735" s="227"/>
      <c r="C735" s="227"/>
      <c r="D735" s="227"/>
      <c r="E735" s="227"/>
      <c r="F735" s="228"/>
      <c r="G735" s="228"/>
    </row>
    <row r="736">
      <c r="A736" s="227"/>
      <c r="B736" s="227"/>
      <c r="C736" s="227"/>
      <c r="D736" s="227"/>
      <c r="E736" s="227"/>
      <c r="F736" s="228"/>
      <c r="G736" s="228"/>
    </row>
    <row r="737">
      <c r="A737" s="227"/>
      <c r="B737" s="227"/>
      <c r="C737" s="227"/>
      <c r="D737" s="227"/>
      <c r="E737" s="227"/>
      <c r="F737" s="228"/>
      <c r="G737" s="228"/>
    </row>
    <row r="738">
      <c r="A738" s="227"/>
      <c r="B738" s="227"/>
      <c r="C738" s="227"/>
      <c r="D738" s="227"/>
      <c r="E738" s="227"/>
      <c r="F738" s="228"/>
      <c r="G738" s="228"/>
    </row>
    <row r="739">
      <c r="A739" s="227"/>
      <c r="B739" s="227"/>
      <c r="C739" s="227"/>
      <c r="D739" s="227"/>
      <c r="E739" s="227"/>
      <c r="F739" s="228"/>
      <c r="G739" s="228"/>
    </row>
    <row r="740">
      <c r="A740" s="227"/>
      <c r="B740" s="227"/>
      <c r="C740" s="227"/>
      <c r="D740" s="227"/>
      <c r="E740" s="227"/>
      <c r="F740" s="228"/>
      <c r="G740" s="228"/>
    </row>
    <row r="741">
      <c r="A741" s="227"/>
      <c r="B741" s="227"/>
      <c r="C741" s="227"/>
      <c r="D741" s="227"/>
      <c r="E741" s="227"/>
      <c r="F741" s="228"/>
      <c r="G741" s="228"/>
    </row>
    <row r="742">
      <c r="A742" s="227"/>
      <c r="B742" s="227"/>
      <c r="C742" s="227"/>
      <c r="D742" s="227"/>
      <c r="E742" s="227"/>
      <c r="F742" s="228"/>
      <c r="G742" s="228"/>
    </row>
    <row r="743">
      <c r="A743" s="227"/>
      <c r="B743" s="227"/>
      <c r="C743" s="227"/>
      <c r="D743" s="227"/>
      <c r="E743" s="227"/>
      <c r="F743" s="228"/>
      <c r="G743" s="228"/>
    </row>
    <row r="744">
      <c r="A744" s="227"/>
      <c r="B744" s="227"/>
      <c r="C744" s="227"/>
      <c r="D744" s="227"/>
      <c r="E744" s="227"/>
      <c r="F744" s="228"/>
      <c r="G744" s="228"/>
    </row>
    <row r="745">
      <c r="A745" s="227"/>
      <c r="B745" s="227"/>
      <c r="C745" s="227"/>
      <c r="D745" s="227"/>
      <c r="E745" s="227"/>
      <c r="F745" s="228"/>
      <c r="G745" s="228"/>
    </row>
    <row r="746">
      <c r="A746" s="227"/>
      <c r="B746" s="227"/>
      <c r="C746" s="227"/>
      <c r="D746" s="227"/>
      <c r="E746" s="227"/>
      <c r="F746" s="228"/>
      <c r="G746" s="228"/>
    </row>
    <row r="747">
      <c r="A747" s="227"/>
      <c r="B747" s="227"/>
      <c r="C747" s="227"/>
      <c r="D747" s="227"/>
      <c r="E747" s="227"/>
      <c r="F747" s="228"/>
      <c r="G747" s="228"/>
    </row>
    <row r="748">
      <c r="A748" s="227"/>
      <c r="B748" s="227"/>
      <c r="C748" s="227"/>
      <c r="D748" s="227"/>
      <c r="E748" s="227"/>
      <c r="F748" s="228"/>
      <c r="G748" s="228"/>
    </row>
    <row r="749">
      <c r="A749" s="227"/>
      <c r="B749" s="227"/>
      <c r="C749" s="227"/>
      <c r="D749" s="227"/>
      <c r="E749" s="227"/>
      <c r="F749" s="228"/>
      <c r="G749" s="228"/>
    </row>
    <row r="750">
      <c r="A750" s="227"/>
      <c r="B750" s="227"/>
      <c r="C750" s="227"/>
      <c r="D750" s="227"/>
      <c r="E750" s="227"/>
      <c r="F750" s="228"/>
      <c r="G750" s="228"/>
    </row>
    <row r="751">
      <c r="A751" s="227"/>
      <c r="B751" s="227"/>
      <c r="C751" s="227"/>
      <c r="D751" s="227"/>
      <c r="E751" s="227"/>
      <c r="F751" s="228"/>
      <c r="G751" s="228"/>
    </row>
    <row r="752">
      <c r="A752" s="227"/>
      <c r="B752" s="227"/>
      <c r="C752" s="227"/>
      <c r="D752" s="227"/>
      <c r="E752" s="227"/>
      <c r="F752" s="228"/>
      <c r="G752" s="228"/>
    </row>
    <row r="753">
      <c r="A753" s="227"/>
      <c r="B753" s="227"/>
      <c r="C753" s="227"/>
      <c r="D753" s="227"/>
      <c r="E753" s="227"/>
      <c r="F753" s="228"/>
      <c r="G753" s="228"/>
    </row>
    <row r="754">
      <c r="A754" s="227"/>
      <c r="B754" s="227"/>
      <c r="C754" s="227"/>
      <c r="D754" s="227"/>
      <c r="E754" s="227"/>
      <c r="F754" s="228"/>
      <c r="G754" s="228"/>
    </row>
    <row r="755">
      <c r="A755" s="227"/>
      <c r="B755" s="227"/>
      <c r="C755" s="227"/>
      <c r="D755" s="227"/>
      <c r="E755" s="227"/>
      <c r="F755" s="228"/>
      <c r="G755" s="228"/>
    </row>
    <row r="756">
      <c r="A756" s="227"/>
      <c r="B756" s="227"/>
      <c r="C756" s="227"/>
      <c r="D756" s="227"/>
      <c r="E756" s="227"/>
      <c r="F756" s="228"/>
      <c r="G756" s="228"/>
    </row>
    <row r="757">
      <c r="A757" s="227"/>
      <c r="B757" s="227"/>
      <c r="C757" s="227"/>
      <c r="D757" s="227"/>
      <c r="E757" s="227"/>
      <c r="F757" s="228"/>
      <c r="G757" s="228"/>
    </row>
    <row r="758">
      <c r="A758" s="227"/>
      <c r="B758" s="227"/>
      <c r="C758" s="227"/>
      <c r="D758" s="227"/>
      <c r="E758" s="227"/>
      <c r="F758" s="228"/>
      <c r="G758" s="228"/>
    </row>
    <row r="759">
      <c r="A759" s="227"/>
      <c r="B759" s="227"/>
      <c r="C759" s="227"/>
      <c r="D759" s="227"/>
      <c r="E759" s="227"/>
      <c r="F759" s="228"/>
      <c r="G759" s="228"/>
    </row>
    <row r="760">
      <c r="A760" s="227"/>
      <c r="B760" s="227"/>
      <c r="C760" s="227"/>
      <c r="D760" s="227"/>
      <c r="E760" s="227"/>
      <c r="F760" s="228"/>
      <c r="G760" s="228"/>
    </row>
    <row r="761">
      <c r="A761" s="227"/>
      <c r="B761" s="227"/>
      <c r="C761" s="227"/>
      <c r="D761" s="227"/>
      <c r="E761" s="227"/>
      <c r="F761" s="228"/>
      <c r="G761" s="228"/>
    </row>
    <row r="762">
      <c r="A762" s="227"/>
      <c r="B762" s="227"/>
      <c r="C762" s="227"/>
      <c r="D762" s="227"/>
      <c r="E762" s="227"/>
      <c r="F762" s="228"/>
      <c r="G762" s="228"/>
    </row>
    <row r="763">
      <c r="A763" s="227"/>
      <c r="B763" s="227"/>
      <c r="C763" s="227"/>
      <c r="D763" s="227"/>
      <c r="E763" s="227"/>
      <c r="F763" s="228"/>
      <c r="G763" s="228"/>
    </row>
    <row r="764">
      <c r="A764" s="227"/>
      <c r="B764" s="227"/>
      <c r="C764" s="227"/>
      <c r="D764" s="227"/>
      <c r="E764" s="227"/>
      <c r="F764" s="228"/>
      <c r="G764" s="228"/>
    </row>
    <row r="765">
      <c r="A765" s="227"/>
      <c r="B765" s="227"/>
      <c r="C765" s="227"/>
      <c r="D765" s="227"/>
      <c r="E765" s="227"/>
      <c r="F765" s="228"/>
      <c r="G765" s="228"/>
    </row>
    <row r="766">
      <c r="A766" s="227"/>
      <c r="B766" s="227"/>
      <c r="C766" s="227"/>
      <c r="D766" s="227"/>
      <c r="E766" s="227"/>
      <c r="F766" s="228"/>
      <c r="G766" s="228"/>
    </row>
    <row r="767">
      <c r="A767" s="227"/>
      <c r="B767" s="227"/>
      <c r="C767" s="227"/>
      <c r="D767" s="227"/>
      <c r="E767" s="227"/>
      <c r="F767" s="228"/>
      <c r="G767" s="228"/>
    </row>
    <row r="768">
      <c r="A768" s="227"/>
      <c r="B768" s="227"/>
      <c r="C768" s="227"/>
      <c r="D768" s="227"/>
      <c r="E768" s="227"/>
      <c r="F768" s="228"/>
      <c r="G768" s="228"/>
    </row>
    <row r="769">
      <c r="A769" s="227"/>
      <c r="B769" s="227"/>
      <c r="C769" s="227"/>
      <c r="D769" s="227"/>
      <c r="E769" s="227"/>
      <c r="F769" s="228"/>
      <c r="G769" s="228"/>
    </row>
    <row r="770">
      <c r="A770" s="227"/>
      <c r="B770" s="227"/>
      <c r="C770" s="227"/>
      <c r="D770" s="227"/>
      <c r="E770" s="227"/>
      <c r="F770" s="228"/>
      <c r="G770" s="228"/>
    </row>
    <row r="771">
      <c r="A771" s="227"/>
      <c r="B771" s="227"/>
      <c r="C771" s="227"/>
      <c r="D771" s="227"/>
      <c r="E771" s="227"/>
      <c r="F771" s="228"/>
      <c r="G771" s="228"/>
    </row>
    <row r="772">
      <c r="A772" s="227"/>
      <c r="B772" s="227"/>
      <c r="C772" s="227"/>
      <c r="D772" s="227"/>
      <c r="E772" s="227"/>
      <c r="F772" s="228"/>
      <c r="G772" s="228"/>
    </row>
    <row r="773">
      <c r="A773" s="227"/>
      <c r="B773" s="227"/>
      <c r="C773" s="227"/>
      <c r="D773" s="227"/>
      <c r="E773" s="227"/>
      <c r="F773" s="228"/>
      <c r="G773" s="228"/>
    </row>
    <row r="774">
      <c r="A774" s="227"/>
      <c r="B774" s="227"/>
      <c r="C774" s="227"/>
      <c r="D774" s="227"/>
      <c r="E774" s="227"/>
      <c r="F774" s="228"/>
      <c r="G774" s="228"/>
    </row>
    <row r="775">
      <c r="A775" s="227"/>
      <c r="B775" s="227"/>
      <c r="C775" s="227"/>
      <c r="D775" s="227"/>
      <c r="E775" s="227"/>
      <c r="F775" s="228"/>
      <c r="G775" s="228"/>
    </row>
    <row r="776">
      <c r="A776" s="227"/>
      <c r="B776" s="227"/>
      <c r="C776" s="227"/>
      <c r="D776" s="227"/>
      <c r="E776" s="227"/>
      <c r="F776" s="228"/>
      <c r="G776" s="228"/>
    </row>
    <row r="777">
      <c r="A777" s="227"/>
      <c r="B777" s="227"/>
      <c r="C777" s="227"/>
      <c r="D777" s="227"/>
      <c r="E777" s="227"/>
      <c r="F777" s="228"/>
      <c r="G777" s="228"/>
    </row>
    <row r="778">
      <c r="A778" s="227"/>
      <c r="B778" s="227"/>
      <c r="C778" s="227"/>
      <c r="D778" s="227"/>
      <c r="E778" s="227"/>
      <c r="F778" s="228"/>
      <c r="G778" s="228"/>
    </row>
    <row r="779">
      <c r="A779" s="227"/>
      <c r="B779" s="227"/>
      <c r="C779" s="227"/>
      <c r="D779" s="227"/>
      <c r="E779" s="227"/>
      <c r="F779" s="228"/>
      <c r="G779" s="228"/>
    </row>
    <row r="780">
      <c r="A780" s="227"/>
      <c r="B780" s="227"/>
      <c r="C780" s="227"/>
      <c r="D780" s="227"/>
      <c r="E780" s="227"/>
      <c r="F780" s="228"/>
      <c r="G780" s="228"/>
    </row>
    <row r="781">
      <c r="A781" s="227"/>
      <c r="B781" s="227"/>
      <c r="C781" s="227"/>
      <c r="D781" s="227"/>
      <c r="E781" s="227"/>
      <c r="F781" s="228"/>
      <c r="G781" s="228"/>
    </row>
    <row r="782">
      <c r="A782" s="227"/>
      <c r="B782" s="227"/>
      <c r="C782" s="227"/>
      <c r="D782" s="227"/>
      <c r="E782" s="227"/>
      <c r="F782" s="228"/>
      <c r="G782" s="228"/>
    </row>
    <row r="783">
      <c r="A783" s="227"/>
      <c r="B783" s="227"/>
      <c r="C783" s="227"/>
      <c r="D783" s="227"/>
      <c r="E783" s="227"/>
      <c r="F783" s="228"/>
      <c r="G783" s="228"/>
    </row>
    <row r="784">
      <c r="A784" s="227"/>
      <c r="B784" s="227"/>
      <c r="C784" s="227"/>
      <c r="D784" s="227"/>
      <c r="E784" s="227"/>
      <c r="F784" s="228"/>
      <c r="G784" s="228"/>
    </row>
    <row r="785">
      <c r="A785" s="227"/>
      <c r="B785" s="227"/>
      <c r="C785" s="227"/>
      <c r="D785" s="227"/>
      <c r="E785" s="227"/>
      <c r="F785" s="228"/>
      <c r="G785" s="228"/>
    </row>
    <row r="786">
      <c r="A786" s="227"/>
      <c r="B786" s="227"/>
      <c r="C786" s="227"/>
      <c r="D786" s="227"/>
      <c r="E786" s="227"/>
      <c r="F786" s="228"/>
      <c r="G786" s="228"/>
    </row>
    <row r="787">
      <c r="A787" s="227"/>
      <c r="B787" s="227"/>
      <c r="C787" s="227"/>
      <c r="D787" s="227"/>
      <c r="E787" s="227"/>
      <c r="F787" s="228"/>
      <c r="G787" s="228"/>
    </row>
    <row r="788">
      <c r="A788" s="227"/>
      <c r="B788" s="227"/>
      <c r="C788" s="227"/>
      <c r="D788" s="227"/>
      <c r="E788" s="227"/>
      <c r="F788" s="228"/>
      <c r="G788" s="228"/>
    </row>
    <row r="789">
      <c r="A789" s="227"/>
      <c r="B789" s="227"/>
      <c r="C789" s="227"/>
      <c r="D789" s="227"/>
      <c r="E789" s="227"/>
      <c r="F789" s="228"/>
      <c r="G789" s="228"/>
    </row>
    <row r="790">
      <c r="A790" s="227"/>
      <c r="B790" s="227"/>
      <c r="C790" s="227"/>
      <c r="D790" s="227"/>
      <c r="E790" s="227"/>
      <c r="F790" s="228"/>
      <c r="G790" s="228"/>
    </row>
    <row r="791">
      <c r="A791" s="227"/>
      <c r="B791" s="227"/>
      <c r="C791" s="227"/>
      <c r="D791" s="227"/>
      <c r="E791" s="227"/>
      <c r="F791" s="228"/>
      <c r="G791" s="228"/>
    </row>
    <row r="792">
      <c r="A792" s="227"/>
      <c r="B792" s="227"/>
      <c r="C792" s="227"/>
      <c r="D792" s="227"/>
      <c r="E792" s="227"/>
      <c r="F792" s="228"/>
      <c r="G792" s="228"/>
    </row>
    <row r="793">
      <c r="A793" s="227"/>
      <c r="B793" s="227"/>
      <c r="C793" s="227"/>
      <c r="D793" s="227"/>
      <c r="E793" s="227"/>
      <c r="F793" s="228"/>
      <c r="G793" s="228"/>
    </row>
    <row r="794">
      <c r="A794" s="227"/>
      <c r="B794" s="227"/>
      <c r="C794" s="227"/>
      <c r="D794" s="227"/>
      <c r="E794" s="227"/>
      <c r="F794" s="228"/>
      <c r="G794" s="228"/>
    </row>
    <row r="795">
      <c r="A795" s="227"/>
      <c r="B795" s="227"/>
      <c r="C795" s="227"/>
      <c r="D795" s="227"/>
      <c r="E795" s="227"/>
      <c r="F795" s="228"/>
      <c r="G795" s="228"/>
    </row>
    <row r="796">
      <c r="A796" s="227"/>
      <c r="B796" s="227"/>
      <c r="C796" s="227"/>
      <c r="D796" s="227"/>
      <c r="E796" s="227"/>
      <c r="F796" s="228"/>
      <c r="G796" s="228"/>
    </row>
    <row r="797">
      <c r="A797" s="227"/>
      <c r="B797" s="227"/>
      <c r="C797" s="227"/>
      <c r="D797" s="227"/>
      <c r="E797" s="227"/>
      <c r="F797" s="228"/>
      <c r="G797" s="228"/>
    </row>
    <row r="798">
      <c r="A798" s="227"/>
      <c r="B798" s="227"/>
      <c r="C798" s="227"/>
      <c r="D798" s="227"/>
      <c r="E798" s="227"/>
      <c r="F798" s="228"/>
      <c r="G798" s="228"/>
    </row>
    <row r="799">
      <c r="A799" s="227"/>
      <c r="B799" s="227"/>
      <c r="C799" s="227"/>
      <c r="D799" s="227"/>
      <c r="E799" s="227"/>
      <c r="F799" s="228"/>
      <c r="G799" s="228"/>
    </row>
    <row r="800">
      <c r="A800" s="227"/>
      <c r="B800" s="227"/>
      <c r="C800" s="227"/>
      <c r="D800" s="227"/>
      <c r="E800" s="227"/>
      <c r="F800" s="228"/>
      <c r="G800" s="228"/>
    </row>
    <row r="801">
      <c r="A801" s="227"/>
      <c r="B801" s="227"/>
      <c r="C801" s="227"/>
      <c r="D801" s="227"/>
      <c r="E801" s="227"/>
      <c r="F801" s="228"/>
      <c r="G801" s="228"/>
    </row>
    <row r="802">
      <c r="A802" s="227"/>
      <c r="B802" s="227"/>
      <c r="C802" s="227"/>
      <c r="D802" s="227"/>
      <c r="E802" s="227"/>
      <c r="F802" s="228"/>
      <c r="G802" s="228"/>
    </row>
    <row r="803">
      <c r="A803" s="227"/>
      <c r="B803" s="227"/>
      <c r="C803" s="227"/>
      <c r="D803" s="227"/>
      <c r="E803" s="227"/>
      <c r="F803" s="228"/>
      <c r="G803" s="228"/>
    </row>
    <row r="804">
      <c r="A804" s="227"/>
      <c r="B804" s="227"/>
      <c r="C804" s="227"/>
      <c r="D804" s="227"/>
      <c r="E804" s="227"/>
      <c r="F804" s="228"/>
      <c r="G804" s="228"/>
    </row>
    <row r="805">
      <c r="A805" s="227"/>
      <c r="B805" s="227"/>
      <c r="C805" s="227"/>
      <c r="D805" s="227"/>
      <c r="E805" s="227"/>
      <c r="F805" s="228"/>
      <c r="G805" s="228"/>
    </row>
    <row r="806">
      <c r="A806" s="227"/>
      <c r="B806" s="227"/>
      <c r="C806" s="227"/>
      <c r="D806" s="227"/>
      <c r="E806" s="227"/>
      <c r="F806" s="228"/>
      <c r="G806" s="228"/>
    </row>
    <row r="807">
      <c r="A807" s="227"/>
      <c r="B807" s="227"/>
      <c r="C807" s="227"/>
      <c r="D807" s="227"/>
      <c r="E807" s="227"/>
      <c r="F807" s="228"/>
      <c r="G807" s="228"/>
    </row>
    <row r="808">
      <c r="A808" s="227"/>
      <c r="B808" s="227"/>
      <c r="C808" s="227"/>
      <c r="D808" s="227"/>
      <c r="E808" s="227"/>
      <c r="F808" s="228"/>
      <c r="G808" s="228"/>
    </row>
    <row r="809">
      <c r="A809" s="227"/>
      <c r="B809" s="227"/>
      <c r="C809" s="227"/>
      <c r="D809" s="227"/>
      <c r="E809" s="227"/>
      <c r="F809" s="228"/>
      <c r="G809" s="228"/>
    </row>
    <row r="810">
      <c r="A810" s="227"/>
      <c r="B810" s="227"/>
      <c r="C810" s="227"/>
      <c r="D810" s="227"/>
      <c r="E810" s="227"/>
      <c r="F810" s="228"/>
      <c r="G810" s="228"/>
    </row>
    <row r="811">
      <c r="A811" s="227"/>
      <c r="B811" s="227"/>
      <c r="C811" s="227"/>
      <c r="D811" s="227"/>
      <c r="E811" s="227"/>
      <c r="F811" s="228"/>
      <c r="G811" s="228"/>
    </row>
    <row r="812">
      <c r="A812" s="227"/>
      <c r="B812" s="227"/>
      <c r="C812" s="227"/>
      <c r="D812" s="227"/>
      <c r="E812" s="227"/>
      <c r="F812" s="228"/>
      <c r="G812" s="228"/>
    </row>
    <row r="813">
      <c r="A813" s="227"/>
      <c r="B813" s="227"/>
      <c r="C813" s="227"/>
      <c r="D813" s="227"/>
      <c r="E813" s="227"/>
      <c r="F813" s="228"/>
      <c r="G813" s="228"/>
    </row>
    <row r="814">
      <c r="A814" s="227"/>
      <c r="B814" s="227"/>
      <c r="C814" s="227"/>
      <c r="D814" s="227"/>
      <c r="E814" s="227"/>
      <c r="F814" s="228"/>
      <c r="G814" s="228"/>
    </row>
    <row r="815">
      <c r="A815" s="227"/>
      <c r="B815" s="227"/>
      <c r="C815" s="227"/>
      <c r="D815" s="227"/>
      <c r="E815" s="227"/>
      <c r="F815" s="228"/>
      <c r="G815" s="228"/>
    </row>
    <row r="816">
      <c r="A816" s="227"/>
      <c r="B816" s="227"/>
      <c r="C816" s="227"/>
      <c r="D816" s="227"/>
      <c r="E816" s="227"/>
      <c r="F816" s="228"/>
      <c r="G816" s="228"/>
    </row>
    <row r="817">
      <c r="A817" s="227"/>
      <c r="B817" s="227"/>
      <c r="C817" s="227"/>
      <c r="D817" s="227"/>
      <c r="E817" s="227"/>
      <c r="F817" s="228"/>
      <c r="G817" s="228"/>
    </row>
    <row r="818">
      <c r="A818" s="227"/>
      <c r="B818" s="227"/>
      <c r="C818" s="227"/>
      <c r="D818" s="227"/>
      <c r="E818" s="227"/>
      <c r="F818" s="228"/>
      <c r="G818" s="228"/>
    </row>
    <row r="819">
      <c r="A819" s="227"/>
      <c r="B819" s="227"/>
      <c r="C819" s="227"/>
      <c r="D819" s="227"/>
      <c r="E819" s="227"/>
      <c r="F819" s="228"/>
      <c r="G819" s="228"/>
    </row>
    <row r="820">
      <c r="A820" s="227"/>
      <c r="B820" s="227"/>
      <c r="C820" s="227"/>
      <c r="D820" s="227"/>
      <c r="E820" s="227"/>
      <c r="F820" s="228"/>
      <c r="G820" s="228"/>
    </row>
    <row r="821">
      <c r="A821" s="227"/>
      <c r="B821" s="227"/>
      <c r="C821" s="227"/>
      <c r="D821" s="227"/>
      <c r="E821" s="227"/>
      <c r="F821" s="228"/>
      <c r="G821" s="228"/>
    </row>
    <row r="822">
      <c r="A822" s="227"/>
      <c r="B822" s="227"/>
      <c r="C822" s="227"/>
      <c r="D822" s="227"/>
      <c r="E822" s="227"/>
      <c r="F822" s="228"/>
      <c r="G822" s="228"/>
    </row>
    <row r="823">
      <c r="A823" s="227"/>
      <c r="B823" s="227"/>
      <c r="C823" s="227"/>
      <c r="D823" s="227"/>
      <c r="E823" s="227"/>
      <c r="F823" s="228"/>
      <c r="G823" s="228"/>
    </row>
    <row r="824">
      <c r="A824" s="227"/>
      <c r="B824" s="227"/>
      <c r="C824" s="227"/>
      <c r="D824" s="227"/>
      <c r="E824" s="227"/>
      <c r="F824" s="228"/>
      <c r="G824" s="228"/>
    </row>
    <row r="825">
      <c r="A825" s="227"/>
      <c r="B825" s="227"/>
      <c r="C825" s="227"/>
      <c r="D825" s="227"/>
      <c r="E825" s="227"/>
      <c r="F825" s="228"/>
      <c r="G825" s="228"/>
    </row>
    <row r="826">
      <c r="A826" s="227"/>
      <c r="B826" s="227"/>
      <c r="C826" s="227"/>
      <c r="D826" s="227"/>
      <c r="E826" s="227"/>
      <c r="F826" s="228"/>
      <c r="G826" s="228"/>
    </row>
    <row r="827">
      <c r="A827" s="227"/>
      <c r="B827" s="227"/>
      <c r="C827" s="227"/>
      <c r="D827" s="227"/>
      <c r="E827" s="227"/>
      <c r="F827" s="228"/>
      <c r="G827" s="228"/>
    </row>
    <row r="828">
      <c r="A828" s="227"/>
      <c r="B828" s="227"/>
      <c r="C828" s="227"/>
      <c r="D828" s="227"/>
      <c r="E828" s="227"/>
      <c r="F828" s="228"/>
      <c r="G828" s="228"/>
    </row>
    <row r="829">
      <c r="A829" s="227"/>
      <c r="B829" s="227"/>
      <c r="C829" s="227"/>
      <c r="D829" s="227"/>
      <c r="E829" s="227"/>
      <c r="F829" s="228"/>
      <c r="G829" s="228"/>
    </row>
    <row r="830">
      <c r="A830" s="227"/>
      <c r="B830" s="227"/>
      <c r="C830" s="227"/>
      <c r="D830" s="227"/>
      <c r="E830" s="227"/>
      <c r="F830" s="228"/>
      <c r="G830" s="228"/>
    </row>
    <row r="831">
      <c r="A831" s="227"/>
      <c r="B831" s="227"/>
      <c r="C831" s="227"/>
      <c r="D831" s="227"/>
      <c r="E831" s="227"/>
      <c r="F831" s="228"/>
      <c r="G831" s="228"/>
    </row>
    <row r="832">
      <c r="A832" s="227"/>
      <c r="B832" s="227"/>
      <c r="C832" s="227"/>
      <c r="D832" s="227"/>
      <c r="E832" s="227"/>
      <c r="F832" s="228"/>
      <c r="G832" s="228"/>
    </row>
    <row r="833">
      <c r="A833" s="227"/>
      <c r="B833" s="227"/>
      <c r="C833" s="227"/>
      <c r="D833" s="227"/>
      <c r="E833" s="227"/>
      <c r="F833" s="228"/>
      <c r="G833" s="228"/>
    </row>
    <row r="834">
      <c r="A834" s="227"/>
      <c r="B834" s="227"/>
      <c r="C834" s="227"/>
      <c r="D834" s="227"/>
      <c r="E834" s="227"/>
      <c r="F834" s="228"/>
      <c r="G834" s="228"/>
    </row>
    <row r="835">
      <c r="A835" s="227"/>
      <c r="B835" s="227"/>
      <c r="C835" s="227"/>
      <c r="D835" s="227"/>
      <c r="E835" s="227"/>
      <c r="F835" s="228"/>
      <c r="G835" s="228"/>
    </row>
    <row r="836">
      <c r="A836" s="227"/>
      <c r="B836" s="227"/>
      <c r="C836" s="227"/>
      <c r="D836" s="227"/>
      <c r="E836" s="227"/>
      <c r="F836" s="228"/>
      <c r="G836" s="228"/>
    </row>
    <row r="837">
      <c r="A837" s="227"/>
      <c r="B837" s="227"/>
      <c r="C837" s="227"/>
      <c r="D837" s="227"/>
      <c r="E837" s="227"/>
      <c r="F837" s="228"/>
      <c r="G837" s="228"/>
    </row>
    <row r="838">
      <c r="A838" s="227"/>
      <c r="B838" s="227"/>
      <c r="C838" s="227"/>
      <c r="D838" s="227"/>
      <c r="E838" s="227"/>
      <c r="F838" s="228"/>
      <c r="G838" s="228"/>
    </row>
    <row r="839">
      <c r="A839" s="227"/>
      <c r="B839" s="227"/>
      <c r="C839" s="227"/>
      <c r="D839" s="227"/>
      <c r="E839" s="227"/>
      <c r="F839" s="228"/>
      <c r="G839" s="228"/>
    </row>
    <row r="840">
      <c r="A840" s="227"/>
      <c r="B840" s="227"/>
      <c r="C840" s="227"/>
      <c r="D840" s="227"/>
      <c r="E840" s="227"/>
      <c r="F840" s="228"/>
      <c r="G840" s="228"/>
    </row>
    <row r="841">
      <c r="A841" s="227"/>
      <c r="B841" s="227"/>
      <c r="C841" s="227"/>
      <c r="D841" s="227"/>
      <c r="E841" s="227"/>
      <c r="F841" s="228"/>
      <c r="G841" s="228"/>
    </row>
    <row r="842">
      <c r="A842" s="227"/>
      <c r="B842" s="227"/>
      <c r="C842" s="227"/>
      <c r="D842" s="227"/>
      <c r="E842" s="227"/>
      <c r="F842" s="228"/>
      <c r="G842" s="228"/>
    </row>
    <row r="843">
      <c r="A843" s="227"/>
      <c r="B843" s="227"/>
      <c r="C843" s="227"/>
      <c r="D843" s="227"/>
      <c r="E843" s="227"/>
      <c r="F843" s="228"/>
      <c r="G843" s="228"/>
    </row>
    <row r="844">
      <c r="A844" s="227"/>
      <c r="B844" s="227"/>
      <c r="C844" s="227"/>
      <c r="D844" s="227"/>
      <c r="E844" s="227"/>
      <c r="F844" s="228"/>
      <c r="G844" s="228"/>
    </row>
    <row r="845">
      <c r="A845" s="227"/>
      <c r="B845" s="227"/>
      <c r="C845" s="227"/>
      <c r="D845" s="227"/>
      <c r="E845" s="227"/>
      <c r="F845" s="228"/>
      <c r="G845" s="228"/>
    </row>
    <row r="846">
      <c r="A846" s="227"/>
      <c r="B846" s="227"/>
      <c r="C846" s="227"/>
      <c r="D846" s="227"/>
      <c r="E846" s="227"/>
      <c r="F846" s="228"/>
      <c r="G846" s="228"/>
    </row>
    <row r="847">
      <c r="A847" s="227"/>
      <c r="B847" s="227"/>
      <c r="C847" s="227"/>
      <c r="D847" s="227"/>
      <c r="E847" s="227"/>
      <c r="F847" s="228"/>
      <c r="G847" s="228"/>
    </row>
    <row r="848">
      <c r="A848" s="227"/>
      <c r="B848" s="227"/>
      <c r="C848" s="227"/>
      <c r="D848" s="227"/>
      <c r="E848" s="227"/>
      <c r="F848" s="228"/>
      <c r="G848" s="228"/>
    </row>
    <row r="849">
      <c r="A849" s="227"/>
      <c r="B849" s="227"/>
      <c r="C849" s="227"/>
      <c r="D849" s="227"/>
      <c r="E849" s="227"/>
      <c r="F849" s="228"/>
      <c r="G849" s="228"/>
    </row>
    <row r="850">
      <c r="A850" s="227"/>
      <c r="B850" s="227"/>
      <c r="C850" s="227"/>
      <c r="D850" s="227"/>
      <c r="E850" s="227"/>
      <c r="F850" s="228"/>
      <c r="G850" s="228"/>
    </row>
    <row r="851">
      <c r="A851" s="227"/>
      <c r="B851" s="227"/>
      <c r="C851" s="227"/>
      <c r="D851" s="227"/>
      <c r="E851" s="227"/>
      <c r="F851" s="228"/>
      <c r="G851" s="228"/>
    </row>
    <row r="852">
      <c r="A852" s="227"/>
      <c r="B852" s="227"/>
      <c r="C852" s="227"/>
      <c r="D852" s="227"/>
      <c r="E852" s="227"/>
      <c r="F852" s="228"/>
      <c r="G852" s="228"/>
    </row>
    <row r="853">
      <c r="A853" s="227"/>
      <c r="B853" s="227"/>
      <c r="C853" s="227"/>
      <c r="D853" s="227"/>
      <c r="E853" s="227"/>
      <c r="F853" s="228"/>
      <c r="G853" s="228"/>
    </row>
    <row r="854">
      <c r="A854" s="227"/>
      <c r="B854" s="227"/>
      <c r="C854" s="227"/>
      <c r="D854" s="227"/>
      <c r="E854" s="227"/>
      <c r="F854" s="228"/>
      <c r="G854" s="228"/>
    </row>
    <row r="855">
      <c r="A855" s="227"/>
      <c r="B855" s="227"/>
      <c r="C855" s="227"/>
      <c r="D855" s="227"/>
      <c r="E855" s="227"/>
      <c r="F855" s="228"/>
      <c r="G855" s="228"/>
    </row>
    <row r="856">
      <c r="A856" s="227"/>
      <c r="B856" s="227"/>
      <c r="C856" s="227"/>
      <c r="D856" s="227"/>
      <c r="E856" s="227"/>
      <c r="F856" s="228"/>
      <c r="G856" s="228"/>
    </row>
    <row r="857">
      <c r="A857" s="227"/>
      <c r="B857" s="227"/>
      <c r="C857" s="227"/>
      <c r="D857" s="227"/>
      <c r="E857" s="227"/>
      <c r="F857" s="228"/>
      <c r="G857" s="228"/>
    </row>
    <row r="858">
      <c r="A858" s="227"/>
      <c r="B858" s="227"/>
      <c r="C858" s="227"/>
      <c r="D858" s="227"/>
      <c r="E858" s="227"/>
      <c r="F858" s="228"/>
      <c r="G858" s="228"/>
    </row>
    <row r="859">
      <c r="A859" s="227"/>
      <c r="B859" s="227"/>
      <c r="C859" s="227"/>
      <c r="D859" s="227"/>
      <c r="E859" s="227"/>
      <c r="F859" s="228"/>
      <c r="G859" s="228"/>
    </row>
    <row r="860">
      <c r="A860" s="227"/>
      <c r="B860" s="227"/>
      <c r="C860" s="227"/>
      <c r="D860" s="227"/>
      <c r="E860" s="227"/>
      <c r="F860" s="228"/>
      <c r="G860" s="228"/>
    </row>
    <row r="861">
      <c r="A861" s="227"/>
      <c r="B861" s="227"/>
      <c r="C861" s="227"/>
      <c r="D861" s="227"/>
      <c r="E861" s="227"/>
      <c r="F861" s="228"/>
      <c r="G861" s="228"/>
    </row>
    <row r="862">
      <c r="A862" s="227"/>
      <c r="B862" s="227"/>
      <c r="C862" s="227"/>
      <c r="D862" s="227"/>
      <c r="E862" s="227"/>
      <c r="F862" s="228"/>
      <c r="G862" s="228"/>
    </row>
    <row r="863">
      <c r="A863" s="227"/>
      <c r="B863" s="227"/>
      <c r="C863" s="227"/>
      <c r="D863" s="227"/>
      <c r="E863" s="227"/>
      <c r="F863" s="228"/>
      <c r="G863" s="228"/>
    </row>
    <row r="864">
      <c r="A864" s="227"/>
      <c r="B864" s="227"/>
      <c r="C864" s="227"/>
      <c r="D864" s="227"/>
      <c r="E864" s="227"/>
      <c r="F864" s="228"/>
      <c r="G864" s="228"/>
    </row>
    <row r="865">
      <c r="A865" s="227"/>
      <c r="B865" s="227"/>
      <c r="C865" s="227"/>
      <c r="D865" s="227"/>
      <c r="E865" s="227"/>
      <c r="F865" s="228"/>
      <c r="G865" s="228"/>
    </row>
    <row r="866">
      <c r="A866" s="227"/>
      <c r="B866" s="227"/>
      <c r="C866" s="227"/>
      <c r="D866" s="227"/>
      <c r="E866" s="227"/>
      <c r="F866" s="228"/>
      <c r="G866" s="228"/>
    </row>
    <row r="867">
      <c r="A867" s="227"/>
      <c r="B867" s="227"/>
      <c r="C867" s="227"/>
      <c r="D867" s="227"/>
      <c r="E867" s="227"/>
      <c r="F867" s="228"/>
      <c r="G867" s="228"/>
    </row>
    <row r="868">
      <c r="A868" s="227"/>
      <c r="B868" s="227"/>
      <c r="C868" s="227"/>
      <c r="D868" s="227"/>
      <c r="E868" s="227"/>
      <c r="F868" s="228"/>
      <c r="G868" s="228"/>
    </row>
    <row r="869">
      <c r="A869" s="227"/>
      <c r="B869" s="227"/>
      <c r="C869" s="227"/>
      <c r="D869" s="227"/>
      <c r="E869" s="227"/>
      <c r="F869" s="228"/>
      <c r="G869" s="228"/>
    </row>
    <row r="870">
      <c r="A870" s="227"/>
      <c r="B870" s="227"/>
      <c r="C870" s="227"/>
      <c r="D870" s="227"/>
      <c r="E870" s="227"/>
      <c r="F870" s="228"/>
      <c r="G870" s="228"/>
    </row>
    <row r="871">
      <c r="A871" s="227"/>
      <c r="B871" s="227"/>
      <c r="C871" s="227"/>
      <c r="D871" s="227"/>
      <c r="E871" s="227"/>
      <c r="F871" s="228"/>
      <c r="G871" s="228"/>
    </row>
    <row r="872">
      <c r="A872" s="227"/>
      <c r="B872" s="227"/>
      <c r="C872" s="227"/>
      <c r="D872" s="227"/>
      <c r="E872" s="227"/>
      <c r="F872" s="228"/>
      <c r="G872" s="228"/>
    </row>
    <row r="873">
      <c r="A873" s="227"/>
      <c r="B873" s="227"/>
      <c r="C873" s="227"/>
      <c r="D873" s="227"/>
      <c r="E873" s="227"/>
      <c r="F873" s="228"/>
      <c r="G873" s="228"/>
    </row>
    <row r="874">
      <c r="A874" s="227"/>
      <c r="B874" s="227"/>
      <c r="C874" s="227"/>
      <c r="D874" s="227"/>
      <c r="E874" s="227"/>
      <c r="F874" s="228"/>
      <c r="G874" s="228"/>
    </row>
    <row r="875">
      <c r="A875" s="227"/>
      <c r="B875" s="227"/>
      <c r="C875" s="227"/>
      <c r="D875" s="227"/>
      <c r="E875" s="227"/>
      <c r="F875" s="228"/>
      <c r="G875" s="228"/>
    </row>
    <row r="876">
      <c r="A876" s="227"/>
      <c r="B876" s="227"/>
      <c r="C876" s="227"/>
      <c r="D876" s="227"/>
      <c r="E876" s="227"/>
      <c r="F876" s="228"/>
      <c r="G876" s="228"/>
    </row>
    <row r="877">
      <c r="A877" s="227"/>
      <c r="B877" s="227"/>
      <c r="C877" s="227"/>
      <c r="D877" s="227"/>
      <c r="E877" s="227"/>
      <c r="F877" s="228"/>
      <c r="G877" s="228"/>
    </row>
    <row r="878">
      <c r="A878" s="227"/>
      <c r="B878" s="227"/>
      <c r="C878" s="227"/>
      <c r="D878" s="227"/>
      <c r="E878" s="227"/>
      <c r="F878" s="228"/>
      <c r="G878" s="228"/>
    </row>
    <row r="879">
      <c r="A879" s="227"/>
      <c r="B879" s="227"/>
      <c r="C879" s="227"/>
      <c r="D879" s="227"/>
      <c r="E879" s="227"/>
      <c r="F879" s="228"/>
      <c r="G879" s="228"/>
    </row>
    <row r="880">
      <c r="A880" s="227"/>
      <c r="B880" s="227"/>
      <c r="C880" s="227"/>
      <c r="D880" s="227"/>
      <c r="E880" s="227"/>
      <c r="F880" s="228"/>
      <c r="G880" s="228"/>
    </row>
    <row r="881">
      <c r="A881" s="227"/>
      <c r="B881" s="227"/>
      <c r="C881" s="227"/>
      <c r="D881" s="227"/>
      <c r="E881" s="227"/>
      <c r="F881" s="228"/>
      <c r="G881" s="228"/>
    </row>
    <row r="882">
      <c r="A882" s="227"/>
      <c r="B882" s="227"/>
      <c r="C882" s="227"/>
      <c r="D882" s="227"/>
      <c r="E882" s="227"/>
      <c r="F882" s="228"/>
      <c r="G882" s="228"/>
    </row>
    <row r="883">
      <c r="A883" s="227"/>
      <c r="B883" s="227"/>
      <c r="C883" s="227"/>
      <c r="D883" s="227"/>
      <c r="E883" s="227"/>
      <c r="F883" s="228"/>
      <c r="G883" s="228"/>
    </row>
    <row r="884">
      <c r="A884" s="227"/>
      <c r="B884" s="227"/>
      <c r="C884" s="227"/>
      <c r="D884" s="227"/>
      <c r="E884" s="227"/>
      <c r="F884" s="228"/>
      <c r="G884" s="228"/>
    </row>
    <row r="885">
      <c r="A885" s="227"/>
      <c r="B885" s="227"/>
      <c r="C885" s="227"/>
      <c r="D885" s="227"/>
      <c r="E885" s="227"/>
      <c r="F885" s="228"/>
      <c r="G885" s="228"/>
    </row>
    <row r="886">
      <c r="A886" s="227"/>
      <c r="B886" s="227"/>
      <c r="C886" s="227"/>
      <c r="D886" s="227"/>
      <c r="E886" s="227"/>
      <c r="F886" s="228"/>
      <c r="G886" s="228"/>
    </row>
    <row r="887">
      <c r="A887" s="227"/>
      <c r="B887" s="227"/>
      <c r="C887" s="227"/>
      <c r="D887" s="227"/>
      <c r="E887" s="227"/>
      <c r="F887" s="228"/>
      <c r="G887" s="228"/>
    </row>
    <row r="888">
      <c r="A888" s="227"/>
      <c r="B888" s="227"/>
      <c r="C888" s="227"/>
      <c r="D888" s="227"/>
      <c r="E888" s="227"/>
      <c r="F888" s="228"/>
      <c r="G888" s="228"/>
    </row>
    <row r="889">
      <c r="A889" s="227"/>
      <c r="B889" s="227"/>
      <c r="C889" s="227"/>
      <c r="D889" s="227"/>
      <c r="E889" s="227"/>
      <c r="F889" s="228"/>
      <c r="G889" s="228"/>
    </row>
    <row r="890">
      <c r="A890" s="227"/>
      <c r="B890" s="227"/>
      <c r="C890" s="227"/>
      <c r="D890" s="227"/>
      <c r="E890" s="227"/>
      <c r="F890" s="228"/>
      <c r="G890" s="228"/>
    </row>
    <row r="891">
      <c r="A891" s="227"/>
      <c r="B891" s="227"/>
      <c r="C891" s="227"/>
      <c r="D891" s="227"/>
      <c r="E891" s="227"/>
      <c r="F891" s="228"/>
      <c r="G891" s="228"/>
    </row>
    <row r="892">
      <c r="A892" s="227"/>
      <c r="B892" s="227"/>
      <c r="C892" s="227"/>
      <c r="D892" s="227"/>
      <c r="E892" s="227"/>
      <c r="F892" s="228"/>
      <c r="G892" s="228"/>
    </row>
    <row r="893">
      <c r="A893" s="227"/>
      <c r="B893" s="227"/>
      <c r="C893" s="227"/>
      <c r="D893" s="227"/>
      <c r="E893" s="227"/>
      <c r="F893" s="228"/>
      <c r="G893" s="228"/>
    </row>
    <row r="894">
      <c r="A894" s="227"/>
      <c r="B894" s="227"/>
      <c r="C894" s="227"/>
      <c r="D894" s="227"/>
      <c r="E894" s="227"/>
      <c r="F894" s="228"/>
      <c r="G894" s="228"/>
    </row>
    <row r="895">
      <c r="A895" s="227"/>
      <c r="B895" s="227"/>
      <c r="C895" s="227"/>
      <c r="D895" s="227"/>
      <c r="E895" s="227"/>
      <c r="F895" s="228"/>
      <c r="G895" s="228"/>
    </row>
    <row r="896">
      <c r="A896" s="227"/>
      <c r="B896" s="227"/>
      <c r="C896" s="227"/>
      <c r="D896" s="227"/>
      <c r="E896" s="227"/>
      <c r="F896" s="228"/>
      <c r="G896" s="228"/>
    </row>
    <row r="897">
      <c r="A897" s="227"/>
      <c r="B897" s="227"/>
      <c r="C897" s="227"/>
      <c r="D897" s="227"/>
      <c r="E897" s="227"/>
      <c r="F897" s="228"/>
      <c r="G897" s="228"/>
    </row>
    <row r="898">
      <c r="A898" s="227"/>
      <c r="B898" s="227"/>
      <c r="C898" s="227"/>
      <c r="D898" s="227"/>
      <c r="E898" s="227"/>
      <c r="F898" s="228"/>
      <c r="G898" s="228"/>
    </row>
    <row r="899">
      <c r="A899" s="227"/>
      <c r="B899" s="227"/>
      <c r="C899" s="227"/>
      <c r="D899" s="227"/>
      <c r="E899" s="227"/>
      <c r="F899" s="228"/>
      <c r="G899" s="228"/>
    </row>
    <row r="900">
      <c r="A900" s="227"/>
      <c r="B900" s="227"/>
      <c r="C900" s="227"/>
      <c r="D900" s="227"/>
      <c r="E900" s="227"/>
      <c r="F900" s="228"/>
      <c r="G900" s="228"/>
    </row>
    <row r="901">
      <c r="A901" s="227"/>
      <c r="B901" s="227"/>
      <c r="C901" s="227"/>
      <c r="D901" s="227"/>
      <c r="E901" s="227"/>
      <c r="F901" s="228"/>
      <c r="G901" s="228"/>
    </row>
    <row r="902">
      <c r="A902" s="227"/>
      <c r="B902" s="227"/>
      <c r="C902" s="227"/>
      <c r="D902" s="227"/>
      <c r="E902" s="227"/>
      <c r="F902" s="228"/>
      <c r="G902" s="228"/>
    </row>
    <row r="903">
      <c r="A903" s="227"/>
      <c r="B903" s="227"/>
      <c r="C903" s="227"/>
      <c r="D903" s="227"/>
      <c r="E903" s="227"/>
      <c r="F903" s="228"/>
      <c r="G903" s="228"/>
    </row>
    <row r="904">
      <c r="A904" s="227"/>
      <c r="B904" s="227"/>
      <c r="C904" s="227"/>
      <c r="D904" s="227"/>
      <c r="E904" s="227"/>
      <c r="F904" s="228"/>
      <c r="G904" s="228"/>
    </row>
    <row r="905">
      <c r="A905" s="227"/>
      <c r="B905" s="227"/>
      <c r="C905" s="227"/>
      <c r="D905" s="227"/>
      <c r="E905" s="227"/>
      <c r="F905" s="228"/>
      <c r="G905" s="228"/>
    </row>
    <row r="906">
      <c r="A906" s="227"/>
      <c r="B906" s="227"/>
      <c r="C906" s="227"/>
      <c r="D906" s="227"/>
      <c r="E906" s="227"/>
      <c r="F906" s="228"/>
      <c r="G906" s="228"/>
    </row>
    <row r="907">
      <c r="A907" s="227"/>
      <c r="B907" s="227"/>
      <c r="C907" s="227"/>
      <c r="D907" s="227"/>
      <c r="E907" s="227"/>
      <c r="F907" s="228"/>
      <c r="G907" s="228"/>
    </row>
    <row r="908">
      <c r="A908" s="227"/>
      <c r="B908" s="227"/>
      <c r="C908" s="227"/>
      <c r="D908" s="227"/>
      <c r="E908" s="227"/>
      <c r="F908" s="228"/>
      <c r="G908" s="228"/>
    </row>
    <row r="909">
      <c r="A909" s="227"/>
      <c r="B909" s="227"/>
      <c r="C909" s="227"/>
      <c r="D909" s="227"/>
      <c r="E909" s="227"/>
      <c r="F909" s="228"/>
      <c r="G909" s="228"/>
    </row>
    <row r="910">
      <c r="A910" s="227"/>
      <c r="B910" s="227"/>
      <c r="C910" s="227"/>
      <c r="D910" s="227"/>
      <c r="E910" s="227"/>
      <c r="F910" s="228"/>
      <c r="G910" s="228"/>
    </row>
    <row r="911">
      <c r="A911" s="227"/>
      <c r="B911" s="227"/>
      <c r="C911" s="227"/>
      <c r="D911" s="227"/>
      <c r="E911" s="227"/>
      <c r="F911" s="228"/>
      <c r="G911" s="228"/>
    </row>
    <row r="912">
      <c r="A912" s="227"/>
      <c r="B912" s="227"/>
      <c r="C912" s="227"/>
      <c r="D912" s="227"/>
      <c r="E912" s="227"/>
      <c r="F912" s="228"/>
      <c r="G912" s="228"/>
    </row>
    <row r="913">
      <c r="A913" s="227"/>
      <c r="B913" s="227"/>
      <c r="C913" s="227"/>
      <c r="D913" s="227"/>
      <c r="E913" s="227"/>
      <c r="F913" s="228"/>
      <c r="G913" s="228"/>
    </row>
    <row r="914">
      <c r="A914" s="227"/>
      <c r="B914" s="227"/>
      <c r="C914" s="227"/>
      <c r="D914" s="227"/>
      <c r="E914" s="227"/>
      <c r="F914" s="228"/>
      <c r="G914" s="228"/>
    </row>
    <row r="915">
      <c r="A915" s="227"/>
      <c r="B915" s="227"/>
      <c r="C915" s="227"/>
      <c r="D915" s="227"/>
      <c r="E915" s="227"/>
      <c r="F915" s="228"/>
      <c r="G915" s="228"/>
    </row>
    <row r="916">
      <c r="A916" s="227"/>
      <c r="B916" s="227"/>
      <c r="C916" s="227"/>
      <c r="D916" s="227"/>
      <c r="E916" s="227"/>
      <c r="F916" s="228"/>
      <c r="G916" s="228"/>
    </row>
    <row r="917">
      <c r="A917" s="227"/>
      <c r="B917" s="227"/>
      <c r="C917" s="227"/>
      <c r="D917" s="227"/>
      <c r="E917" s="227"/>
      <c r="F917" s="228"/>
      <c r="G917" s="228"/>
    </row>
    <row r="918">
      <c r="A918" s="227"/>
      <c r="B918" s="227"/>
      <c r="C918" s="227"/>
      <c r="D918" s="227"/>
      <c r="E918" s="227"/>
      <c r="F918" s="228"/>
      <c r="G918" s="228"/>
    </row>
    <row r="919">
      <c r="A919" s="227"/>
      <c r="B919" s="227"/>
      <c r="C919" s="227"/>
      <c r="D919" s="227"/>
      <c r="E919" s="227"/>
      <c r="F919" s="228"/>
      <c r="G919" s="228"/>
    </row>
    <row r="920">
      <c r="A920" s="227"/>
      <c r="B920" s="227"/>
      <c r="C920" s="227"/>
      <c r="D920" s="227"/>
      <c r="E920" s="227"/>
      <c r="F920" s="228"/>
      <c r="G920" s="228"/>
    </row>
    <row r="921">
      <c r="A921" s="227"/>
      <c r="B921" s="227"/>
      <c r="C921" s="227"/>
      <c r="D921" s="227"/>
      <c r="E921" s="227"/>
      <c r="F921" s="228"/>
      <c r="G921" s="228"/>
    </row>
    <row r="922">
      <c r="A922" s="227"/>
      <c r="B922" s="227"/>
      <c r="C922" s="227"/>
      <c r="D922" s="227"/>
      <c r="E922" s="227"/>
      <c r="F922" s="228"/>
      <c r="G922" s="228"/>
    </row>
    <row r="923">
      <c r="A923" s="227"/>
      <c r="B923" s="227"/>
      <c r="C923" s="227"/>
      <c r="D923" s="227"/>
      <c r="E923" s="227"/>
      <c r="F923" s="228"/>
      <c r="G923" s="228"/>
    </row>
    <row r="924">
      <c r="A924" s="227"/>
      <c r="B924" s="227"/>
      <c r="C924" s="227"/>
      <c r="D924" s="227"/>
      <c r="E924" s="227"/>
      <c r="F924" s="228"/>
      <c r="G924" s="228"/>
    </row>
    <row r="925">
      <c r="A925" s="227"/>
      <c r="B925" s="227"/>
      <c r="C925" s="227"/>
      <c r="D925" s="227"/>
      <c r="E925" s="227"/>
      <c r="F925" s="228"/>
      <c r="G925" s="228"/>
    </row>
    <row r="926">
      <c r="A926" s="227"/>
      <c r="B926" s="227"/>
      <c r="C926" s="227"/>
      <c r="D926" s="227"/>
      <c r="E926" s="227"/>
      <c r="F926" s="228"/>
      <c r="G926" s="228"/>
    </row>
    <row r="927">
      <c r="A927" s="227"/>
      <c r="B927" s="227"/>
      <c r="C927" s="227"/>
      <c r="D927" s="227"/>
      <c r="E927" s="227"/>
      <c r="F927" s="228"/>
      <c r="G927" s="228"/>
    </row>
    <row r="928">
      <c r="A928" s="227"/>
      <c r="B928" s="227"/>
      <c r="C928" s="227"/>
      <c r="D928" s="227"/>
      <c r="E928" s="227"/>
      <c r="F928" s="228"/>
      <c r="G928" s="228"/>
    </row>
    <row r="929">
      <c r="A929" s="227"/>
      <c r="B929" s="227"/>
      <c r="C929" s="227"/>
      <c r="D929" s="227"/>
      <c r="E929" s="227"/>
      <c r="F929" s="228"/>
      <c r="G929" s="228"/>
    </row>
    <row r="930">
      <c r="A930" s="227"/>
      <c r="B930" s="227"/>
      <c r="C930" s="227"/>
      <c r="D930" s="227"/>
      <c r="E930" s="227"/>
      <c r="F930" s="228"/>
      <c r="G930" s="228"/>
    </row>
    <row r="931">
      <c r="A931" s="227"/>
      <c r="B931" s="227"/>
      <c r="C931" s="227"/>
      <c r="D931" s="227"/>
      <c r="E931" s="227"/>
      <c r="F931" s="228"/>
      <c r="G931" s="228"/>
    </row>
    <row r="932">
      <c r="A932" s="227"/>
      <c r="B932" s="227"/>
      <c r="C932" s="227"/>
      <c r="D932" s="227"/>
      <c r="E932" s="227"/>
      <c r="F932" s="228"/>
      <c r="G932" s="228"/>
    </row>
    <row r="933">
      <c r="A933" s="227"/>
      <c r="B933" s="227"/>
      <c r="C933" s="227"/>
      <c r="D933" s="227"/>
      <c r="E933" s="227"/>
      <c r="F933" s="228"/>
      <c r="G933" s="228"/>
    </row>
    <row r="934">
      <c r="A934" s="227"/>
      <c r="B934" s="227"/>
      <c r="C934" s="227"/>
      <c r="D934" s="227"/>
      <c r="E934" s="227"/>
      <c r="F934" s="228"/>
      <c r="G934" s="228"/>
    </row>
    <row r="935">
      <c r="A935" s="227"/>
      <c r="B935" s="227"/>
      <c r="C935" s="227"/>
      <c r="D935" s="227"/>
      <c r="E935" s="227"/>
      <c r="F935" s="228"/>
      <c r="G935" s="228"/>
    </row>
    <row r="936">
      <c r="A936" s="227"/>
      <c r="B936" s="227"/>
      <c r="C936" s="227"/>
      <c r="D936" s="227"/>
      <c r="E936" s="227"/>
      <c r="F936" s="228"/>
      <c r="G936" s="228"/>
    </row>
    <row r="937">
      <c r="A937" s="227"/>
      <c r="B937" s="227"/>
      <c r="C937" s="227"/>
      <c r="D937" s="227"/>
      <c r="E937" s="227"/>
      <c r="F937" s="228"/>
      <c r="G937" s="228"/>
    </row>
    <row r="938">
      <c r="A938" s="227"/>
      <c r="B938" s="227"/>
      <c r="C938" s="227"/>
      <c r="D938" s="227"/>
      <c r="E938" s="227"/>
      <c r="F938" s="228"/>
      <c r="G938" s="228"/>
    </row>
    <row r="939">
      <c r="A939" s="227"/>
      <c r="B939" s="227"/>
      <c r="C939" s="227"/>
      <c r="D939" s="227"/>
      <c r="E939" s="227"/>
      <c r="F939" s="228"/>
      <c r="G939" s="228"/>
    </row>
    <row r="940">
      <c r="A940" s="227"/>
      <c r="B940" s="227"/>
      <c r="C940" s="227"/>
      <c r="D940" s="227"/>
      <c r="E940" s="227"/>
      <c r="F940" s="228"/>
      <c r="G940" s="228"/>
    </row>
    <row r="941">
      <c r="A941" s="227"/>
      <c r="B941" s="227"/>
      <c r="C941" s="227"/>
      <c r="D941" s="227"/>
      <c r="E941" s="227"/>
      <c r="F941" s="228"/>
      <c r="G941" s="228"/>
    </row>
    <row r="942">
      <c r="A942" s="227"/>
      <c r="B942" s="227"/>
      <c r="C942" s="227"/>
      <c r="D942" s="227"/>
      <c r="E942" s="227"/>
      <c r="F942" s="228"/>
      <c r="G942" s="228"/>
    </row>
    <row r="943">
      <c r="A943" s="227"/>
      <c r="B943" s="227"/>
      <c r="C943" s="227"/>
      <c r="D943" s="227"/>
      <c r="E943" s="227"/>
      <c r="F943" s="228"/>
      <c r="G943" s="228"/>
    </row>
    <row r="944">
      <c r="A944" s="227"/>
      <c r="B944" s="227"/>
      <c r="C944" s="227"/>
      <c r="D944" s="227"/>
      <c r="E944" s="227"/>
      <c r="F944" s="228"/>
      <c r="G944" s="228"/>
    </row>
    <row r="945">
      <c r="A945" s="227"/>
      <c r="B945" s="227"/>
      <c r="C945" s="227"/>
      <c r="D945" s="227"/>
      <c r="E945" s="227"/>
      <c r="F945" s="228"/>
      <c r="G945" s="228"/>
    </row>
    <row r="946">
      <c r="A946" s="227"/>
      <c r="B946" s="227"/>
      <c r="C946" s="227"/>
      <c r="D946" s="227"/>
      <c r="E946" s="227"/>
      <c r="F946" s="228"/>
      <c r="G946" s="228"/>
    </row>
    <row r="947">
      <c r="A947" s="227"/>
      <c r="B947" s="227"/>
      <c r="C947" s="227"/>
      <c r="D947" s="227"/>
      <c r="E947" s="227"/>
      <c r="F947" s="228"/>
      <c r="G947" s="228"/>
    </row>
    <row r="948">
      <c r="A948" s="227"/>
      <c r="B948" s="227"/>
      <c r="C948" s="227"/>
      <c r="D948" s="227"/>
      <c r="E948" s="227"/>
      <c r="F948" s="228"/>
      <c r="G948" s="228"/>
    </row>
    <row r="949">
      <c r="A949" s="227"/>
      <c r="B949" s="227"/>
      <c r="C949" s="227"/>
      <c r="D949" s="227"/>
      <c r="E949" s="227"/>
      <c r="F949" s="228"/>
      <c r="G949" s="228"/>
    </row>
    <row r="950">
      <c r="A950" s="227"/>
      <c r="B950" s="227"/>
      <c r="C950" s="227"/>
      <c r="D950" s="227"/>
      <c r="E950" s="227"/>
      <c r="F950" s="228"/>
      <c r="G950" s="228"/>
    </row>
    <row r="951">
      <c r="A951" s="227"/>
      <c r="B951" s="227"/>
      <c r="C951" s="227"/>
      <c r="D951" s="227"/>
      <c r="E951" s="227"/>
      <c r="F951" s="228"/>
      <c r="G951" s="228"/>
    </row>
    <row r="952">
      <c r="A952" s="227"/>
      <c r="B952" s="227"/>
      <c r="C952" s="227"/>
      <c r="D952" s="227"/>
      <c r="E952" s="227"/>
      <c r="F952" s="228"/>
      <c r="G952" s="228"/>
    </row>
    <row r="953">
      <c r="A953" s="227"/>
      <c r="B953" s="227"/>
      <c r="C953" s="227"/>
      <c r="D953" s="227"/>
      <c r="E953" s="227"/>
      <c r="F953" s="228"/>
      <c r="G953" s="228"/>
    </row>
    <row r="954">
      <c r="A954" s="227"/>
      <c r="B954" s="227"/>
      <c r="C954" s="227"/>
      <c r="D954" s="227"/>
      <c r="E954" s="227"/>
      <c r="F954" s="228"/>
      <c r="G954" s="228"/>
    </row>
    <row r="955">
      <c r="A955" s="227"/>
      <c r="B955" s="227"/>
      <c r="C955" s="227"/>
      <c r="D955" s="227"/>
      <c r="E955" s="227"/>
      <c r="F955" s="228"/>
      <c r="G955" s="228"/>
    </row>
    <row r="956">
      <c r="A956" s="227"/>
      <c r="B956" s="227"/>
      <c r="C956" s="227"/>
      <c r="D956" s="227"/>
      <c r="E956" s="227"/>
      <c r="F956" s="228"/>
      <c r="G956" s="228"/>
    </row>
    <row r="957">
      <c r="A957" s="227"/>
      <c r="B957" s="227"/>
      <c r="C957" s="227"/>
      <c r="D957" s="227"/>
      <c r="E957" s="227"/>
      <c r="F957" s="228"/>
      <c r="G957" s="228"/>
    </row>
    <row r="958">
      <c r="A958" s="227"/>
      <c r="B958" s="227"/>
      <c r="C958" s="227"/>
      <c r="D958" s="227"/>
      <c r="E958" s="227"/>
      <c r="F958" s="228"/>
      <c r="G958" s="228"/>
    </row>
    <row r="959">
      <c r="A959" s="227"/>
      <c r="B959" s="227"/>
      <c r="C959" s="227"/>
      <c r="D959" s="227"/>
      <c r="E959" s="227"/>
      <c r="F959" s="228"/>
      <c r="G959" s="228"/>
    </row>
    <row r="960">
      <c r="A960" s="227"/>
      <c r="B960" s="227"/>
      <c r="C960" s="227"/>
      <c r="D960" s="227"/>
      <c r="E960" s="227"/>
      <c r="F960" s="228"/>
      <c r="G960" s="228"/>
    </row>
    <row r="961">
      <c r="A961" s="227"/>
      <c r="B961" s="227"/>
      <c r="C961" s="227"/>
      <c r="D961" s="227"/>
      <c r="E961" s="227"/>
      <c r="F961" s="228"/>
      <c r="G961" s="228"/>
    </row>
    <row r="962">
      <c r="A962" s="227"/>
      <c r="B962" s="227"/>
      <c r="C962" s="227"/>
      <c r="D962" s="227"/>
      <c r="E962" s="227"/>
      <c r="F962" s="228"/>
      <c r="G962" s="228"/>
    </row>
    <row r="963">
      <c r="A963" s="227"/>
      <c r="B963" s="227"/>
      <c r="C963" s="227"/>
      <c r="D963" s="227"/>
      <c r="E963" s="227"/>
      <c r="F963" s="228"/>
      <c r="G963" s="228"/>
    </row>
    <row r="964">
      <c r="A964" s="227"/>
      <c r="B964" s="227"/>
      <c r="C964" s="227"/>
      <c r="D964" s="227"/>
      <c r="E964" s="227"/>
      <c r="F964" s="228"/>
      <c r="G964" s="228"/>
    </row>
    <row r="965">
      <c r="A965" s="227"/>
      <c r="B965" s="227"/>
      <c r="C965" s="227"/>
      <c r="D965" s="227"/>
      <c r="E965" s="227"/>
      <c r="F965" s="228"/>
      <c r="G965" s="228"/>
    </row>
    <row r="966">
      <c r="A966" s="227"/>
      <c r="B966" s="227"/>
      <c r="C966" s="227"/>
      <c r="D966" s="227"/>
      <c r="E966" s="227"/>
      <c r="F966" s="228"/>
      <c r="G966" s="228"/>
    </row>
    <row r="967">
      <c r="A967" s="227"/>
      <c r="B967" s="227"/>
      <c r="C967" s="227"/>
      <c r="D967" s="227"/>
      <c r="E967" s="227"/>
      <c r="F967" s="228"/>
      <c r="G967" s="228"/>
    </row>
    <row r="968">
      <c r="A968" s="227"/>
      <c r="B968" s="227"/>
      <c r="C968" s="227"/>
      <c r="D968" s="227"/>
      <c r="E968" s="227"/>
      <c r="F968" s="228"/>
      <c r="G968" s="228"/>
    </row>
    <row r="969">
      <c r="A969" s="227"/>
      <c r="B969" s="227"/>
      <c r="C969" s="227"/>
      <c r="D969" s="227"/>
      <c r="E969" s="227"/>
      <c r="F969" s="228"/>
      <c r="G969" s="228"/>
    </row>
    <row r="970">
      <c r="A970" s="227"/>
      <c r="B970" s="227"/>
      <c r="C970" s="227"/>
      <c r="D970" s="227"/>
      <c r="E970" s="227"/>
      <c r="F970" s="228"/>
      <c r="G970" s="228"/>
    </row>
    <row r="971">
      <c r="A971" s="227"/>
      <c r="B971" s="227"/>
      <c r="C971" s="227"/>
      <c r="D971" s="227"/>
      <c r="E971" s="227"/>
      <c r="F971" s="228"/>
      <c r="G971" s="228"/>
    </row>
    <row r="972">
      <c r="A972" s="227"/>
      <c r="B972" s="227"/>
      <c r="C972" s="227"/>
      <c r="D972" s="227"/>
      <c r="E972" s="227"/>
      <c r="F972" s="228"/>
      <c r="G972" s="228"/>
    </row>
    <row r="973">
      <c r="A973" s="227"/>
      <c r="B973" s="227"/>
      <c r="C973" s="227"/>
      <c r="D973" s="227"/>
      <c r="E973" s="227"/>
      <c r="F973" s="228"/>
      <c r="G973" s="228"/>
    </row>
    <row r="974">
      <c r="A974" s="227"/>
      <c r="B974" s="227"/>
      <c r="C974" s="227"/>
      <c r="D974" s="227"/>
      <c r="E974" s="227"/>
      <c r="F974" s="228"/>
      <c r="G974" s="228"/>
    </row>
    <row r="975">
      <c r="A975" s="227"/>
      <c r="B975" s="227"/>
      <c r="C975" s="227"/>
      <c r="D975" s="227"/>
      <c r="E975" s="227"/>
      <c r="F975" s="228"/>
      <c r="G975" s="228"/>
    </row>
    <row r="976">
      <c r="A976" s="227"/>
      <c r="B976" s="227"/>
      <c r="C976" s="227"/>
      <c r="D976" s="227"/>
      <c r="E976" s="227"/>
      <c r="F976" s="228"/>
      <c r="G976" s="228"/>
    </row>
    <row r="977">
      <c r="A977" s="227"/>
      <c r="B977" s="227"/>
      <c r="C977" s="227"/>
      <c r="D977" s="227"/>
      <c r="E977" s="227"/>
      <c r="F977" s="228"/>
      <c r="G977" s="228"/>
    </row>
    <row r="978">
      <c r="A978" s="227"/>
      <c r="B978" s="227"/>
      <c r="C978" s="227"/>
      <c r="D978" s="227"/>
      <c r="E978" s="227"/>
      <c r="F978" s="228"/>
      <c r="G978" s="228"/>
    </row>
    <row r="979">
      <c r="A979" s="227"/>
      <c r="B979" s="227"/>
      <c r="C979" s="227"/>
      <c r="D979" s="227"/>
      <c r="E979" s="227"/>
      <c r="F979" s="228"/>
      <c r="G979" s="228"/>
    </row>
    <row r="980">
      <c r="A980" s="227"/>
      <c r="B980" s="227"/>
      <c r="C980" s="227"/>
      <c r="D980" s="227"/>
      <c r="E980" s="227"/>
      <c r="F980" s="228"/>
      <c r="G980" s="228"/>
    </row>
    <row r="981">
      <c r="A981" s="227"/>
      <c r="B981" s="227"/>
      <c r="C981" s="227"/>
      <c r="D981" s="227"/>
      <c r="E981" s="227"/>
      <c r="F981" s="228"/>
      <c r="G981" s="228"/>
    </row>
    <row r="982">
      <c r="A982" s="227"/>
      <c r="B982" s="227"/>
      <c r="C982" s="227"/>
      <c r="D982" s="227"/>
      <c r="E982" s="227"/>
      <c r="F982" s="228"/>
      <c r="G982" s="228"/>
    </row>
    <row r="983">
      <c r="A983" s="227"/>
      <c r="B983" s="227"/>
      <c r="C983" s="227"/>
      <c r="D983" s="227"/>
      <c r="E983" s="227"/>
      <c r="F983" s="228"/>
      <c r="G983" s="228"/>
    </row>
    <row r="984">
      <c r="A984" s="227"/>
      <c r="B984" s="227"/>
      <c r="C984" s="227"/>
      <c r="D984" s="227"/>
      <c r="E984" s="227"/>
      <c r="F984" s="228"/>
      <c r="G984" s="228"/>
    </row>
    <row r="985">
      <c r="A985" s="227"/>
      <c r="B985" s="227"/>
      <c r="C985" s="227"/>
      <c r="D985" s="227"/>
      <c r="E985" s="227"/>
      <c r="F985" s="228"/>
      <c r="G985" s="228"/>
    </row>
    <row r="986">
      <c r="A986" s="227"/>
      <c r="B986" s="227"/>
      <c r="C986" s="227"/>
      <c r="D986" s="227"/>
      <c r="E986" s="227"/>
      <c r="F986" s="228"/>
      <c r="G986" s="228"/>
    </row>
    <row r="987">
      <c r="A987" s="227"/>
      <c r="B987" s="227"/>
      <c r="C987" s="227"/>
      <c r="D987" s="227"/>
      <c r="E987" s="227"/>
      <c r="F987" s="228"/>
      <c r="G987" s="228"/>
    </row>
    <row r="988">
      <c r="A988" s="227"/>
      <c r="B988" s="227"/>
      <c r="C988" s="227"/>
      <c r="D988" s="227"/>
      <c r="E988" s="227"/>
      <c r="F988" s="228"/>
      <c r="G988" s="228"/>
    </row>
    <row r="989">
      <c r="A989" s="227"/>
      <c r="B989" s="227"/>
      <c r="C989" s="227"/>
      <c r="D989" s="227"/>
      <c r="E989" s="227"/>
      <c r="F989" s="228"/>
      <c r="G989" s="228"/>
    </row>
    <row r="990">
      <c r="A990" s="227"/>
      <c r="B990" s="227"/>
      <c r="C990" s="227"/>
      <c r="D990" s="227"/>
      <c r="E990" s="227"/>
      <c r="F990" s="228"/>
      <c r="G990" s="228"/>
    </row>
    <row r="991">
      <c r="A991" s="227"/>
      <c r="B991" s="227"/>
      <c r="C991" s="227"/>
      <c r="D991" s="227"/>
      <c r="E991" s="227"/>
      <c r="F991" s="228"/>
      <c r="G991" s="228"/>
    </row>
    <row r="992">
      <c r="A992" s="227"/>
      <c r="B992" s="227"/>
      <c r="C992" s="227"/>
      <c r="D992" s="227"/>
      <c r="E992" s="227"/>
      <c r="F992" s="228"/>
      <c r="G992" s="228"/>
    </row>
    <row r="993">
      <c r="A993" s="227"/>
      <c r="B993" s="227"/>
      <c r="C993" s="227"/>
      <c r="D993" s="227"/>
      <c r="E993" s="227"/>
      <c r="F993" s="228"/>
      <c r="G993" s="228"/>
    </row>
    <row r="994">
      <c r="A994" s="227"/>
      <c r="B994" s="227"/>
      <c r="C994" s="227"/>
      <c r="D994" s="227"/>
      <c r="E994" s="227"/>
      <c r="F994" s="228"/>
      <c r="G994" s="228"/>
    </row>
    <row r="995">
      <c r="A995" s="227"/>
      <c r="B995" s="227"/>
      <c r="C995" s="227"/>
      <c r="D995" s="227"/>
      <c r="E995" s="227"/>
      <c r="F995" s="228"/>
      <c r="G995" s="228"/>
    </row>
    <row r="996">
      <c r="A996" s="227"/>
      <c r="B996" s="227"/>
      <c r="C996" s="227"/>
      <c r="D996" s="227"/>
      <c r="E996" s="227"/>
      <c r="F996" s="228"/>
      <c r="G996" s="228"/>
    </row>
    <row r="997">
      <c r="A997" s="227"/>
      <c r="B997" s="227"/>
      <c r="C997" s="227"/>
      <c r="D997" s="227"/>
      <c r="E997" s="227"/>
      <c r="F997" s="228"/>
      <c r="G997" s="228"/>
    </row>
    <row r="998">
      <c r="A998" s="227"/>
      <c r="B998" s="227"/>
      <c r="C998" s="227"/>
      <c r="D998" s="227"/>
      <c r="E998" s="227"/>
      <c r="F998" s="228"/>
      <c r="G998" s="228"/>
    </row>
    <row r="999">
      <c r="A999" s="227"/>
      <c r="B999" s="227"/>
      <c r="C999" s="227"/>
      <c r="D999" s="227"/>
      <c r="E999" s="227"/>
      <c r="F999" s="228"/>
      <c r="G999" s="228"/>
    </row>
    <row r="1000">
      <c r="A1000" s="227"/>
      <c r="B1000" s="227"/>
      <c r="C1000" s="227"/>
      <c r="D1000" s="227"/>
      <c r="E1000" s="227"/>
      <c r="F1000" s="228"/>
      <c r="G1000" s="228"/>
    </row>
    <row r="1001">
      <c r="A1001" s="227"/>
      <c r="B1001" s="227"/>
      <c r="C1001" s="227"/>
      <c r="D1001" s="227"/>
      <c r="E1001" s="227"/>
      <c r="F1001" s="228"/>
      <c r="G1001" s="228"/>
    </row>
  </sheetData>
  <dataValidations>
    <dataValidation type="list" allowBlank="1" sqref="E2:E123">
      <formula1>"Done,In Progress,Leave"</formula1>
    </dataValidation>
    <dataValidation type="custom" allowBlank="1" showDropDown="1" showErrorMessage="1" sqref="A2:A123">
      <formula1>OR(NOT(ISERROR(DATEVALUE(A2))), AND(ISNUMBER(A2), LEFT(CELL("format", A2))="D"))</formula1>
    </dataValidation>
    <dataValidation type="list" allowBlank="1" sqref="B2:B123">
      <formula1>"Deekshith,Chandrashekar,Nagaharinadh,Suman Kanoj,Sagar Hiremat,Saraswathi,Prerana,Mouli Prakash,Manovya,Pranav,Raghavan,Rohit,Abusaad"</formula1>
    </dataValidation>
    <dataValidation type="list" allowBlank="1" sqref="C2:C123">
      <formula1>"nephroplus,Adult RD,Netra,ICU Automation,vSitter,Airways,VRASS,CPOT,Respiratory Distress"</formula1>
    </dataValidation>
    <dataValidation type="list" allowBlank="1" sqref="D2:D123">
      <formula1>"Classification,BBOX,Keypoints,Ground Truth,Leave,Segmentation, Data Collection"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5.5"/>
    <col customWidth="1" min="3" max="3" width="22.75"/>
    <col customWidth="1" min="4" max="4" width="21.88"/>
    <col customWidth="1" min="5" max="5" width="31.0"/>
    <col customWidth="1" min="6" max="10" width="30.5"/>
    <col customWidth="1" min="11" max="11" width="69.38"/>
  </cols>
  <sheetData>
    <row r="1" ht="22.5" customHeight="1">
      <c r="A1" s="229" t="s">
        <v>27</v>
      </c>
      <c r="B1" s="229" t="s">
        <v>1</v>
      </c>
      <c r="C1" s="229" t="s">
        <v>2</v>
      </c>
      <c r="D1" s="229" t="s">
        <v>3</v>
      </c>
      <c r="E1" s="230" t="s">
        <v>4</v>
      </c>
      <c r="F1" s="229" t="s">
        <v>5</v>
      </c>
      <c r="G1" s="90" t="s">
        <v>6</v>
      </c>
      <c r="H1" s="90" t="s">
        <v>7</v>
      </c>
      <c r="I1" s="90" t="s">
        <v>8</v>
      </c>
      <c r="J1" s="90" t="s">
        <v>9</v>
      </c>
      <c r="K1" s="229" t="s">
        <v>10</v>
      </c>
    </row>
    <row r="2" ht="22.5" customHeight="1">
      <c r="A2" s="231">
        <v>45901.0</v>
      </c>
      <c r="B2" s="232" t="s">
        <v>236</v>
      </c>
      <c r="C2" s="232" t="s">
        <v>40</v>
      </c>
      <c r="D2" s="198" t="s">
        <v>87</v>
      </c>
      <c r="E2" s="232" t="s">
        <v>20</v>
      </c>
      <c r="F2" s="233">
        <v>900.0</v>
      </c>
      <c r="G2" s="234"/>
      <c r="H2" s="100"/>
      <c r="I2" s="234"/>
      <c r="J2" s="235"/>
      <c r="K2" s="111" t="s">
        <v>206</v>
      </c>
    </row>
    <row r="3" ht="22.5" customHeight="1">
      <c r="A3" s="231">
        <v>45902.0</v>
      </c>
      <c r="B3" s="232" t="s">
        <v>236</v>
      </c>
      <c r="C3" s="232" t="s">
        <v>40</v>
      </c>
      <c r="D3" s="198" t="s">
        <v>87</v>
      </c>
      <c r="E3" s="232" t="s">
        <v>20</v>
      </c>
      <c r="F3" s="233">
        <v>900.0</v>
      </c>
      <c r="G3" s="234"/>
      <c r="H3" s="100"/>
      <c r="I3" s="234"/>
      <c r="J3" s="236"/>
      <c r="K3" s="111" t="s">
        <v>206</v>
      </c>
    </row>
    <row r="4" ht="22.5" customHeight="1">
      <c r="A4" s="231">
        <v>45903.0</v>
      </c>
      <c r="B4" s="232" t="s">
        <v>236</v>
      </c>
      <c r="C4" s="232" t="s">
        <v>18</v>
      </c>
      <c r="D4" s="198" t="s">
        <v>84</v>
      </c>
      <c r="E4" s="232" t="s">
        <v>20</v>
      </c>
      <c r="F4" s="233">
        <v>150.0</v>
      </c>
      <c r="G4" s="234"/>
      <c r="H4" s="100"/>
      <c r="I4" s="234"/>
      <c r="J4" s="235"/>
      <c r="K4" s="237" t="s">
        <v>237</v>
      </c>
    </row>
    <row r="5" ht="22.5" customHeight="1">
      <c r="A5" s="231">
        <v>45904.0</v>
      </c>
      <c r="B5" s="232" t="s">
        <v>236</v>
      </c>
      <c r="C5" s="232" t="s">
        <v>18</v>
      </c>
      <c r="D5" s="198" t="s">
        <v>84</v>
      </c>
      <c r="E5" s="232" t="s">
        <v>20</v>
      </c>
      <c r="F5" s="233">
        <v>200.0</v>
      </c>
      <c r="G5" s="234"/>
      <c r="H5" s="100"/>
      <c r="I5" s="234"/>
      <c r="J5" s="236"/>
      <c r="K5" s="238" t="s">
        <v>238</v>
      </c>
    </row>
    <row r="6" ht="22.5" customHeight="1">
      <c r="A6" s="231">
        <v>45905.0</v>
      </c>
      <c r="B6" s="232" t="s">
        <v>236</v>
      </c>
      <c r="C6" s="234"/>
      <c r="D6" s="198" t="s">
        <v>239</v>
      </c>
      <c r="E6" s="232" t="s">
        <v>29</v>
      </c>
      <c r="F6" s="233"/>
      <c r="G6" s="234"/>
      <c r="H6" s="100"/>
      <c r="I6" s="234"/>
      <c r="J6" s="235"/>
      <c r="K6" s="233"/>
    </row>
    <row r="7" ht="22.5" customHeight="1">
      <c r="A7" s="231">
        <v>45908.0</v>
      </c>
      <c r="B7" s="232" t="s">
        <v>236</v>
      </c>
      <c r="C7" s="232" t="s">
        <v>18</v>
      </c>
      <c r="D7" s="198" t="s">
        <v>84</v>
      </c>
      <c r="E7" s="232" t="s">
        <v>20</v>
      </c>
      <c r="F7" s="233">
        <v>70.0</v>
      </c>
      <c r="G7" s="234"/>
      <c r="H7" s="100"/>
      <c r="I7" s="234"/>
      <c r="J7" s="236"/>
      <c r="K7" s="238" t="s">
        <v>240</v>
      </c>
    </row>
    <row r="8" ht="22.5" customHeight="1">
      <c r="A8" s="231">
        <v>45909.0</v>
      </c>
      <c r="B8" s="232" t="s">
        <v>236</v>
      </c>
      <c r="C8" s="232" t="s">
        <v>18</v>
      </c>
      <c r="D8" s="198" t="s">
        <v>84</v>
      </c>
      <c r="E8" s="232" t="s">
        <v>20</v>
      </c>
      <c r="F8" s="233">
        <v>80.0</v>
      </c>
      <c r="G8" s="234"/>
      <c r="H8" s="100"/>
      <c r="I8" s="234"/>
      <c r="J8" s="235"/>
      <c r="K8" s="237" t="s">
        <v>237</v>
      </c>
    </row>
    <row r="9" ht="22.5" customHeight="1">
      <c r="A9" s="231">
        <v>45910.0</v>
      </c>
      <c r="B9" s="232" t="s">
        <v>236</v>
      </c>
      <c r="C9" s="232" t="s">
        <v>18</v>
      </c>
      <c r="D9" s="198" t="s">
        <v>84</v>
      </c>
      <c r="E9" s="232" t="s">
        <v>20</v>
      </c>
      <c r="F9" s="233">
        <v>150.0</v>
      </c>
      <c r="G9" s="234"/>
      <c r="H9" s="100"/>
      <c r="I9" s="234"/>
      <c r="J9" s="236"/>
      <c r="K9" s="237" t="s">
        <v>237</v>
      </c>
    </row>
    <row r="10" ht="22.5" customHeight="1">
      <c r="A10" s="231">
        <v>45911.0</v>
      </c>
      <c r="B10" s="232" t="s">
        <v>236</v>
      </c>
      <c r="C10" s="232" t="s">
        <v>50</v>
      </c>
      <c r="D10" s="198" t="s">
        <v>98</v>
      </c>
      <c r="E10" s="232" t="s">
        <v>20</v>
      </c>
      <c r="F10" s="233">
        <v>15.0</v>
      </c>
      <c r="G10" s="234"/>
      <c r="H10" s="100"/>
      <c r="I10" s="234"/>
      <c r="J10" s="235"/>
      <c r="K10" s="238" t="s">
        <v>241</v>
      </c>
    </row>
    <row r="11" ht="22.5" customHeight="1">
      <c r="A11" s="231">
        <v>45911.0</v>
      </c>
      <c r="B11" s="232" t="s">
        <v>236</v>
      </c>
      <c r="C11" s="232" t="s">
        <v>18</v>
      </c>
      <c r="D11" s="198" t="s">
        <v>84</v>
      </c>
      <c r="E11" s="232" t="s">
        <v>20</v>
      </c>
      <c r="F11" s="233">
        <v>45.0</v>
      </c>
      <c r="G11" s="234"/>
      <c r="H11" s="100"/>
      <c r="I11" s="234"/>
      <c r="J11" s="236"/>
      <c r="K11" s="237" t="s">
        <v>237</v>
      </c>
    </row>
    <row r="12" ht="22.5" customHeight="1">
      <c r="A12" s="231">
        <v>45912.0</v>
      </c>
      <c r="B12" s="232" t="s">
        <v>236</v>
      </c>
      <c r="C12" s="232" t="s">
        <v>18</v>
      </c>
      <c r="D12" s="198" t="s">
        <v>84</v>
      </c>
      <c r="E12" s="232" t="s">
        <v>20</v>
      </c>
      <c r="F12" s="233">
        <v>90.0</v>
      </c>
      <c r="G12" s="234"/>
      <c r="H12" s="100"/>
      <c r="I12" s="234"/>
      <c r="J12" s="235"/>
      <c r="K12" s="237" t="s">
        <v>237</v>
      </c>
    </row>
    <row r="13" ht="22.5" customHeight="1">
      <c r="A13" s="231">
        <v>45912.0</v>
      </c>
      <c r="B13" s="232" t="s">
        <v>236</v>
      </c>
      <c r="C13" s="232" t="s">
        <v>50</v>
      </c>
      <c r="D13" s="198" t="s">
        <v>98</v>
      </c>
      <c r="E13" s="232" t="s">
        <v>20</v>
      </c>
      <c r="F13" s="233">
        <v>15.0</v>
      </c>
      <c r="G13" s="234"/>
      <c r="H13" s="100"/>
      <c r="I13" s="234"/>
      <c r="J13" s="236"/>
      <c r="K13" s="233" t="s">
        <v>98</v>
      </c>
    </row>
    <row r="14" ht="22.5" customHeight="1">
      <c r="A14" s="231">
        <v>45915.0</v>
      </c>
      <c r="B14" s="232" t="s">
        <v>236</v>
      </c>
      <c r="C14" s="234"/>
      <c r="D14" s="100"/>
      <c r="E14" s="232" t="s">
        <v>29</v>
      </c>
      <c r="F14" s="233"/>
      <c r="G14" s="234"/>
      <c r="H14" s="100"/>
      <c r="I14" s="234"/>
      <c r="J14" s="235"/>
      <c r="K14" s="233"/>
    </row>
    <row r="15" ht="22.5" customHeight="1">
      <c r="A15" s="231">
        <v>45916.0</v>
      </c>
      <c r="B15" s="232" t="s">
        <v>236</v>
      </c>
      <c r="C15" s="232" t="s">
        <v>18</v>
      </c>
      <c r="D15" s="198" t="s">
        <v>84</v>
      </c>
      <c r="E15" s="232" t="s">
        <v>20</v>
      </c>
      <c r="F15" s="233">
        <v>80.0</v>
      </c>
      <c r="G15" s="234"/>
      <c r="H15" s="100"/>
      <c r="I15" s="234"/>
      <c r="J15" s="236"/>
      <c r="K15" s="219" t="s">
        <v>237</v>
      </c>
    </row>
    <row r="16" ht="22.5" customHeight="1">
      <c r="A16" s="231">
        <v>45917.0</v>
      </c>
      <c r="B16" s="232" t="s">
        <v>236</v>
      </c>
      <c r="C16" s="234"/>
      <c r="D16" s="100"/>
      <c r="E16" s="232" t="s">
        <v>29</v>
      </c>
      <c r="F16" s="233"/>
      <c r="G16" s="234"/>
      <c r="H16" s="100"/>
      <c r="I16" s="234"/>
      <c r="J16" s="235"/>
      <c r="K16" s="233"/>
    </row>
    <row r="17" ht="22.5" customHeight="1">
      <c r="A17" s="231">
        <v>45918.0</v>
      </c>
      <c r="B17" s="232" t="s">
        <v>236</v>
      </c>
      <c r="C17" s="234"/>
      <c r="D17" s="100"/>
      <c r="E17" s="232" t="s">
        <v>29</v>
      </c>
      <c r="F17" s="233"/>
      <c r="G17" s="234"/>
      <c r="H17" s="100"/>
      <c r="I17" s="234"/>
      <c r="J17" s="236"/>
      <c r="K17" s="233"/>
    </row>
    <row r="18" ht="22.5" customHeight="1">
      <c r="A18" s="231">
        <v>45919.0</v>
      </c>
      <c r="B18" s="232" t="s">
        <v>236</v>
      </c>
      <c r="C18" s="234"/>
      <c r="D18" s="100"/>
      <c r="E18" s="232" t="s">
        <v>29</v>
      </c>
      <c r="F18" s="233"/>
      <c r="G18" s="234"/>
      <c r="H18" s="100"/>
      <c r="I18" s="234"/>
      <c r="J18" s="235"/>
      <c r="K18" s="233"/>
    </row>
    <row r="19" ht="22.5" customHeight="1">
      <c r="A19" s="231">
        <v>45922.0</v>
      </c>
      <c r="B19" s="232" t="s">
        <v>236</v>
      </c>
      <c r="C19" s="232" t="s">
        <v>18</v>
      </c>
      <c r="D19" s="198" t="s">
        <v>84</v>
      </c>
      <c r="E19" s="232" t="s">
        <v>20</v>
      </c>
      <c r="F19" s="233">
        <v>100.0</v>
      </c>
      <c r="G19" s="234"/>
      <c r="H19" s="100"/>
      <c r="I19" s="234"/>
      <c r="J19" s="236"/>
      <c r="K19" s="219" t="s">
        <v>237</v>
      </c>
    </row>
    <row r="20" ht="22.5" customHeight="1">
      <c r="A20" s="231">
        <v>45923.0</v>
      </c>
      <c r="B20" s="232" t="s">
        <v>236</v>
      </c>
      <c r="C20" s="234"/>
      <c r="D20" s="100"/>
      <c r="E20" s="232" t="s">
        <v>29</v>
      </c>
      <c r="F20" s="233"/>
      <c r="G20" s="234"/>
      <c r="H20" s="100"/>
      <c r="I20" s="234"/>
      <c r="J20" s="235"/>
      <c r="K20" s="233"/>
    </row>
    <row r="21" ht="22.5" customHeight="1">
      <c r="A21" s="231">
        <v>45924.0</v>
      </c>
      <c r="B21" s="232" t="s">
        <v>236</v>
      </c>
      <c r="C21" s="234"/>
      <c r="D21" s="100"/>
      <c r="E21" s="232" t="s">
        <v>29</v>
      </c>
      <c r="F21" s="233"/>
      <c r="G21" s="234"/>
      <c r="H21" s="100"/>
      <c r="I21" s="234"/>
      <c r="J21" s="236"/>
      <c r="K21" s="233"/>
    </row>
    <row r="22" ht="22.5" customHeight="1">
      <c r="A22" s="231">
        <v>45925.0</v>
      </c>
      <c r="B22" s="232" t="s">
        <v>236</v>
      </c>
      <c r="C22" s="232" t="s">
        <v>18</v>
      </c>
      <c r="D22" s="198" t="s">
        <v>84</v>
      </c>
      <c r="E22" s="232" t="s">
        <v>20</v>
      </c>
      <c r="F22" s="233">
        <v>150.0</v>
      </c>
      <c r="G22" s="234"/>
      <c r="H22" s="100"/>
      <c r="I22" s="234"/>
      <c r="J22" s="235"/>
      <c r="K22" s="237" t="s">
        <v>237</v>
      </c>
    </row>
    <row r="23" ht="22.5" customHeight="1">
      <c r="A23" s="231">
        <v>45926.0</v>
      </c>
      <c r="B23" s="232" t="s">
        <v>236</v>
      </c>
      <c r="C23" s="232" t="s">
        <v>18</v>
      </c>
      <c r="D23" s="198" t="s">
        <v>84</v>
      </c>
      <c r="E23" s="232" t="s">
        <v>20</v>
      </c>
      <c r="F23" s="233">
        <v>250.0</v>
      </c>
      <c r="G23" s="234"/>
      <c r="H23" s="100"/>
      <c r="I23" s="234"/>
      <c r="J23" s="236"/>
      <c r="K23" s="237" t="s">
        <v>237</v>
      </c>
    </row>
    <row r="24" ht="22.5" customHeight="1">
      <c r="A24" s="231">
        <v>45929.0</v>
      </c>
      <c r="B24" s="232" t="s">
        <v>236</v>
      </c>
      <c r="C24" s="232" t="s">
        <v>89</v>
      </c>
      <c r="D24" s="198" t="s">
        <v>87</v>
      </c>
      <c r="E24" s="232" t="s">
        <v>20</v>
      </c>
      <c r="F24" s="233">
        <v>3200.0</v>
      </c>
      <c r="G24" s="234"/>
      <c r="H24" s="100"/>
      <c r="I24" s="234"/>
      <c r="J24" s="235"/>
      <c r="K24" s="52" t="s">
        <v>242</v>
      </c>
    </row>
    <row r="25" ht="22.5" customHeight="1">
      <c r="A25" s="231">
        <v>45930.0</v>
      </c>
      <c r="B25" s="232" t="s">
        <v>236</v>
      </c>
      <c r="C25" s="232" t="s">
        <v>89</v>
      </c>
      <c r="D25" s="198" t="s">
        <v>87</v>
      </c>
      <c r="E25" s="232" t="s">
        <v>20</v>
      </c>
      <c r="F25" s="233">
        <v>3200.0</v>
      </c>
      <c r="G25" s="234"/>
      <c r="H25" s="100"/>
      <c r="I25" s="234"/>
      <c r="J25" s="236"/>
      <c r="K25" s="52" t="s">
        <v>242</v>
      </c>
    </row>
    <row r="26" ht="22.5" customHeight="1">
      <c r="A26" s="231">
        <v>45931.0</v>
      </c>
      <c r="B26" s="232" t="s">
        <v>236</v>
      </c>
      <c r="C26" s="234"/>
      <c r="D26" s="100"/>
      <c r="E26" s="232" t="s">
        <v>29</v>
      </c>
      <c r="F26" s="233"/>
      <c r="G26" s="234"/>
      <c r="H26" s="100"/>
      <c r="I26" s="234"/>
      <c r="J26" s="235"/>
      <c r="K26" s="233"/>
    </row>
    <row r="27" ht="22.5" customHeight="1">
      <c r="A27" s="231">
        <v>45932.0</v>
      </c>
      <c r="B27" s="232" t="s">
        <v>236</v>
      </c>
      <c r="C27" s="234"/>
      <c r="D27" s="100"/>
      <c r="E27" s="232" t="s">
        <v>29</v>
      </c>
      <c r="F27" s="233"/>
      <c r="G27" s="234"/>
      <c r="H27" s="100"/>
      <c r="I27" s="234"/>
      <c r="J27" s="236"/>
      <c r="K27" s="233"/>
    </row>
    <row r="28" ht="22.5" customHeight="1">
      <c r="A28" s="231">
        <v>45933.0</v>
      </c>
      <c r="B28" s="232" t="s">
        <v>236</v>
      </c>
      <c r="C28" s="232" t="s">
        <v>18</v>
      </c>
      <c r="D28" s="198" t="s">
        <v>84</v>
      </c>
      <c r="E28" s="232" t="s">
        <v>20</v>
      </c>
      <c r="F28" s="233">
        <v>300.0</v>
      </c>
      <c r="G28" s="234"/>
      <c r="H28" s="100"/>
      <c r="I28" s="234"/>
      <c r="J28" s="235"/>
      <c r="K28" s="219" t="s">
        <v>237</v>
      </c>
    </row>
    <row r="29" ht="22.5" customHeight="1">
      <c r="A29" s="231">
        <v>45936.0</v>
      </c>
      <c r="B29" s="232" t="s">
        <v>236</v>
      </c>
      <c r="C29" s="232" t="s">
        <v>83</v>
      </c>
      <c r="D29" s="198" t="s">
        <v>239</v>
      </c>
      <c r="E29" s="232" t="s">
        <v>20</v>
      </c>
      <c r="F29" s="233">
        <v>178.0</v>
      </c>
      <c r="G29" s="234"/>
      <c r="H29" s="100"/>
      <c r="I29" s="234"/>
      <c r="J29" s="236"/>
      <c r="K29" s="47" t="s">
        <v>243</v>
      </c>
    </row>
    <row r="30" ht="22.5" customHeight="1">
      <c r="A30" s="231">
        <v>45937.0</v>
      </c>
      <c r="B30" s="232" t="s">
        <v>236</v>
      </c>
      <c r="C30" s="232" t="s">
        <v>50</v>
      </c>
      <c r="D30" s="198" t="s">
        <v>239</v>
      </c>
      <c r="E30" s="232" t="s">
        <v>29</v>
      </c>
      <c r="F30" s="233"/>
      <c r="G30" s="234"/>
      <c r="H30" s="100"/>
      <c r="I30" s="234"/>
      <c r="J30" s="235"/>
      <c r="K30" s="233"/>
    </row>
    <row r="31" ht="22.5" customHeight="1">
      <c r="A31" s="231">
        <v>45938.0</v>
      </c>
      <c r="B31" s="232" t="s">
        <v>236</v>
      </c>
      <c r="C31" s="232" t="s">
        <v>83</v>
      </c>
      <c r="D31" s="198" t="s">
        <v>239</v>
      </c>
      <c r="E31" s="232" t="s">
        <v>20</v>
      </c>
      <c r="F31" s="233">
        <v>89.0</v>
      </c>
      <c r="G31" s="234"/>
      <c r="H31" s="100"/>
      <c r="I31" s="234"/>
      <c r="J31" s="236"/>
      <c r="K31" s="47" t="s">
        <v>243</v>
      </c>
    </row>
    <row r="32" ht="22.5" customHeight="1">
      <c r="A32" s="231">
        <v>45938.0</v>
      </c>
      <c r="B32" s="232" t="s">
        <v>236</v>
      </c>
      <c r="C32" s="232" t="s">
        <v>89</v>
      </c>
      <c r="D32" s="198" t="s">
        <v>23</v>
      </c>
      <c r="E32" s="232" t="s">
        <v>20</v>
      </c>
      <c r="F32" s="233">
        <v>27300.0</v>
      </c>
      <c r="G32" s="234"/>
      <c r="H32" s="100"/>
      <c r="I32" s="234"/>
      <c r="J32" s="235"/>
      <c r="K32" s="88" t="s">
        <v>244</v>
      </c>
    </row>
    <row r="33" ht="22.5" customHeight="1">
      <c r="A33" s="231">
        <v>45939.0</v>
      </c>
      <c r="B33" s="232" t="s">
        <v>236</v>
      </c>
      <c r="C33" s="232" t="s">
        <v>89</v>
      </c>
      <c r="D33" s="198" t="s">
        <v>87</v>
      </c>
      <c r="E33" s="232" t="s">
        <v>53</v>
      </c>
      <c r="F33" s="233">
        <v>2000.0</v>
      </c>
      <c r="G33" s="234"/>
      <c r="H33" s="100"/>
      <c r="I33" s="234"/>
      <c r="J33" s="236"/>
      <c r="K33" s="238" t="s">
        <v>245</v>
      </c>
    </row>
    <row r="34" ht="22.5" customHeight="1">
      <c r="A34" s="231">
        <v>45940.0</v>
      </c>
      <c r="B34" s="232" t="s">
        <v>236</v>
      </c>
      <c r="C34" s="232" t="s">
        <v>89</v>
      </c>
      <c r="D34" s="198" t="s">
        <v>87</v>
      </c>
      <c r="E34" s="232" t="s">
        <v>53</v>
      </c>
      <c r="F34" s="233">
        <v>2500.0</v>
      </c>
      <c r="G34" s="234"/>
      <c r="H34" s="100"/>
      <c r="I34" s="234"/>
      <c r="J34" s="235"/>
      <c r="K34" s="52" t="s">
        <v>246</v>
      </c>
    </row>
    <row r="35" ht="22.5" customHeight="1">
      <c r="A35" s="231">
        <v>45943.0</v>
      </c>
      <c r="B35" s="232" t="s">
        <v>236</v>
      </c>
      <c r="C35" s="232" t="s">
        <v>89</v>
      </c>
      <c r="D35" s="198" t="s">
        <v>87</v>
      </c>
      <c r="E35" s="232" t="s">
        <v>53</v>
      </c>
      <c r="F35" s="239">
        <v>2500.0</v>
      </c>
      <c r="G35" s="234"/>
      <c r="H35" s="100"/>
      <c r="I35" s="234"/>
      <c r="J35" s="236"/>
      <c r="K35" s="240" t="s">
        <v>247</v>
      </c>
    </row>
    <row r="36" ht="22.5" customHeight="1">
      <c r="A36" s="231">
        <v>45944.0</v>
      </c>
      <c r="B36" s="232" t="s">
        <v>236</v>
      </c>
      <c r="C36" s="232" t="s">
        <v>89</v>
      </c>
      <c r="D36" s="198" t="s">
        <v>87</v>
      </c>
      <c r="E36" s="232" t="s">
        <v>53</v>
      </c>
      <c r="F36" s="241">
        <v>2500.0</v>
      </c>
      <c r="G36" s="234"/>
      <c r="H36" s="100"/>
      <c r="I36" s="234"/>
      <c r="J36" s="235"/>
      <c r="K36" s="59" t="s">
        <v>248</v>
      </c>
    </row>
    <row r="37" ht="22.5" customHeight="1">
      <c r="A37" s="231">
        <v>45945.0</v>
      </c>
      <c r="B37" s="232" t="s">
        <v>236</v>
      </c>
      <c r="C37" s="232" t="s">
        <v>89</v>
      </c>
      <c r="D37" s="198" t="s">
        <v>87</v>
      </c>
      <c r="E37" s="232" t="s">
        <v>53</v>
      </c>
      <c r="F37" s="239">
        <v>2500.0</v>
      </c>
      <c r="G37" s="234"/>
      <c r="H37" s="100"/>
      <c r="I37" s="234"/>
      <c r="J37" s="236"/>
      <c r="K37" s="59" t="s">
        <v>249</v>
      </c>
    </row>
    <row r="38" ht="22.5" customHeight="1">
      <c r="A38" s="231">
        <v>45946.0</v>
      </c>
      <c r="B38" s="232" t="s">
        <v>236</v>
      </c>
      <c r="C38" s="232" t="s">
        <v>89</v>
      </c>
      <c r="D38" s="198" t="s">
        <v>87</v>
      </c>
      <c r="E38" s="232" t="s">
        <v>53</v>
      </c>
      <c r="F38" s="239">
        <v>2000.0</v>
      </c>
      <c r="G38" s="234"/>
      <c r="H38" s="100"/>
      <c r="I38" s="234"/>
      <c r="J38" s="235"/>
      <c r="K38" s="52" t="s">
        <v>250</v>
      </c>
    </row>
    <row r="39" ht="22.5" customHeight="1">
      <c r="A39" s="231">
        <v>45947.0</v>
      </c>
      <c r="B39" s="232" t="s">
        <v>236</v>
      </c>
      <c r="C39" s="232" t="s">
        <v>89</v>
      </c>
      <c r="D39" s="198" t="s">
        <v>87</v>
      </c>
      <c r="E39" s="232" t="s">
        <v>20</v>
      </c>
      <c r="F39" s="239">
        <v>3000.0</v>
      </c>
      <c r="G39" s="234"/>
      <c r="H39" s="100"/>
      <c r="I39" s="234"/>
      <c r="J39" s="236"/>
      <c r="K39" s="52" t="s">
        <v>250</v>
      </c>
    </row>
    <row r="40" ht="22.5" customHeight="1">
      <c r="A40" s="231">
        <v>45950.0</v>
      </c>
      <c r="B40" s="232" t="s">
        <v>236</v>
      </c>
      <c r="C40" s="232" t="s">
        <v>89</v>
      </c>
      <c r="D40" s="198" t="s">
        <v>87</v>
      </c>
      <c r="E40" s="232" t="s">
        <v>20</v>
      </c>
      <c r="F40" s="233">
        <v>3000.0</v>
      </c>
      <c r="G40" s="234"/>
      <c r="H40" s="100"/>
      <c r="I40" s="234"/>
      <c r="J40" s="235"/>
      <c r="K40" s="47" t="s">
        <v>250</v>
      </c>
    </row>
    <row r="41" ht="22.5" customHeight="1">
      <c r="A41" s="231">
        <v>45951.0</v>
      </c>
      <c r="B41" s="232" t="s">
        <v>236</v>
      </c>
      <c r="C41" s="234"/>
      <c r="D41" s="100"/>
      <c r="E41" s="232" t="s">
        <v>29</v>
      </c>
      <c r="F41" s="233"/>
      <c r="G41" s="234"/>
      <c r="H41" s="100"/>
      <c r="I41" s="234"/>
      <c r="J41" s="236"/>
      <c r="K41" s="233"/>
    </row>
    <row r="42" ht="22.5" customHeight="1">
      <c r="A42" s="231">
        <v>45952.0</v>
      </c>
      <c r="B42" s="232" t="s">
        <v>236</v>
      </c>
      <c r="C42" s="234"/>
      <c r="D42" s="100"/>
      <c r="E42" s="232" t="s">
        <v>29</v>
      </c>
      <c r="F42" s="233"/>
      <c r="G42" s="234"/>
      <c r="H42" s="100"/>
      <c r="I42" s="234"/>
      <c r="J42" s="242"/>
      <c r="K42" s="233"/>
    </row>
    <row r="43" ht="22.5" customHeight="1">
      <c r="A43" s="231">
        <v>45953.0</v>
      </c>
      <c r="B43" s="232" t="s">
        <v>236</v>
      </c>
      <c r="C43" s="232" t="s">
        <v>89</v>
      </c>
      <c r="D43" s="198" t="s">
        <v>87</v>
      </c>
      <c r="E43" s="232" t="s">
        <v>20</v>
      </c>
      <c r="F43" s="233">
        <v>5000.0</v>
      </c>
      <c r="G43" s="234"/>
      <c r="H43" s="100"/>
      <c r="I43" s="234"/>
      <c r="J43" s="243"/>
      <c r="K43" s="111" t="s">
        <v>251</v>
      </c>
    </row>
    <row r="44" ht="22.5" customHeight="1">
      <c r="A44" s="231">
        <v>45954.0</v>
      </c>
      <c r="B44" s="232" t="s">
        <v>236</v>
      </c>
      <c r="C44" s="232" t="s">
        <v>89</v>
      </c>
      <c r="D44" s="198" t="s">
        <v>87</v>
      </c>
      <c r="E44" s="232" t="s">
        <v>20</v>
      </c>
      <c r="F44" s="233">
        <v>5000.0</v>
      </c>
      <c r="G44" s="234"/>
      <c r="H44" s="100"/>
      <c r="I44" s="234"/>
      <c r="J44" s="242"/>
      <c r="K44" s="111" t="s">
        <v>252</v>
      </c>
    </row>
    <row r="45" ht="22.5" customHeight="1">
      <c r="A45" s="231">
        <v>45957.0</v>
      </c>
      <c r="B45" s="232" t="s">
        <v>236</v>
      </c>
      <c r="C45" s="232" t="s">
        <v>40</v>
      </c>
      <c r="D45" s="198" t="s">
        <v>47</v>
      </c>
      <c r="E45" s="232" t="s">
        <v>53</v>
      </c>
      <c r="F45" s="233">
        <v>60.0</v>
      </c>
      <c r="G45" s="234"/>
      <c r="H45" s="100"/>
      <c r="I45" s="234"/>
      <c r="J45" s="243"/>
      <c r="K45" s="111" t="s">
        <v>253</v>
      </c>
    </row>
    <row r="46" ht="22.5" customHeight="1">
      <c r="A46" s="231">
        <v>45958.0</v>
      </c>
      <c r="B46" s="232" t="s">
        <v>236</v>
      </c>
      <c r="C46" s="232" t="s">
        <v>40</v>
      </c>
      <c r="D46" s="198" t="s">
        <v>47</v>
      </c>
      <c r="E46" s="232" t="s">
        <v>53</v>
      </c>
      <c r="F46" s="233">
        <v>70.0</v>
      </c>
      <c r="G46" s="234"/>
      <c r="H46" s="100"/>
      <c r="I46" s="234"/>
      <c r="J46" s="242"/>
      <c r="K46" s="111" t="s">
        <v>253</v>
      </c>
    </row>
    <row r="47" ht="22.5" customHeight="1">
      <c r="A47" s="231">
        <v>45959.0</v>
      </c>
      <c r="B47" s="232" t="s">
        <v>236</v>
      </c>
      <c r="C47" s="232" t="s">
        <v>40</v>
      </c>
      <c r="D47" s="198" t="s">
        <v>47</v>
      </c>
      <c r="E47" s="232" t="s">
        <v>20</v>
      </c>
      <c r="F47" s="233">
        <v>60.0</v>
      </c>
      <c r="G47" s="234"/>
      <c r="H47" s="100"/>
      <c r="I47" s="234"/>
      <c r="J47" s="236"/>
      <c r="K47" s="111" t="s">
        <v>253</v>
      </c>
    </row>
    <row r="48" ht="22.5" customHeight="1">
      <c r="A48" s="231">
        <v>45960.0</v>
      </c>
      <c r="B48" s="232" t="s">
        <v>236</v>
      </c>
      <c r="C48" s="232" t="s">
        <v>40</v>
      </c>
      <c r="D48" s="198" t="s">
        <v>87</v>
      </c>
      <c r="E48" s="232" t="s">
        <v>53</v>
      </c>
      <c r="F48" s="233">
        <v>10000.0</v>
      </c>
      <c r="G48" s="234"/>
      <c r="H48" s="100"/>
      <c r="I48" s="234"/>
      <c r="J48" s="235"/>
      <c r="K48" s="244" t="s">
        <v>254</v>
      </c>
    </row>
    <row r="49" ht="22.5" customHeight="1">
      <c r="A49" s="231">
        <v>45961.0</v>
      </c>
      <c r="B49" s="232" t="s">
        <v>236</v>
      </c>
      <c r="C49" s="232" t="s">
        <v>40</v>
      </c>
      <c r="D49" s="198" t="s">
        <v>87</v>
      </c>
      <c r="E49" s="232" t="s">
        <v>53</v>
      </c>
      <c r="F49" s="233">
        <v>20000.0</v>
      </c>
      <c r="G49" s="234"/>
      <c r="H49" s="100"/>
      <c r="I49" s="234"/>
      <c r="J49" s="236"/>
      <c r="K49" s="111" t="s">
        <v>255</v>
      </c>
    </row>
    <row r="50" ht="22.5" customHeight="1">
      <c r="A50" s="231">
        <v>45964.0</v>
      </c>
      <c r="B50" s="232" t="s">
        <v>236</v>
      </c>
      <c r="C50" s="232" t="s">
        <v>40</v>
      </c>
      <c r="D50" s="198" t="s">
        <v>87</v>
      </c>
      <c r="E50" s="232" t="s">
        <v>20</v>
      </c>
      <c r="F50" s="241">
        <v>10000.0</v>
      </c>
      <c r="G50" s="234"/>
      <c r="H50" s="100"/>
      <c r="I50" s="234"/>
      <c r="J50" s="235"/>
      <c r="K50" s="241" t="s">
        <v>256</v>
      </c>
    </row>
    <row r="51" ht="22.5" customHeight="1">
      <c r="A51" s="231">
        <v>45965.0</v>
      </c>
      <c r="B51" s="232" t="s">
        <v>236</v>
      </c>
      <c r="C51" s="232" t="s">
        <v>40</v>
      </c>
      <c r="D51" s="198" t="s">
        <v>87</v>
      </c>
      <c r="E51" s="232" t="s">
        <v>20</v>
      </c>
      <c r="F51" s="241">
        <v>20000.0</v>
      </c>
      <c r="G51" s="234"/>
      <c r="H51" s="100"/>
      <c r="I51" s="234"/>
      <c r="J51" s="236"/>
      <c r="K51" s="239" t="s">
        <v>257</v>
      </c>
    </row>
    <row r="52" ht="22.5" customHeight="1">
      <c r="A52" s="231">
        <v>45966.0</v>
      </c>
      <c r="B52" s="232" t="s">
        <v>236</v>
      </c>
      <c r="C52" s="232" t="s">
        <v>40</v>
      </c>
      <c r="D52" s="198" t="s">
        <v>87</v>
      </c>
      <c r="E52" s="232" t="s">
        <v>20</v>
      </c>
      <c r="F52" s="239">
        <v>8000.0</v>
      </c>
      <c r="G52" s="234"/>
      <c r="H52" s="100"/>
      <c r="I52" s="234"/>
      <c r="J52" s="235"/>
      <c r="K52" s="239" t="s">
        <v>257</v>
      </c>
    </row>
    <row r="53" ht="22.5" customHeight="1">
      <c r="A53" s="231">
        <v>45967.0</v>
      </c>
      <c r="B53" s="232" t="s">
        <v>236</v>
      </c>
      <c r="C53" s="232" t="s">
        <v>40</v>
      </c>
      <c r="D53" s="198" t="s">
        <v>87</v>
      </c>
      <c r="E53" s="232" t="s">
        <v>20</v>
      </c>
      <c r="F53" s="239">
        <v>5000.0</v>
      </c>
      <c r="G53" s="234"/>
      <c r="H53" s="100"/>
      <c r="I53" s="234"/>
      <c r="J53" s="236"/>
      <c r="K53" s="239" t="s">
        <v>257</v>
      </c>
    </row>
    <row r="54" ht="22.5" customHeight="1">
      <c r="A54" s="231">
        <v>45968.0</v>
      </c>
      <c r="B54" s="232" t="s">
        <v>236</v>
      </c>
      <c r="C54" s="232" t="s">
        <v>40</v>
      </c>
      <c r="D54" s="198" t="s">
        <v>87</v>
      </c>
      <c r="E54" s="232" t="s">
        <v>20</v>
      </c>
      <c r="F54" s="239">
        <v>6000.0</v>
      </c>
      <c r="G54" s="234"/>
      <c r="H54" s="100"/>
      <c r="I54" s="234"/>
      <c r="J54" s="235"/>
      <c r="K54" s="239" t="s">
        <v>257</v>
      </c>
    </row>
    <row r="55" ht="22.5" customHeight="1">
      <c r="A55" s="231">
        <v>45971.0</v>
      </c>
      <c r="B55" s="232" t="s">
        <v>236</v>
      </c>
      <c r="C55" s="232" t="s">
        <v>40</v>
      </c>
      <c r="D55" s="198" t="s">
        <v>87</v>
      </c>
      <c r="E55" s="232" t="s">
        <v>20</v>
      </c>
      <c r="F55" s="239">
        <v>2000.0</v>
      </c>
      <c r="G55" s="234"/>
      <c r="H55" s="100"/>
      <c r="I55" s="234"/>
      <c r="J55" s="236"/>
      <c r="K55" s="239" t="s">
        <v>258</v>
      </c>
    </row>
    <row r="56" ht="22.5" customHeight="1">
      <c r="A56" s="231">
        <v>45972.0</v>
      </c>
      <c r="B56" s="232" t="s">
        <v>236</v>
      </c>
      <c r="C56" s="232" t="s">
        <v>40</v>
      </c>
      <c r="D56" s="198" t="s">
        <v>87</v>
      </c>
      <c r="E56" s="232" t="s">
        <v>20</v>
      </c>
      <c r="F56" s="239">
        <v>2000.0</v>
      </c>
      <c r="G56" s="234"/>
      <c r="H56" s="100"/>
      <c r="I56" s="234"/>
      <c r="J56" s="235"/>
      <c r="K56" s="241" t="s">
        <v>259</v>
      </c>
    </row>
    <row r="57" ht="22.5" customHeight="1">
      <c r="A57" s="231">
        <v>45973.0</v>
      </c>
      <c r="B57" s="232" t="s">
        <v>236</v>
      </c>
      <c r="C57" s="232" t="s">
        <v>40</v>
      </c>
      <c r="D57" s="198" t="s">
        <v>87</v>
      </c>
      <c r="E57" s="232" t="s">
        <v>20</v>
      </c>
      <c r="F57" s="239">
        <v>2000.0</v>
      </c>
      <c r="G57" s="234"/>
      <c r="H57" s="100"/>
      <c r="I57" s="234"/>
      <c r="J57" s="236"/>
      <c r="K57" s="239" t="s">
        <v>260</v>
      </c>
    </row>
    <row r="58" ht="22.5" customHeight="1">
      <c r="A58" s="231">
        <v>45974.0</v>
      </c>
      <c r="B58" s="232" t="s">
        <v>236</v>
      </c>
      <c r="C58" s="234"/>
      <c r="D58" s="100"/>
      <c r="E58" s="232" t="s">
        <v>29</v>
      </c>
      <c r="F58" s="233"/>
      <c r="G58" s="234"/>
      <c r="H58" s="100"/>
      <c r="I58" s="234"/>
      <c r="J58" s="235"/>
      <c r="K58" s="233"/>
    </row>
    <row r="59" ht="22.5" customHeight="1">
      <c r="A59" s="231">
        <v>45975.0</v>
      </c>
      <c r="B59" s="232" t="s">
        <v>236</v>
      </c>
      <c r="C59" s="234"/>
      <c r="D59" s="100"/>
      <c r="E59" s="232" t="s">
        <v>29</v>
      </c>
      <c r="F59" s="233"/>
      <c r="G59" s="234"/>
      <c r="H59" s="100"/>
      <c r="I59" s="234"/>
      <c r="J59" s="236"/>
      <c r="K59" s="233"/>
    </row>
    <row r="60" ht="22.5" customHeight="1">
      <c r="A60" s="231">
        <v>45978.0</v>
      </c>
      <c r="B60" s="232" t="s">
        <v>236</v>
      </c>
      <c r="C60" s="232" t="s">
        <v>40</v>
      </c>
      <c r="D60" s="198" t="s">
        <v>87</v>
      </c>
      <c r="E60" s="232" t="s">
        <v>20</v>
      </c>
      <c r="F60" s="239">
        <v>3500.0</v>
      </c>
      <c r="G60" s="234"/>
      <c r="H60" s="100"/>
      <c r="I60" s="234"/>
      <c r="J60" s="235"/>
      <c r="K60" s="239" t="s">
        <v>258</v>
      </c>
    </row>
    <row r="61" ht="22.5" customHeight="1">
      <c r="A61" s="231">
        <v>45979.0</v>
      </c>
      <c r="B61" s="232" t="s">
        <v>236</v>
      </c>
      <c r="C61" s="232" t="s">
        <v>40</v>
      </c>
      <c r="D61" s="198" t="s">
        <v>87</v>
      </c>
      <c r="E61" s="232" t="s">
        <v>20</v>
      </c>
      <c r="F61" s="239">
        <v>4000.0</v>
      </c>
      <c r="G61" s="234"/>
      <c r="H61" s="100"/>
      <c r="I61" s="234"/>
      <c r="J61" s="236"/>
      <c r="K61" s="239" t="s">
        <v>258</v>
      </c>
    </row>
    <row r="62" ht="22.5" customHeight="1">
      <c r="A62" s="231">
        <v>45980.0</v>
      </c>
      <c r="B62" s="232" t="s">
        <v>236</v>
      </c>
      <c r="C62" s="232" t="s">
        <v>40</v>
      </c>
      <c r="D62" s="198" t="s">
        <v>87</v>
      </c>
      <c r="E62" s="232" t="s">
        <v>20</v>
      </c>
      <c r="F62" s="239">
        <v>2000.0</v>
      </c>
      <c r="G62" s="234"/>
      <c r="H62" s="100"/>
      <c r="I62" s="234"/>
      <c r="J62" s="235"/>
      <c r="K62" s="239" t="s">
        <v>258</v>
      </c>
    </row>
    <row r="63" ht="22.5" customHeight="1">
      <c r="A63" s="231">
        <v>45981.0</v>
      </c>
      <c r="B63" s="232" t="s">
        <v>236</v>
      </c>
      <c r="C63" s="232" t="s">
        <v>40</v>
      </c>
      <c r="D63" s="198" t="s">
        <v>87</v>
      </c>
      <c r="E63" s="232" t="s">
        <v>20</v>
      </c>
      <c r="F63" s="239">
        <v>5000.0</v>
      </c>
      <c r="G63" s="234"/>
      <c r="H63" s="100"/>
      <c r="I63" s="234"/>
      <c r="J63" s="236"/>
      <c r="K63" s="239" t="s">
        <v>258</v>
      </c>
    </row>
    <row r="64" ht="22.5" customHeight="1">
      <c r="A64" s="231">
        <v>45982.0</v>
      </c>
      <c r="B64" s="232" t="s">
        <v>236</v>
      </c>
      <c r="C64" s="232" t="s">
        <v>40</v>
      </c>
      <c r="D64" s="198" t="s">
        <v>87</v>
      </c>
      <c r="E64" s="232" t="s">
        <v>20</v>
      </c>
      <c r="F64" s="239">
        <v>2000.0</v>
      </c>
      <c r="G64" s="234"/>
      <c r="H64" s="100"/>
      <c r="I64" s="234"/>
      <c r="J64" s="235"/>
      <c r="K64" s="239" t="s">
        <v>261</v>
      </c>
    </row>
    <row r="65" ht="22.5" customHeight="1">
      <c r="A65" s="231">
        <v>45985.0</v>
      </c>
      <c r="B65" s="232" t="s">
        <v>236</v>
      </c>
      <c r="C65" s="232" t="s">
        <v>40</v>
      </c>
      <c r="D65" s="198" t="s">
        <v>47</v>
      </c>
      <c r="E65" s="232" t="s">
        <v>20</v>
      </c>
      <c r="F65" s="239">
        <v>80.0</v>
      </c>
      <c r="G65" s="234"/>
      <c r="H65" s="100"/>
      <c r="I65" s="234"/>
      <c r="J65" s="236"/>
      <c r="K65" s="245" t="s">
        <v>262</v>
      </c>
    </row>
    <row r="66" ht="22.5" customHeight="1">
      <c r="A66" s="231">
        <v>45986.0</v>
      </c>
      <c r="B66" s="232" t="s">
        <v>236</v>
      </c>
      <c r="C66" s="232" t="s">
        <v>40</v>
      </c>
      <c r="D66" s="198" t="s">
        <v>47</v>
      </c>
      <c r="E66" s="232" t="s">
        <v>20</v>
      </c>
      <c r="F66" s="239">
        <v>70.0</v>
      </c>
      <c r="G66" s="234"/>
      <c r="H66" s="100"/>
      <c r="I66" s="234"/>
      <c r="J66" s="235"/>
      <c r="K66" s="245" t="s">
        <v>263</v>
      </c>
    </row>
    <row r="67" ht="22.5" customHeight="1">
      <c r="A67" s="231">
        <v>45987.0</v>
      </c>
      <c r="B67" s="232" t="s">
        <v>236</v>
      </c>
      <c r="C67" s="232" t="s">
        <v>40</v>
      </c>
      <c r="D67" s="198" t="s">
        <v>47</v>
      </c>
      <c r="E67" s="232" t="s">
        <v>20</v>
      </c>
      <c r="F67" s="239">
        <v>80.0</v>
      </c>
      <c r="G67" s="234"/>
      <c r="H67" s="100"/>
      <c r="I67" s="234"/>
      <c r="J67" s="236"/>
      <c r="K67" s="245" t="s">
        <v>264</v>
      </c>
    </row>
    <row r="68" ht="22.5" customHeight="1">
      <c r="A68" s="231">
        <v>45988.0</v>
      </c>
      <c r="B68" s="232" t="s">
        <v>236</v>
      </c>
      <c r="C68" s="232" t="s">
        <v>40</v>
      </c>
      <c r="D68" s="198" t="s">
        <v>47</v>
      </c>
      <c r="E68" s="232" t="s">
        <v>20</v>
      </c>
      <c r="F68" s="239">
        <v>150.0</v>
      </c>
      <c r="G68" s="234"/>
      <c r="H68" s="100"/>
      <c r="I68" s="234"/>
      <c r="J68" s="235"/>
      <c r="K68" s="245" t="s">
        <v>265</v>
      </c>
    </row>
    <row r="69" ht="22.5" customHeight="1">
      <c r="A69" s="231">
        <v>45989.0</v>
      </c>
      <c r="B69" s="232" t="s">
        <v>236</v>
      </c>
      <c r="C69" s="232" t="s">
        <v>40</v>
      </c>
      <c r="D69" s="198" t="s">
        <v>47</v>
      </c>
      <c r="E69" s="232" t="s">
        <v>20</v>
      </c>
      <c r="F69" s="239">
        <v>200.0</v>
      </c>
      <c r="G69" s="234"/>
      <c r="H69" s="100"/>
      <c r="I69" s="234"/>
      <c r="J69" s="236"/>
      <c r="K69" s="239" t="s">
        <v>266</v>
      </c>
    </row>
    <row r="70" ht="22.5" customHeight="1">
      <c r="A70" s="231">
        <v>45992.0</v>
      </c>
      <c r="B70" s="232" t="s">
        <v>236</v>
      </c>
      <c r="C70" s="232" t="s">
        <v>40</v>
      </c>
      <c r="D70" s="198" t="s">
        <v>47</v>
      </c>
      <c r="E70" s="232" t="s">
        <v>20</v>
      </c>
      <c r="F70" s="239">
        <v>150.0</v>
      </c>
      <c r="G70" s="234"/>
      <c r="H70" s="100"/>
      <c r="I70" s="234"/>
      <c r="J70" s="235"/>
      <c r="K70" s="239" t="s">
        <v>267</v>
      </c>
    </row>
    <row r="71" ht="22.5" customHeight="1">
      <c r="A71" s="231">
        <v>45993.0</v>
      </c>
      <c r="B71" s="232" t="s">
        <v>236</v>
      </c>
      <c r="C71" s="232" t="s">
        <v>40</v>
      </c>
      <c r="D71" s="198" t="s">
        <v>47</v>
      </c>
      <c r="E71" s="232" t="s">
        <v>20</v>
      </c>
      <c r="F71" s="239">
        <v>150.0</v>
      </c>
      <c r="G71" s="234"/>
      <c r="H71" s="100"/>
      <c r="I71" s="234"/>
      <c r="J71" s="236"/>
      <c r="K71" s="239" t="s">
        <v>268</v>
      </c>
    </row>
    <row r="72" ht="22.5" customHeight="1">
      <c r="A72" s="231">
        <v>45994.0</v>
      </c>
      <c r="B72" s="232" t="s">
        <v>236</v>
      </c>
      <c r="C72" s="232" t="s">
        <v>40</v>
      </c>
      <c r="D72" s="198" t="s">
        <v>47</v>
      </c>
      <c r="E72" s="232" t="s">
        <v>20</v>
      </c>
      <c r="F72" s="239">
        <v>200.0</v>
      </c>
      <c r="G72" s="234"/>
      <c r="H72" s="100"/>
      <c r="I72" s="234"/>
      <c r="J72" s="235"/>
      <c r="K72" s="239" t="s">
        <v>266</v>
      </c>
    </row>
    <row r="73" ht="22.5" customHeight="1">
      <c r="A73" s="231">
        <v>45995.0</v>
      </c>
      <c r="B73" s="232" t="s">
        <v>236</v>
      </c>
      <c r="C73" s="232" t="s">
        <v>40</v>
      </c>
      <c r="D73" s="198" t="s">
        <v>47</v>
      </c>
      <c r="E73" s="232" t="s">
        <v>20</v>
      </c>
      <c r="F73" s="239">
        <v>100.0</v>
      </c>
      <c r="G73" s="234"/>
      <c r="H73" s="100"/>
      <c r="I73" s="234"/>
      <c r="J73" s="236"/>
      <c r="K73" s="239" t="s">
        <v>269</v>
      </c>
    </row>
    <row r="74" ht="22.5" customHeight="1">
      <c r="A74" s="231">
        <v>45996.0</v>
      </c>
      <c r="B74" s="232" t="s">
        <v>236</v>
      </c>
      <c r="C74" s="232" t="s">
        <v>40</v>
      </c>
      <c r="D74" s="198" t="s">
        <v>47</v>
      </c>
      <c r="E74" s="232" t="s">
        <v>20</v>
      </c>
      <c r="F74" s="239">
        <v>100.0</v>
      </c>
      <c r="G74" s="234"/>
      <c r="H74" s="100"/>
      <c r="I74" s="234"/>
      <c r="J74" s="235"/>
      <c r="K74" s="245" t="s">
        <v>270</v>
      </c>
    </row>
    <row r="75" ht="22.5" customHeight="1">
      <c r="A75" s="231">
        <v>45999.0</v>
      </c>
      <c r="B75" s="232" t="s">
        <v>236</v>
      </c>
      <c r="C75" s="234"/>
      <c r="D75" s="100"/>
      <c r="E75" s="232" t="s">
        <v>29</v>
      </c>
      <c r="F75" s="233"/>
      <c r="G75" s="234"/>
      <c r="H75" s="100"/>
      <c r="I75" s="234"/>
      <c r="J75" s="236"/>
      <c r="K75" s="233"/>
    </row>
    <row r="76" ht="22.5" customHeight="1">
      <c r="A76" s="231">
        <v>46000.0</v>
      </c>
      <c r="B76" s="232" t="s">
        <v>236</v>
      </c>
      <c r="C76" s="232" t="s">
        <v>40</v>
      </c>
      <c r="D76" s="198" t="s">
        <v>31</v>
      </c>
      <c r="E76" s="232" t="s">
        <v>20</v>
      </c>
      <c r="F76" s="239">
        <v>500.0</v>
      </c>
      <c r="G76" s="234"/>
      <c r="H76" s="100"/>
      <c r="I76" s="234"/>
      <c r="J76" s="235"/>
      <c r="K76" s="239" t="s">
        <v>271</v>
      </c>
    </row>
    <row r="77" ht="22.5" customHeight="1">
      <c r="A77" s="231">
        <v>46001.0</v>
      </c>
      <c r="B77" s="232" t="s">
        <v>236</v>
      </c>
      <c r="C77" s="232" t="s">
        <v>40</v>
      </c>
      <c r="D77" s="198" t="s">
        <v>31</v>
      </c>
      <c r="E77" s="232" t="s">
        <v>20</v>
      </c>
      <c r="F77" s="239">
        <v>500.0</v>
      </c>
      <c r="G77" s="234"/>
      <c r="H77" s="100"/>
      <c r="I77" s="234"/>
      <c r="J77" s="236"/>
      <c r="K77" s="239" t="s">
        <v>271</v>
      </c>
    </row>
    <row r="78" ht="22.5" customHeight="1">
      <c r="A78" s="231">
        <v>46002.0</v>
      </c>
      <c r="B78" s="232" t="s">
        <v>236</v>
      </c>
      <c r="C78" s="232" t="s">
        <v>40</v>
      </c>
      <c r="D78" s="198" t="s">
        <v>31</v>
      </c>
      <c r="E78" s="232" t="s">
        <v>20</v>
      </c>
      <c r="F78" s="239">
        <v>300.0</v>
      </c>
      <c r="G78" s="234"/>
      <c r="H78" s="100"/>
      <c r="I78" s="234"/>
      <c r="J78" s="235"/>
      <c r="K78" s="239" t="s">
        <v>272</v>
      </c>
    </row>
    <row r="79" ht="22.5" customHeight="1">
      <c r="A79" s="231">
        <v>46003.0</v>
      </c>
      <c r="B79" s="232" t="s">
        <v>236</v>
      </c>
      <c r="C79" s="232" t="s">
        <v>40</v>
      </c>
      <c r="D79" s="198" t="s">
        <v>31</v>
      </c>
      <c r="E79" s="232" t="s">
        <v>20</v>
      </c>
      <c r="F79" s="239">
        <v>8200.0</v>
      </c>
      <c r="G79" s="234"/>
      <c r="H79" s="100"/>
      <c r="I79" s="234"/>
      <c r="J79" s="236"/>
      <c r="K79" s="239" t="s">
        <v>273</v>
      </c>
    </row>
    <row r="80" ht="22.5" customHeight="1">
      <c r="A80" s="231">
        <v>46006.0</v>
      </c>
      <c r="B80" s="232" t="s">
        <v>236</v>
      </c>
      <c r="C80" s="232" t="s">
        <v>40</v>
      </c>
      <c r="D80" s="198" t="s">
        <v>31</v>
      </c>
      <c r="E80" s="232" t="s">
        <v>20</v>
      </c>
      <c r="F80" s="233">
        <v>500.0</v>
      </c>
      <c r="G80" s="234"/>
      <c r="H80" s="100"/>
      <c r="I80" s="234"/>
      <c r="J80" s="235"/>
      <c r="K80" s="229" t="s">
        <v>274</v>
      </c>
    </row>
    <row r="81" ht="22.5" customHeight="1">
      <c r="A81" s="231">
        <v>46007.0</v>
      </c>
      <c r="B81" s="232" t="s">
        <v>236</v>
      </c>
      <c r="C81" s="234"/>
      <c r="D81" s="100"/>
      <c r="E81" s="232" t="s">
        <v>29</v>
      </c>
      <c r="F81" s="233"/>
      <c r="G81" s="234"/>
      <c r="H81" s="100"/>
      <c r="I81" s="234"/>
      <c r="J81" s="236"/>
      <c r="K81" s="233"/>
    </row>
    <row r="82" ht="22.5" customHeight="1">
      <c r="A82" s="231">
        <v>46008.0</v>
      </c>
      <c r="B82" s="232" t="s">
        <v>236</v>
      </c>
      <c r="C82" s="234"/>
      <c r="D82" s="100"/>
      <c r="E82" s="232" t="s">
        <v>29</v>
      </c>
      <c r="F82" s="233"/>
      <c r="G82" s="234"/>
      <c r="H82" s="100"/>
      <c r="I82" s="234"/>
      <c r="J82" s="235"/>
      <c r="K82" s="233"/>
    </row>
    <row r="83" ht="22.5" customHeight="1">
      <c r="A83" s="231">
        <v>46009.0</v>
      </c>
      <c r="B83" s="232" t="s">
        <v>236</v>
      </c>
      <c r="C83" s="232" t="s">
        <v>40</v>
      </c>
      <c r="D83" s="198" t="s">
        <v>47</v>
      </c>
      <c r="E83" s="232" t="s">
        <v>20</v>
      </c>
      <c r="F83" s="239">
        <v>500.0</v>
      </c>
      <c r="G83" s="234"/>
      <c r="H83" s="100"/>
      <c r="I83" s="234"/>
      <c r="J83" s="236"/>
      <c r="K83" s="239" t="s">
        <v>275</v>
      </c>
    </row>
    <row r="84" ht="22.5" customHeight="1">
      <c r="A84" s="231">
        <v>46010.0</v>
      </c>
      <c r="B84" s="232" t="s">
        <v>236</v>
      </c>
      <c r="C84" s="232" t="s">
        <v>40</v>
      </c>
      <c r="D84" s="198" t="s">
        <v>87</v>
      </c>
      <c r="E84" s="232" t="s">
        <v>20</v>
      </c>
      <c r="F84" s="239">
        <v>2600.0</v>
      </c>
      <c r="G84" s="234"/>
      <c r="H84" s="100"/>
      <c r="I84" s="234"/>
      <c r="J84" s="235"/>
      <c r="K84" s="239" t="s">
        <v>276</v>
      </c>
    </row>
    <row r="85" ht="22.5" customHeight="1">
      <c r="A85" s="231">
        <v>46013.0</v>
      </c>
      <c r="B85" s="232" t="s">
        <v>236</v>
      </c>
      <c r="C85" s="232" t="s">
        <v>40</v>
      </c>
      <c r="D85" s="198" t="s">
        <v>47</v>
      </c>
      <c r="E85" s="232" t="s">
        <v>20</v>
      </c>
      <c r="F85" s="239">
        <v>125.0</v>
      </c>
      <c r="G85" s="234"/>
      <c r="H85" s="100"/>
      <c r="I85" s="234"/>
      <c r="J85" s="236"/>
      <c r="K85" s="239" t="s">
        <v>266</v>
      </c>
    </row>
    <row r="86" ht="22.5" customHeight="1">
      <c r="A86" s="231">
        <v>46014.0</v>
      </c>
      <c r="B86" s="232" t="s">
        <v>236</v>
      </c>
      <c r="C86" s="232" t="s">
        <v>40</v>
      </c>
      <c r="D86" s="198" t="s">
        <v>47</v>
      </c>
      <c r="E86" s="232" t="s">
        <v>20</v>
      </c>
      <c r="F86" s="239">
        <v>125.0</v>
      </c>
      <c r="G86" s="234"/>
      <c r="H86" s="100"/>
      <c r="I86" s="234"/>
      <c r="J86" s="235"/>
      <c r="K86" s="239" t="s">
        <v>266</v>
      </c>
    </row>
    <row r="87" ht="22.5" customHeight="1">
      <c r="A87" s="231">
        <v>46015.0</v>
      </c>
      <c r="B87" s="232" t="s">
        <v>236</v>
      </c>
      <c r="C87" s="232" t="s">
        <v>40</v>
      </c>
      <c r="D87" s="198" t="s">
        <v>47</v>
      </c>
      <c r="E87" s="232" t="s">
        <v>20</v>
      </c>
      <c r="F87" s="239">
        <v>1000.0</v>
      </c>
      <c r="G87" s="234"/>
      <c r="H87" s="100"/>
      <c r="I87" s="234"/>
      <c r="J87" s="236"/>
      <c r="K87" s="239" t="s">
        <v>266</v>
      </c>
    </row>
    <row r="88" ht="22.5" customHeight="1">
      <c r="A88" s="231">
        <v>46016.0</v>
      </c>
      <c r="B88" s="232" t="s">
        <v>236</v>
      </c>
      <c r="C88" s="234"/>
      <c r="D88" s="100"/>
      <c r="E88" s="232" t="s">
        <v>29</v>
      </c>
      <c r="F88" s="233"/>
      <c r="G88" s="234"/>
      <c r="H88" s="100"/>
      <c r="I88" s="234"/>
      <c r="J88" s="235"/>
      <c r="K88" s="233"/>
    </row>
    <row r="89" ht="22.5" customHeight="1">
      <c r="A89" s="231">
        <v>46017.0</v>
      </c>
      <c r="B89" s="232" t="s">
        <v>236</v>
      </c>
      <c r="C89" s="232" t="s">
        <v>40</v>
      </c>
      <c r="D89" s="198" t="s">
        <v>47</v>
      </c>
      <c r="E89" s="232" t="s">
        <v>53</v>
      </c>
      <c r="F89" s="233">
        <v>1000.0</v>
      </c>
      <c r="G89" s="234"/>
      <c r="H89" s="100"/>
      <c r="I89" s="234"/>
      <c r="J89" s="236"/>
      <c r="K89" s="233" t="s">
        <v>277</v>
      </c>
    </row>
    <row r="90" ht="22.5" customHeight="1">
      <c r="A90" s="231">
        <v>46020.0</v>
      </c>
      <c r="B90" s="232" t="s">
        <v>236</v>
      </c>
      <c r="C90" s="232" t="s">
        <v>40</v>
      </c>
      <c r="D90" s="198" t="s">
        <v>47</v>
      </c>
      <c r="E90" s="232" t="s">
        <v>20</v>
      </c>
      <c r="F90" s="239">
        <v>1500.0</v>
      </c>
      <c r="G90" s="234"/>
      <c r="H90" s="100"/>
      <c r="I90" s="234"/>
      <c r="J90" s="235"/>
      <c r="K90" s="239" t="s">
        <v>278</v>
      </c>
    </row>
    <row r="91" ht="22.5" customHeight="1">
      <c r="A91" s="231">
        <v>46021.0</v>
      </c>
      <c r="B91" s="232" t="s">
        <v>236</v>
      </c>
      <c r="C91" s="232" t="s">
        <v>40</v>
      </c>
      <c r="D91" s="198" t="s">
        <v>87</v>
      </c>
      <c r="E91" s="232" t="s">
        <v>53</v>
      </c>
      <c r="F91" s="239">
        <v>5000.0</v>
      </c>
      <c r="G91" s="234"/>
      <c r="H91" s="100"/>
      <c r="I91" s="234"/>
      <c r="J91" s="236"/>
      <c r="K91" s="239" t="s">
        <v>279</v>
      </c>
    </row>
    <row r="92" ht="22.5" customHeight="1">
      <c r="A92" s="231">
        <v>46022.0</v>
      </c>
      <c r="B92" s="232" t="s">
        <v>236</v>
      </c>
      <c r="C92" s="232" t="s">
        <v>40</v>
      </c>
      <c r="D92" s="198" t="s">
        <v>87</v>
      </c>
      <c r="E92" s="232" t="s">
        <v>53</v>
      </c>
      <c r="F92" s="239">
        <v>5500.0</v>
      </c>
      <c r="G92" s="234"/>
      <c r="H92" s="100"/>
      <c r="I92" s="234"/>
      <c r="J92" s="235"/>
      <c r="K92" s="239" t="s">
        <v>280</v>
      </c>
    </row>
    <row r="93" ht="22.5" customHeight="1">
      <c r="A93" s="231">
        <v>46023.0</v>
      </c>
      <c r="B93" s="232" t="s">
        <v>236</v>
      </c>
      <c r="C93" s="234"/>
      <c r="D93" s="100"/>
      <c r="E93" s="232" t="s">
        <v>29</v>
      </c>
      <c r="F93" s="233"/>
      <c r="G93" s="234"/>
      <c r="H93" s="100"/>
      <c r="I93" s="234"/>
      <c r="J93" s="236"/>
      <c r="K93" s="233"/>
    </row>
    <row r="94" ht="22.5" customHeight="1">
      <c r="A94" s="231">
        <v>46024.0</v>
      </c>
      <c r="B94" s="232" t="s">
        <v>236</v>
      </c>
      <c r="C94" s="232" t="s">
        <v>44</v>
      </c>
      <c r="D94" s="198" t="s">
        <v>45</v>
      </c>
      <c r="E94" s="232" t="s">
        <v>20</v>
      </c>
      <c r="F94" s="233">
        <v>1337.0</v>
      </c>
      <c r="G94" s="234"/>
      <c r="H94" s="100"/>
      <c r="I94" s="234"/>
      <c r="J94" s="235"/>
      <c r="K94" s="233" t="s">
        <v>281</v>
      </c>
    </row>
    <row r="95" ht="22.5" customHeight="1">
      <c r="A95" s="231">
        <v>46027.0</v>
      </c>
      <c r="B95" s="232" t="s">
        <v>236</v>
      </c>
      <c r="C95" s="234"/>
      <c r="D95" s="198" t="s">
        <v>239</v>
      </c>
      <c r="E95" s="232" t="s">
        <v>29</v>
      </c>
      <c r="F95" s="233"/>
      <c r="G95" s="234"/>
      <c r="H95" s="100"/>
      <c r="I95" s="234"/>
      <c r="J95" s="236"/>
      <c r="K95" s="233"/>
    </row>
    <row r="96" ht="22.5" customHeight="1">
      <c r="A96" s="231">
        <v>46028.0</v>
      </c>
      <c r="B96" s="232" t="s">
        <v>236</v>
      </c>
      <c r="C96" s="232" t="s">
        <v>40</v>
      </c>
      <c r="D96" s="198" t="s">
        <v>87</v>
      </c>
      <c r="E96" s="232" t="s">
        <v>53</v>
      </c>
      <c r="F96" s="233">
        <v>5000.0</v>
      </c>
      <c r="G96" s="234"/>
      <c r="H96" s="100"/>
      <c r="I96" s="234"/>
      <c r="J96" s="235"/>
      <c r="K96" s="241" t="s">
        <v>282</v>
      </c>
    </row>
    <row r="97" ht="22.5" customHeight="1">
      <c r="A97" s="231">
        <v>46029.0</v>
      </c>
      <c r="B97" s="232" t="s">
        <v>236</v>
      </c>
      <c r="C97" s="232" t="s">
        <v>40</v>
      </c>
      <c r="D97" s="198" t="s">
        <v>87</v>
      </c>
      <c r="E97" s="232" t="s">
        <v>53</v>
      </c>
      <c r="F97" s="233">
        <v>7500.0</v>
      </c>
      <c r="G97" s="234"/>
      <c r="H97" s="100"/>
      <c r="I97" s="234"/>
      <c r="J97" s="236"/>
      <c r="K97" s="241" t="s">
        <v>282</v>
      </c>
    </row>
    <row r="98" ht="22.5" customHeight="1">
      <c r="A98" s="231">
        <v>46030.0</v>
      </c>
      <c r="B98" s="232" t="s">
        <v>236</v>
      </c>
      <c r="C98" s="232" t="s">
        <v>40</v>
      </c>
      <c r="D98" s="198" t="s">
        <v>87</v>
      </c>
      <c r="E98" s="232" t="s">
        <v>20</v>
      </c>
      <c r="F98" s="233">
        <v>6916.0</v>
      </c>
      <c r="G98" s="234"/>
      <c r="H98" s="100"/>
      <c r="I98" s="234"/>
      <c r="J98" s="235"/>
      <c r="K98" s="233" t="s">
        <v>283</v>
      </c>
    </row>
    <row r="99" ht="22.5" customHeight="1">
      <c r="A99" s="231">
        <v>46031.0</v>
      </c>
      <c r="B99" s="232" t="s">
        <v>236</v>
      </c>
      <c r="C99" s="232" t="s">
        <v>40</v>
      </c>
      <c r="D99" s="198" t="s">
        <v>145</v>
      </c>
      <c r="E99" s="232" t="s">
        <v>53</v>
      </c>
      <c r="F99" s="233"/>
      <c r="G99" s="234"/>
      <c r="H99" s="100"/>
      <c r="I99" s="234"/>
      <c r="J99" s="236"/>
      <c r="K99" s="233"/>
    </row>
    <row r="100" ht="22.5" customHeight="1">
      <c r="A100" s="231">
        <v>46032.0</v>
      </c>
      <c r="B100" s="232" t="s">
        <v>236</v>
      </c>
      <c r="C100" s="234"/>
      <c r="D100" s="100"/>
      <c r="E100" s="234"/>
      <c r="F100" s="233"/>
      <c r="G100" s="234"/>
      <c r="H100" s="100"/>
      <c r="I100" s="234"/>
      <c r="J100" s="235"/>
      <c r="K100" s="233"/>
    </row>
    <row r="101" ht="22.5" customHeight="1">
      <c r="A101" s="231">
        <v>46033.0</v>
      </c>
      <c r="B101" s="232" t="s">
        <v>236</v>
      </c>
      <c r="C101" s="234"/>
      <c r="D101" s="100"/>
      <c r="E101" s="234"/>
      <c r="F101" s="233"/>
      <c r="G101" s="234"/>
      <c r="H101" s="100"/>
      <c r="I101" s="234"/>
      <c r="J101" s="236"/>
      <c r="K101" s="233"/>
    </row>
    <row r="102" ht="22.5" customHeight="1">
      <c r="A102" s="231">
        <v>46034.0</v>
      </c>
      <c r="B102" s="232" t="s">
        <v>236</v>
      </c>
      <c r="C102" s="234"/>
      <c r="D102" s="100"/>
      <c r="E102" s="234"/>
      <c r="F102" s="233"/>
      <c r="G102" s="234"/>
      <c r="H102" s="100"/>
      <c r="I102" s="234"/>
      <c r="J102" s="235"/>
      <c r="K102" s="233"/>
    </row>
    <row r="103" ht="22.5" customHeight="1">
      <c r="A103" s="231">
        <v>46035.0</v>
      </c>
      <c r="B103" s="232" t="s">
        <v>236</v>
      </c>
      <c r="C103" s="234"/>
      <c r="D103" s="100"/>
      <c r="E103" s="234"/>
      <c r="F103" s="233"/>
      <c r="G103" s="234"/>
      <c r="H103" s="100"/>
      <c r="I103" s="234"/>
      <c r="J103" s="236"/>
      <c r="K103" s="233"/>
    </row>
    <row r="104" ht="22.5" customHeight="1">
      <c r="A104" s="231">
        <v>46036.0</v>
      </c>
      <c r="B104" s="232" t="s">
        <v>236</v>
      </c>
      <c r="C104" s="234"/>
      <c r="D104" s="100"/>
      <c r="E104" s="234"/>
      <c r="F104" s="233"/>
      <c r="G104" s="234"/>
      <c r="H104" s="100"/>
      <c r="I104" s="234"/>
      <c r="J104" s="235"/>
      <c r="K104" s="233"/>
    </row>
    <row r="105" ht="22.5" customHeight="1">
      <c r="A105" s="231">
        <v>46037.0</v>
      </c>
      <c r="B105" s="232" t="s">
        <v>236</v>
      </c>
      <c r="C105" s="234"/>
      <c r="D105" s="100"/>
      <c r="E105" s="234"/>
      <c r="F105" s="233"/>
      <c r="G105" s="234"/>
      <c r="H105" s="100"/>
      <c r="I105" s="234"/>
      <c r="J105" s="236"/>
      <c r="K105" s="233"/>
    </row>
    <row r="106" ht="22.5" customHeight="1">
      <c r="A106" s="231">
        <v>46038.0</v>
      </c>
      <c r="B106" s="232" t="s">
        <v>236</v>
      </c>
      <c r="C106" s="234"/>
      <c r="D106" s="100"/>
      <c r="E106" s="234"/>
      <c r="F106" s="233"/>
      <c r="G106" s="235"/>
      <c r="H106" s="8"/>
      <c r="I106" s="246"/>
      <c r="J106" s="235"/>
      <c r="K106" s="233"/>
    </row>
    <row r="107" ht="22.5" customHeight="1">
      <c r="A107" s="231">
        <v>46039.0</v>
      </c>
      <c r="B107" s="232" t="s">
        <v>236</v>
      </c>
      <c r="C107" s="234"/>
      <c r="D107" s="100"/>
      <c r="E107" s="234"/>
      <c r="F107" s="233"/>
      <c r="G107" s="236"/>
      <c r="H107" s="11"/>
      <c r="I107" s="247"/>
      <c r="J107" s="236"/>
      <c r="K107" s="233"/>
    </row>
    <row r="108" ht="22.5" customHeight="1">
      <c r="A108" s="231">
        <v>46040.0</v>
      </c>
      <c r="B108" s="232" t="s">
        <v>236</v>
      </c>
      <c r="C108" s="234"/>
      <c r="D108" s="100"/>
      <c r="E108" s="234"/>
      <c r="F108" s="233"/>
      <c r="G108" s="235"/>
      <c r="H108" s="8"/>
      <c r="I108" s="246"/>
      <c r="J108" s="235"/>
      <c r="K108" s="233"/>
    </row>
    <row r="109" ht="22.5" customHeight="1">
      <c r="A109" s="248"/>
      <c r="B109" s="249"/>
      <c r="C109" s="250"/>
      <c r="D109" s="251"/>
      <c r="E109" s="250"/>
      <c r="F109" s="252"/>
      <c r="G109" s="236"/>
      <c r="H109" s="11"/>
      <c r="I109" s="247"/>
      <c r="J109" s="236"/>
      <c r="K109" s="252"/>
    </row>
    <row r="110" ht="22.5" customHeight="1">
      <c r="A110" s="248"/>
      <c r="B110" s="249"/>
      <c r="C110" s="250"/>
      <c r="D110" s="251"/>
      <c r="E110" s="250"/>
      <c r="F110" s="252"/>
      <c r="G110" s="235"/>
      <c r="H110" s="8"/>
      <c r="I110" s="246"/>
      <c r="J110" s="235"/>
      <c r="K110" s="252"/>
    </row>
    <row r="111" ht="22.5" customHeight="1">
      <c r="A111" s="248"/>
      <c r="B111" s="249"/>
      <c r="C111" s="250"/>
      <c r="D111" s="251"/>
      <c r="E111" s="250"/>
      <c r="F111" s="252"/>
      <c r="G111" s="236"/>
      <c r="H111" s="11"/>
      <c r="I111" s="247"/>
      <c r="J111" s="236"/>
      <c r="K111" s="252"/>
    </row>
    <row r="112" ht="22.5" customHeight="1">
      <c r="A112" s="248"/>
      <c r="B112" s="249"/>
      <c r="C112" s="250"/>
      <c r="D112" s="251"/>
      <c r="E112" s="250"/>
      <c r="F112" s="252"/>
      <c r="G112" s="235"/>
      <c r="H112" s="8"/>
      <c r="I112" s="246"/>
      <c r="J112" s="235"/>
      <c r="K112" s="252"/>
    </row>
    <row r="113" ht="22.5" customHeight="1">
      <c r="A113" s="248"/>
      <c r="B113" s="249"/>
      <c r="C113" s="250"/>
      <c r="D113" s="251"/>
      <c r="E113" s="250"/>
      <c r="F113" s="252"/>
      <c r="G113" s="236"/>
      <c r="H113" s="11"/>
      <c r="I113" s="247"/>
      <c r="J113" s="236"/>
      <c r="K113" s="252"/>
    </row>
    <row r="114" ht="22.5" customHeight="1">
      <c r="A114" s="248"/>
      <c r="B114" s="249"/>
      <c r="C114" s="250"/>
      <c r="D114" s="251"/>
      <c r="E114" s="250"/>
      <c r="F114" s="252"/>
      <c r="G114" s="235"/>
      <c r="H114" s="8"/>
      <c r="I114" s="246"/>
      <c r="J114" s="235"/>
      <c r="K114" s="252"/>
    </row>
    <row r="115" ht="22.5" customHeight="1">
      <c r="A115" s="248"/>
      <c r="B115" s="249"/>
      <c r="C115" s="250"/>
      <c r="D115" s="251"/>
      <c r="E115" s="250"/>
      <c r="F115" s="252"/>
      <c r="G115" s="236"/>
      <c r="H115" s="11"/>
      <c r="I115" s="247"/>
      <c r="J115" s="236"/>
      <c r="K115" s="252"/>
    </row>
    <row r="116" ht="22.5" customHeight="1">
      <c r="A116" s="248"/>
      <c r="B116" s="249"/>
      <c r="C116" s="250"/>
      <c r="D116" s="251"/>
      <c r="E116" s="250"/>
      <c r="F116" s="252"/>
      <c r="G116" s="235"/>
      <c r="H116" s="8"/>
      <c r="I116" s="246"/>
      <c r="J116" s="235"/>
      <c r="K116" s="252"/>
    </row>
    <row r="117" ht="22.5" customHeight="1">
      <c r="A117" s="248"/>
      <c r="B117" s="249"/>
      <c r="C117" s="250"/>
      <c r="D117" s="251"/>
      <c r="E117" s="250"/>
      <c r="F117" s="252"/>
      <c r="G117" s="236"/>
      <c r="H117" s="11"/>
      <c r="I117" s="247"/>
      <c r="J117" s="236"/>
      <c r="K117" s="252"/>
    </row>
    <row r="118" ht="22.5" customHeight="1">
      <c r="A118" s="248"/>
      <c r="B118" s="249"/>
      <c r="C118" s="250"/>
      <c r="D118" s="251"/>
      <c r="E118" s="250"/>
      <c r="F118" s="252"/>
      <c r="G118" s="235"/>
      <c r="H118" s="8"/>
      <c r="I118" s="246"/>
      <c r="J118" s="235"/>
      <c r="K118" s="252"/>
    </row>
    <row r="119" ht="22.5" customHeight="1">
      <c r="A119" s="248"/>
      <c r="B119" s="249"/>
      <c r="C119" s="250"/>
      <c r="D119" s="251"/>
      <c r="E119" s="250"/>
      <c r="F119" s="252"/>
      <c r="G119" s="236"/>
      <c r="H119" s="11"/>
      <c r="I119" s="247"/>
      <c r="J119" s="236"/>
      <c r="K119" s="252"/>
    </row>
    <row r="120" ht="22.5" customHeight="1">
      <c r="A120" s="248"/>
      <c r="B120" s="249"/>
      <c r="C120" s="250"/>
      <c r="D120" s="251"/>
      <c r="E120" s="250"/>
      <c r="F120" s="252"/>
      <c r="G120" s="143"/>
      <c r="H120" s="37"/>
      <c r="I120" s="143"/>
      <c r="J120" s="253"/>
      <c r="K120" s="252"/>
    </row>
    <row r="121" ht="22.5" customHeight="1">
      <c r="A121" s="248"/>
      <c r="B121" s="249"/>
      <c r="C121" s="250"/>
      <c r="D121" s="251"/>
      <c r="E121" s="250"/>
      <c r="F121" s="252"/>
      <c r="G121" s="141"/>
      <c r="H121" s="41"/>
      <c r="I121" s="141"/>
      <c r="J121" s="254"/>
      <c r="K121" s="252"/>
    </row>
    <row r="122" ht="22.5" customHeight="1">
      <c r="A122" s="248"/>
      <c r="B122" s="249"/>
      <c r="C122" s="250"/>
      <c r="D122" s="251"/>
      <c r="E122" s="250"/>
      <c r="F122" s="252"/>
      <c r="G122" s="143"/>
      <c r="H122" s="37"/>
      <c r="I122" s="143"/>
      <c r="J122" s="253"/>
      <c r="K122" s="252"/>
    </row>
    <row r="123" ht="22.5" customHeight="1">
      <c r="A123" s="248"/>
      <c r="B123" s="249"/>
      <c r="C123" s="250"/>
      <c r="D123" s="251"/>
      <c r="E123" s="250"/>
      <c r="F123" s="252"/>
      <c r="G123" s="141"/>
      <c r="H123" s="41"/>
      <c r="I123" s="141"/>
      <c r="J123" s="254"/>
      <c r="K123" s="252"/>
    </row>
    <row r="124" ht="22.5" customHeight="1">
      <c r="A124" s="248"/>
      <c r="B124" s="249"/>
      <c r="C124" s="250"/>
      <c r="D124" s="251"/>
      <c r="E124" s="250"/>
      <c r="F124" s="252"/>
      <c r="G124" s="143"/>
      <c r="H124" s="37"/>
      <c r="I124" s="143"/>
      <c r="J124" s="253"/>
      <c r="K124" s="252"/>
    </row>
    <row r="125" ht="22.5" customHeight="1">
      <c r="A125" s="248"/>
      <c r="B125" s="249"/>
      <c r="C125" s="250"/>
      <c r="D125" s="251"/>
      <c r="E125" s="250"/>
      <c r="F125" s="252"/>
      <c r="G125" s="141"/>
      <c r="H125" s="41"/>
      <c r="I125" s="141"/>
      <c r="J125" s="254"/>
      <c r="K125" s="252"/>
    </row>
    <row r="126" ht="22.5" customHeight="1">
      <c r="A126" s="248"/>
      <c r="B126" s="249"/>
      <c r="C126" s="250"/>
      <c r="D126" s="251"/>
      <c r="E126" s="250"/>
      <c r="F126" s="252"/>
      <c r="G126" s="143"/>
      <c r="H126" s="37"/>
      <c r="I126" s="143"/>
      <c r="J126" s="253"/>
      <c r="K126" s="252"/>
    </row>
    <row r="127" ht="22.5" customHeight="1">
      <c r="A127" s="248"/>
      <c r="B127" s="249"/>
      <c r="C127" s="250"/>
      <c r="D127" s="251"/>
      <c r="E127" s="250"/>
      <c r="F127" s="252"/>
      <c r="G127" s="141"/>
      <c r="H127" s="41"/>
      <c r="I127" s="141"/>
      <c r="J127" s="254"/>
      <c r="K127" s="252"/>
    </row>
    <row r="128" ht="22.5" customHeight="1">
      <c r="A128" s="248"/>
      <c r="B128" s="249"/>
      <c r="C128" s="250"/>
      <c r="D128" s="251"/>
      <c r="E128" s="250"/>
      <c r="F128" s="252"/>
      <c r="G128" s="143"/>
      <c r="H128" s="37"/>
      <c r="I128" s="143"/>
      <c r="J128" s="253"/>
      <c r="K128" s="252"/>
    </row>
    <row r="129" ht="22.5" customHeight="1">
      <c r="A129" s="248"/>
      <c r="B129" s="249"/>
      <c r="C129" s="250"/>
      <c r="D129" s="251"/>
      <c r="E129" s="250"/>
      <c r="F129" s="252"/>
      <c r="G129" s="141"/>
      <c r="H129" s="41"/>
      <c r="I129" s="141"/>
      <c r="J129" s="254"/>
      <c r="K129" s="252"/>
    </row>
    <row r="130" ht="22.5" customHeight="1">
      <c r="A130" s="248"/>
      <c r="B130" s="249"/>
      <c r="C130" s="250"/>
      <c r="D130" s="251"/>
      <c r="E130" s="250"/>
      <c r="F130" s="252"/>
      <c r="G130" s="143"/>
      <c r="H130" s="37"/>
      <c r="I130" s="143"/>
      <c r="J130" s="253"/>
      <c r="K130" s="252"/>
    </row>
    <row r="131" ht="22.5" customHeight="1">
      <c r="A131" s="248"/>
      <c r="B131" s="249"/>
      <c r="C131" s="250"/>
      <c r="D131" s="251"/>
      <c r="E131" s="250"/>
      <c r="F131" s="252"/>
      <c r="G131" s="141"/>
      <c r="H131" s="41"/>
      <c r="I131" s="141"/>
      <c r="J131" s="254"/>
      <c r="K131" s="252"/>
    </row>
    <row r="132" ht="22.5" customHeight="1">
      <c r="A132" s="248"/>
      <c r="B132" s="249"/>
      <c r="C132" s="250"/>
      <c r="D132" s="251"/>
      <c r="E132" s="250"/>
      <c r="F132" s="252"/>
      <c r="G132" s="143"/>
      <c r="H132" s="37"/>
      <c r="I132" s="143"/>
      <c r="J132" s="253"/>
      <c r="K132" s="252"/>
    </row>
    <row r="133" ht="22.5" customHeight="1">
      <c r="A133" s="248"/>
      <c r="B133" s="249"/>
      <c r="C133" s="250"/>
      <c r="D133" s="251"/>
      <c r="E133" s="250"/>
      <c r="F133" s="252"/>
      <c r="G133" s="141"/>
      <c r="H133" s="41"/>
      <c r="I133" s="141"/>
      <c r="J133" s="254"/>
      <c r="K133" s="252"/>
    </row>
    <row r="134" ht="22.5" customHeight="1">
      <c r="A134" s="248"/>
      <c r="B134" s="249"/>
      <c r="C134" s="250"/>
      <c r="D134" s="251"/>
      <c r="E134" s="250"/>
      <c r="F134" s="252"/>
      <c r="G134" s="143"/>
      <c r="H134" s="37"/>
      <c r="I134" s="143"/>
      <c r="J134" s="253"/>
      <c r="K134" s="252"/>
    </row>
    <row r="135" ht="22.5" customHeight="1">
      <c r="A135" s="248"/>
      <c r="B135" s="249"/>
      <c r="C135" s="250"/>
      <c r="D135" s="251"/>
      <c r="E135" s="250"/>
      <c r="F135" s="252"/>
      <c r="G135" s="141"/>
      <c r="H135" s="41"/>
      <c r="I135" s="141"/>
      <c r="J135" s="254"/>
      <c r="K135" s="252"/>
    </row>
    <row r="136" ht="22.5" customHeight="1">
      <c r="A136" s="248"/>
      <c r="B136" s="249"/>
      <c r="C136" s="250"/>
      <c r="D136" s="251"/>
      <c r="E136" s="250"/>
      <c r="F136" s="252"/>
      <c r="G136" s="143"/>
      <c r="H136" s="37"/>
      <c r="I136" s="143"/>
      <c r="J136" s="253"/>
      <c r="K136" s="252"/>
    </row>
    <row r="137" ht="22.5" customHeight="1">
      <c r="A137" s="248"/>
      <c r="B137" s="249"/>
      <c r="C137" s="250"/>
      <c r="D137" s="251"/>
      <c r="E137" s="250"/>
      <c r="F137" s="252"/>
      <c r="G137" s="141"/>
      <c r="H137" s="41"/>
      <c r="I137" s="141"/>
      <c r="J137" s="254"/>
      <c r="K137" s="252"/>
    </row>
    <row r="138" ht="22.5" customHeight="1">
      <c r="A138" s="248"/>
      <c r="B138" s="249"/>
      <c r="C138" s="250"/>
      <c r="D138" s="251"/>
      <c r="E138" s="250"/>
      <c r="F138" s="252"/>
      <c r="G138" s="143"/>
      <c r="H138" s="37"/>
      <c r="I138" s="143"/>
      <c r="J138" s="253"/>
      <c r="K138" s="252"/>
    </row>
    <row r="139" ht="22.5" customHeight="1">
      <c r="A139" s="248"/>
      <c r="B139" s="249"/>
      <c r="C139" s="250"/>
      <c r="D139" s="251"/>
      <c r="E139" s="250"/>
      <c r="F139" s="252"/>
      <c r="G139" s="141"/>
      <c r="H139" s="41"/>
      <c r="I139" s="141"/>
      <c r="J139" s="254"/>
      <c r="K139" s="252"/>
    </row>
    <row r="140" ht="22.5" customHeight="1">
      <c r="A140" s="248"/>
      <c r="B140" s="249"/>
      <c r="C140" s="250"/>
      <c r="D140" s="251"/>
      <c r="E140" s="250"/>
      <c r="F140" s="252"/>
      <c r="G140" s="143"/>
      <c r="H140" s="37"/>
      <c r="I140" s="143"/>
      <c r="J140" s="253"/>
      <c r="K140" s="252"/>
    </row>
    <row r="141" ht="22.5" customHeight="1">
      <c r="A141" s="248"/>
      <c r="B141" s="249"/>
      <c r="C141" s="250"/>
      <c r="D141" s="251"/>
      <c r="E141" s="250"/>
      <c r="F141" s="252"/>
      <c r="G141" s="141"/>
      <c r="H141" s="41"/>
      <c r="I141" s="141"/>
      <c r="J141" s="254"/>
      <c r="K141" s="252"/>
    </row>
    <row r="142" ht="22.5" customHeight="1">
      <c r="A142" s="248"/>
      <c r="B142" s="249"/>
      <c r="C142" s="250"/>
      <c r="D142" s="251"/>
      <c r="E142" s="250"/>
      <c r="F142" s="252"/>
      <c r="G142" s="143"/>
      <c r="H142" s="37"/>
      <c r="I142" s="143"/>
      <c r="J142" s="253"/>
      <c r="K142" s="252"/>
    </row>
    <row r="143" ht="22.5" customHeight="1">
      <c r="A143" s="248"/>
      <c r="B143" s="249"/>
      <c r="C143" s="250"/>
      <c r="D143" s="251"/>
      <c r="E143" s="250"/>
      <c r="F143" s="252"/>
      <c r="G143" s="141"/>
      <c r="H143" s="41"/>
      <c r="I143" s="141"/>
      <c r="J143" s="254"/>
      <c r="K143" s="252"/>
    </row>
    <row r="144" ht="22.5" customHeight="1">
      <c r="A144" s="248"/>
      <c r="B144" s="249"/>
      <c r="C144" s="250"/>
      <c r="D144" s="251"/>
      <c r="E144" s="250"/>
      <c r="F144" s="252"/>
      <c r="G144" s="143"/>
      <c r="H144" s="37"/>
      <c r="I144" s="143"/>
      <c r="J144" s="253"/>
      <c r="K144" s="252"/>
    </row>
    <row r="145" ht="22.5" customHeight="1">
      <c r="A145" s="248"/>
      <c r="B145" s="249"/>
      <c r="C145" s="250"/>
      <c r="D145" s="251"/>
      <c r="E145" s="250"/>
      <c r="F145" s="252"/>
      <c r="G145" s="141"/>
      <c r="H145" s="41"/>
      <c r="I145" s="141"/>
      <c r="J145" s="254"/>
      <c r="K145" s="252"/>
    </row>
    <row r="146" ht="22.5" customHeight="1">
      <c r="A146" s="248"/>
      <c r="B146" s="249"/>
      <c r="C146" s="250"/>
      <c r="D146" s="251"/>
      <c r="E146" s="250"/>
      <c r="F146" s="252"/>
      <c r="G146" s="143"/>
      <c r="H146" s="37"/>
      <c r="I146" s="143"/>
      <c r="J146" s="253"/>
      <c r="K146" s="252"/>
    </row>
    <row r="147" ht="22.5" customHeight="1">
      <c r="A147" s="248"/>
      <c r="B147" s="249"/>
      <c r="C147" s="250"/>
      <c r="D147" s="251"/>
      <c r="E147" s="250"/>
      <c r="F147" s="252"/>
      <c r="G147" s="141"/>
      <c r="H147" s="41"/>
      <c r="I147" s="141"/>
      <c r="J147" s="254"/>
      <c r="K147" s="252"/>
    </row>
    <row r="148" ht="22.5" customHeight="1">
      <c r="A148" s="248"/>
      <c r="B148" s="249"/>
      <c r="C148" s="250"/>
      <c r="D148" s="251"/>
      <c r="E148" s="250"/>
      <c r="F148" s="252"/>
      <c r="G148" s="143"/>
      <c r="H148" s="37"/>
      <c r="I148" s="143"/>
      <c r="J148" s="253"/>
      <c r="K148" s="252"/>
    </row>
    <row r="149" ht="22.5" customHeight="1">
      <c r="A149" s="248"/>
      <c r="B149" s="249"/>
      <c r="C149" s="250"/>
      <c r="D149" s="251"/>
      <c r="E149" s="250"/>
      <c r="F149" s="252"/>
      <c r="G149" s="141"/>
      <c r="H149" s="41"/>
      <c r="I149" s="141"/>
      <c r="J149" s="254"/>
      <c r="K149" s="252"/>
    </row>
    <row r="150" ht="22.5" customHeight="1">
      <c r="A150" s="248"/>
      <c r="B150" s="249"/>
      <c r="C150" s="250"/>
      <c r="D150" s="251"/>
      <c r="E150" s="250"/>
      <c r="F150" s="252"/>
      <c r="G150" s="143"/>
      <c r="H150" s="37"/>
      <c r="I150" s="143"/>
      <c r="J150" s="253"/>
      <c r="K150" s="252"/>
    </row>
    <row r="151" ht="22.5" customHeight="1">
      <c r="A151" s="248"/>
      <c r="B151" s="249"/>
      <c r="C151" s="250"/>
      <c r="D151" s="251"/>
      <c r="E151" s="250"/>
      <c r="F151" s="252"/>
      <c r="G151" s="141"/>
      <c r="H151" s="41"/>
      <c r="I151" s="141"/>
      <c r="J151" s="254"/>
      <c r="K151" s="252"/>
    </row>
    <row r="152" ht="22.5" customHeight="1">
      <c r="A152" s="248"/>
      <c r="B152" s="249"/>
      <c r="C152" s="250"/>
      <c r="D152" s="251"/>
      <c r="E152" s="250"/>
      <c r="F152" s="252"/>
      <c r="G152" s="143"/>
      <c r="H152" s="37"/>
      <c r="I152" s="143"/>
      <c r="J152" s="253"/>
      <c r="K152" s="252"/>
    </row>
    <row r="153" ht="22.5" customHeight="1">
      <c r="A153" s="248"/>
      <c r="B153" s="249"/>
      <c r="C153" s="250"/>
      <c r="D153" s="251"/>
      <c r="E153" s="250"/>
      <c r="F153" s="252"/>
      <c r="G153" s="141"/>
      <c r="H153" s="41"/>
      <c r="I153" s="141"/>
      <c r="J153" s="254"/>
      <c r="K153" s="252"/>
    </row>
    <row r="154" ht="22.5" customHeight="1">
      <c r="A154" s="248"/>
      <c r="B154" s="249"/>
      <c r="C154" s="250"/>
      <c r="D154" s="251"/>
      <c r="E154" s="250"/>
      <c r="F154" s="252"/>
      <c r="G154" s="143"/>
      <c r="H154" s="37"/>
      <c r="I154" s="143"/>
      <c r="J154" s="253"/>
      <c r="K154" s="252"/>
    </row>
    <row r="155" ht="22.5" customHeight="1">
      <c r="A155" s="248"/>
      <c r="B155" s="249"/>
      <c r="C155" s="250"/>
      <c r="D155" s="251"/>
      <c r="E155" s="250"/>
      <c r="F155" s="252"/>
      <c r="G155" s="141"/>
      <c r="H155" s="41"/>
      <c r="I155" s="141"/>
      <c r="J155" s="254"/>
      <c r="K155" s="252"/>
    </row>
    <row r="156" ht="22.5" customHeight="1">
      <c r="A156" s="248"/>
      <c r="B156" s="249"/>
      <c r="C156" s="250"/>
      <c r="D156" s="251"/>
      <c r="E156" s="250"/>
      <c r="F156" s="252"/>
      <c r="G156" s="143"/>
      <c r="H156" s="37"/>
      <c r="I156" s="143"/>
      <c r="J156" s="253"/>
      <c r="K156" s="252"/>
    </row>
    <row r="157" ht="22.5" customHeight="1">
      <c r="A157" s="248"/>
      <c r="B157" s="249"/>
      <c r="C157" s="250"/>
      <c r="D157" s="251"/>
      <c r="E157" s="250"/>
      <c r="F157" s="252"/>
      <c r="G157" s="141"/>
      <c r="H157" s="41"/>
      <c r="I157" s="141"/>
      <c r="J157" s="254"/>
      <c r="K157" s="252"/>
    </row>
    <row r="158" ht="22.5" customHeight="1">
      <c r="A158" s="248"/>
      <c r="B158" s="249"/>
      <c r="C158" s="250"/>
      <c r="D158" s="251"/>
      <c r="E158" s="250"/>
      <c r="F158" s="252"/>
      <c r="G158" s="143"/>
      <c r="H158" s="37"/>
      <c r="I158" s="143"/>
      <c r="J158" s="253"/>
      <c r="K158" s="252"/>
    </row>
    <row r="159" ht="22.5" customHeight="1">
      <c r="A159" s="248"/>
      <c r="B159" s="249"/>
      <c r="C159" s="250"/>
      <c r="D159" s="251"/>
      <c r="E159" s="250"/>
      <c r="F159" s="252"/>
      <c r="G159" s="141"/>
      <c r="H159" s="41"/>
      <c r="I159" s="141"/>
      <c r="J159" s="254"/>
      <c r="K159" s="252"/>
    </row>
    <row r="160" ht="22.5" customHeight="1">
      <c r="A160" s="248"/>
      <c r="B160" s="249"/>
      <c r="C160" s="250"/>
      <c r="D160" s="251"/>
      <c r="E160" s="250"/>
      <c r="F160" s="252"/>
      <c r="G160" s="143"/>
      <c r="H160" s="37"/>
      <c r="I160" s="143"/>
      <c r="J160" s="253"/>
      <c r="K160" s="252"/>
    </row>
    <row r="161" ht="22.5" customHeight="1">
      <c r="A161" s="248"/>
      <c r="B161" s="249"/>
      <c r="C161" s="250"/>
      <c r="D161" s="251"/>
      <c r="E161" s="250"/>
      <c r="F161" s="252"/>
      <c r="G161" s="141"/>
      <c r="H161" s="41"/>
      <c r="I161" s="141"/>
      <c r="J161" s="254"/>
      <c r="K161" s="252"/>
    </row>
    <row r="162" ht="22.5" customHeight="1">
      <c r="A162" s="248"/>
      <c r="B162" s="249"/>
      <c r="C162" s="250"/>
      <c r="D162" s="251"/>
      <c r="E162" s="250"/>
      <c r="F162" s="252"/>
      <c r="G162" s="143"/>
      <c r="H162" s="37"/>
      <c r="I162" s="143"/>
      <c r="J162" s="253"/>
      <c r="K162" s="252"/>
    </row>
    <row r="163" ht="22.5" customHeight="1">
      <c r="A163" s="248"/>
      <c r="B163" s="249"/>
      <c r="C163" s="250"/>
      <c r="D163" s="251"/>
      <c r="E163" s="250"/>
      <c r="F163" s="252"/>
      <c r="G163" s="141"/>
      <c r="H163" s="41"/>
      <c r="I163" s="141"/>
      <c r="J163" s="254"/>
      <c r="K163" s="252"/>
    </row>
    <row r="164" ht="22.5" customHeight="1">
      <c r="A164" s="248"/>
      <c r="B164" s="249"/>
      <c r="C164" s="250"/>
      <c r="D164" s="251"/>
      <c r="E164" s="250"/>
      <c r="F164" s="252"/>
      <c r="G164" s="143"/>
      <c r="H164" s="37"/>
      <c r="I164" s="143"/>
      <c r="J164" s="253"/>
      <c r="K164" s="252"/>
    </row>
    <row r="165" ht="22.5" customHeight="1">
      <c r="A165" s="248"/>
      <c r="B165" s="249"/>
      <c r="C165" s="250"/>
      <c r="D165" s="251"/>
      <c r="E165" s="250"/>
      <c r="F165" s="252"/>
      <c r="G165" s="141"/>
      <c r="H165" s="41"/>
      <c r="I165" s="141"/>
      <c r="J165" s="254"/>
      <c r="K165" s="252"/>
    </row>
    <row r="166" ht="22.5" customHeight="1">
      <c r="A166" s="248"/>
      <c r="B166" s="249"/>
      <c r="C166" s="250"/>
      <c r="D166" s="251"/>
      <c r="E166" s="250"/>
      <c r="F166" s="252"/>
      <c r="G166" s="143"/>
      <c r="H166" s="37"/>
      <c r="I166" s="143"/>
      <c r="J166" s="253"/>
      <c r="K166" s="252"/>
    </row>
    <row r="167" ht="22.5" customHeight="1">
      <c r="A167" s="248"/>
      <c r="B167" s="249"/>
      <c r="C167" s="250"/>
      <c r="D167" s="251"/>
      <c r="E167" s="250"/>
      <c r="F167" s="252"/>
      <c r="G167" s="141"/>
      <c r="H167" s="41"/>
      <c r="I167" s="141"/>
      <c r="J167" s="254"/>
      <c r="K167" s="252"/>
    </row>
    <row r="168" ht="22.5" customHeight="1">
      <c r="A168" s="248"/>
      <c r="B168" s="249"/>
      <c r="C168" s="250"/>
      <c r="D168" s="251"/>
      <c r="E168" s="250"/>
      <c r="F168" s="252"/>
      <c r="G168" s="143"/>
      <c r="H168" s="37"/>
      <c r="I168" s="143"/>
      <c r="J168" s="253"/>
      <c r="K168" s="252"/>
    </row>
    <row r="169" ht="22.5" customHeight="1">
      <c r="A169" s="248"/>
      <c r="B169" s="249"/>
      <c r="C169" s="250"/>
      <c r="D169" s="251"/>
      <c r="E169" s="250"/>
      <c r="F169" s="252"/>
      <c r="G169" s="141"/>
      <c r="H169" s="41"/>
      <c r="I169" s="141"/>
      <c r="J169" s="254"/>
      <c r="K169" s="252"/>
    </row>
    <row r="170" ht="22.5" customHeight="1">
      <c r="A170" s="248"/>
      <c r="B170" s="249"/>
      <c r="C170" s="250"/>
      <c r="D170" s="251"/>
      <c r="E170" s="250"/>
      <c r="F170" s="252"/>
      <c r="G170" s="143"/>
      <c r="H170" s="37"/>
      <c r="I170" s="143"/>
      <c r="J170" s="253"/>
      <c r="K170" s="252"/>
    </row>
    <row r="171" ht="22.5" customHeight="1">
      <c r="A171" s="248"/>
      <c r="B171" s="249"/>
      <c r="C171" s="250"/>
      <c r="D171" s="251"/>
      <c r="E171" s="250"/>
      <c r="F171" s="252"/>
      <c r="G171" s="141"/>
      <c r="H171" s="41"/>
      <c r="I171" s="141"/>
      <c r="J171" s="254"/>
      <c r="K171" s="252"/>
    </row>
    <row r="172" ht="22.5" customHeight="1">
      <c r="A172" s="248"/>
      <c r="B172" s="249"/>
      <c r="C172" s="250"/>
      <c r="D172" s="251"/>
      <c r="E172" s="250"/>
      <c r="F172" s="252"/>
      <c r="G172" s="143"/>
      <c r="H172" s="37"/>
      <c r="I172" s="143"/>
      <c r="J172" s="253"/>
      <c r="K172" s="252"/>
    </row>
    <row r="173" ht="22.5" customHeight="1">
      <c r="A173" s="248"/>
      <c r="B173" s="249"/>
      <c r="C173" s="250"/>
      <c r="D173" s="251"/>
      <c r="E173" s="250"/>
      <c r="F173" s="252"/>
      <c r="G173" s="141"/>
      <c r="H173" s="41"/>
      <c r="I173" s="141"/>
      <c r="J173" s="254"/>
      <c r="K173" s="252"/>
    </row>
    <row r="174" ht="22.5" customHeight="1">
      <c r="A174" s="248"/>
      <c r="B174" s="249"/>
      <c r="C174" s="250"/>
      <c r="D174" s="251"/>
      <c r="E174" s="250"/>
      <c r="F174" s="252"/>
      <c r="G174" s="143"/>
      <c r="H174" s="37"/>
      <c r="I174" s="143"/>
      <c r="J174" s="253"/>
      <c r="K174" s="252"/>
    </row>
    <row r="175" ht="22.5" customHeight="1">
      <c r="A175" s="248"/>
      <c r="B175" s="249"/>
      <c r="C175" s="250"/>
      <c r="D175" s="251"/>
      <c r="E175" s="250"/>
      <c r="F175" s="252"/>
      <c r="G175" s="141"/>
      <c r="H175" s="41"/>
      <c r="I175" s="141"/>
      <c r="J175" s="254"/>
      <c r="K175" s="252"/>
    </row>
    <row r="176" ht="22.5" customHeight="1">
      <c r="A176" s="248"/>
      <c r="B176" s="249"/>
      <c r="C176" s="250"/>
      <c r="D176" s="251"/>
      <c r="E176" s="250"/>
      <c r="F176" s="252"/>
      <c r="G176" s="143"/>
      <c r="H176" s="37"/>
      <c r="I176" s="143"/>
      <c r="J176" s="253"/>
      <c r="K176" s="252"/>
    </row>
    <row r="177" ht="22.5" customHeight="1">
      <c r="A177" s="248"/>
      <c r="B177" s="249"/>
      <c r="C177" s="250"/>
      <c r="D177" s="251"/>
      <c r="E177" s="250"/>
      <c r="F177" s="252"/>
      <c r="G177" s="141"/>
      <c r="H177" s="41"/>
      <c r="I177" s="141"/>
      <c r="J177" s="254"/>
      <c r="K177" s="252"/>
    </row>
    <row r="178" ht="22.5" customHeight="1">
      <c r="A178" s="248"/>
      <c r="B178" s="249"/>
      <c r="C178" s="250"/>
      <c r="D178" s="251"/>
      <c r="E178" s="250"/>
      <c r="F178" s="252"/>
      <c r="G178" s="143"/>
      <c r="H178" s="37"/>
      <c r="I178" s="143"/>
      <c r="J178" s="253"/>
      <c r="K178" s="252"/>
    </row>
    <row r="179" ht="22.5" customHeight="1">
      <c r="A179" s="248"/>
      <c r="B179" s="249"/>
      <c r="C179" s="250"/>
      <c r="D179" s="251"/>
      <c r="E179" s="250"/>
      <c r="F179" s="252"/>
      <c r="G179" s="141"/>
      <c r="H179" s="41"/>
      <c r="I179" s="141"/>
      <c r="J179" s="254"/>
      <c r="K179" s="252"/>
    </row>
    <row r="180" ht="22.5" customHeight="1">
      <c r="A180" s="248"/>
      <c r="B180" s="249"/>
      <c r="C180" s="250"/>
      <c r="D180" s="251"/>
      <c r="E180" s="250"/>
      <c r="F180" s="252"/>
      <c r="G180" s="143"/>
      <c r="H180" s="37"/>
      <c r="I180" s="143"/>
      <c r="J180" s="253"/>
      <c r="K180" s="252"/>
    </row>
    <row r="181" ht="22.5" customHeight="1">
      <c r="A181" s="248"/>
      <c r="B181" s="249"/>
      <c r="C181" s="250"/>
      <c r="D181" s="251"/>
      <c r="E181" s="250"/>
      <c r="F181" s="252"/>
      <c r="G181" s="141"/>
      <c r="H181" s="41"/>
      <c r="I181" s="141"/>
      <c r="J181" s="254"/>
      <c r="K181" s="252"/>
    </row>
    <row r="182" ht="22.5" customHeight="1">
      <c r="A182" s="248"/>
      <c r="B182" s="249"/>
      <c r="C182" s="250"/>
      <c r="D182" s="251"/>
      <c r="E182" s="250"/>
      <c r="F182" s="252"/>
      <c r="G182" s="143"/>
      <c r="H182" s="37"/>
      <c r="I182" s="143"/>
      <c r="J182" s="253"/>
      <c r="K182" s="252"/>
    </row>
    <row r="183" ht="22.5" customHeight="1">
      <c r="A183" s="248"/>
      <c r="B183" s="249"/>
      <c r="C183" s="250"/>
      <c r="D183" s="251"/>
      <c r="E183" s="250"/>
      <c r="F183" s="252"/>
      <c r="G183" s="141"/>
      <c r="H183" s="41"/>
      <c r="I183" s="141"/>
      <c r="J183" s="254"/>
      <c r="K183" s="252"/>
    </row>
    <row r="184" ht="22.5" customHeight="1">
      <c r="A184" s="248"/>
      <c r="B184" s="249"/>
      <c r="C184" s="250"/>
      <c r="D184" s="251"/>
      <c r="E184" s="250"/>
      <c r="F184" s="252"/>
      <c r="G184" s="143"/>
      <c r="H184" s="37"/>
      <c r="I184" s="143"/>
      <c r="J184" s="253"/>
      <c r="K184" s="252"/>
    </row>
    <row r="185" ht="22.5" customHeight="1">
      <c r="A185" s="248"/>
      <c r="B185" s="249"/>
      <c r="C185" s="250"/>
      <c r="D185" s="251"/>
      <c r="E185" s="250"/>
      <c r="F185" s="252"/>
      <c r="G185" s="141"/>
      <c r="H185" s="41"/>
      <c r="I185" s="141"/>
      <c r="J185" s="254"/>
      <c r="K185" s="252"/>
    </row>
    <row r="186" ht="22.5" customHeight="1">
      <c r="A186" s="248"/>
      <c r="B186" s="249"/>
      <c r="C186" s="250"/>
      <c r="D186" s="251"/>
      <c r="E186" s="250"/>
      <c r="F186" s="252"/>
      <c r="G186" s="143"/>
      <c r="H186" s="37"/>
      <c r="I186" s="143"/>
      <c r="J186" s="253"/>
      <c r="K186" s="252"/>
    </row>
    <row r="187" ht="22.5" customHeight="1">
      <c r="A187" s="248"/>
      <c r="B187" s="249"/>
      <c r="C187" s="250"/>
      <c r="D187" s="251"/>
      <c r="E187" s="250"/>
      <c r="F187" s="252"/>
      <c r="G187" s="141"/>
      <c r="H187" s="41"/>
      <c r="I187" s="141"/>
      <c r="J187" s="254"/>
      <c r="K187" s="252"/>
    </row>
    <row r="188" ht="22.5" customHeight="1">
      <c r="A188" s="248"/>
      <c r="B188" s="249"/>
      <c r="C188" s="250"/>
      <c r="D188" s="251"/>
      <c r="E188" s="250"/>
      <c r="F188" s="252"/>
      <c r="G188" s="143"/>
      <c r="H188" s="37"/>
      <c r="I188" s="143"/>
      <c r="J188" s="253"/>
      <c r="K188" s="252"/>
    </row>
    <row r="189" ht="22.5" customHeight="1">
      <c r="A189" s="248"/>
      <c r="B189" s="249"/>
      <c r="C189" s="250"/>
      <c r="D189" s="251"/>
      <c r="E189" s="250"/>
      <c r="F189" s="252"/>
      <c r="G189" s="141"/>
      <c r="H189" s="41"/>
      <c r="I189" s="141"/>
      <c r="J189" s="254"/>
      <c r="K189" s="252"/>
    </row>
    <row r="190" ht="22.5" customHeight="1">
      <c r="A190" s="248"/>
      <c r="B190" s="249"/>
      <c r="C190" s="250"/>
      <c r="D190" s="251"/>
      <c r="E190" s="250"/>
      <c r="F190" s="252"/>
      <c r="G190" s="143"/>
      <c r="H190" s="37"/>
      <c r="I190" s="143"/>
      <c r="J190" s="253"/>
      <c r="K190" s="252"/>
    </row>
    <row r="191" ht="22.5" customHeight="1">
      <c r="A191" s="248"/>
      <c r="B191" s="249"/>
      <c r="C191" s="250"/>
      <c r="D191" s="251"/>
      <c r="E191" s="250"/>
      <c r="F191" s="252"/>
      <c r="G191" s="141"/>
      <c r="H191" s="41"/>
      <c r="I191" s="141"/>
      <c r="J191" s="254"/>
      <c r="K191" s="252"/>
    </row>
    <row r="192" ht="22.5" customHeight="1">
      <c r="A192" s="248"/>
      <c r="B192" s="249"/>
      <c r="C192" s="250"/>
      <c r="D192" s="251"/>
      <c r="E192" s="250"/>
      <c r="F192" s="252"/>
      <c r="G192" s="143"/>
      <c r="H192" s="37"/>
      <c r="I192" s="143"/>
      <c r="J192" s="253"/>
      <c r="K192" s="252"/>
    </row>
    <row r="193" ht="22.5" customHeight="1">
      <c r="A193" s="248"/>
      <c r="B193" s="249"/>
      <c r="C193" s="250"/>
      <c r="D193" s="251"/>
      <c r="E193" s="250"/>
      <c r="F193" s="252"/>
      <c r="G193" s="141"/>
      <c r="H193" s="41"/>
      <c r="I193" s="141"/>
      <c r="J193" s="254"/>
      <c r="K193" s="252"/>
    </row>
    <row r="194" ht="22.5" customHeight="1">
      <c r="A194" s="248"/>
      <c r="B194" s="249"/>
      <c r="C194" s="250"/>
      <c r="D194" s="251"/>
      <c r="E194" s="250"/>
      <c r="F194" s="252"/>
      <c r="G194" s="143"/>
      <c r="H194" s="37"/>
      <c r="I194" s="143"/>
      <c r="J194" s="253"/>
      <c r="K194" s="252"/>
    </row>
    <row r="195" ht="22.5" customHeight="1">
      <c r="A195" s="248"/>
      <c r="B195" s="249"/>
      <c r="C195" s="250"/>
      <c r="D195" s="251"/>
      <c r="E195" s="250"/>
      <c r="F195" s="252"/>
      <c r="G195" s="141"/>
      <c r="H195" s="41"/>
      <c r="I195" s="141"/>
      <c r="J195" s="254"/>
      <c r="K195" s="252"/>
    </row>
    <row r="196" ht="22.5" customHeight="1">
      <c r="A196" s="248"/>
      <c r="B196" s="249"/>
      <c r="C196" s="250"/>
      <c r="D196" s="251"/>
      <c r="E196" s="250"/>
      <c r="F196" s="252"/>
      <c r="G196" s="143"/>
      <c r="H196" s="37"/>
      <c r="I196" s="143"/>
      <c r="J196" s="253"/>
      <c r="K196" s="252"/>
    </row>
    <row r="197" ht="22.5" customHeight="1">
      <c r="A197" s="248"/>
      <c r="B197" s="249"/>
      <c r="C197" s="250"/>
      <c r="D197" s="251"/>
      <c r="E197" s="250"/>
      <c r="F197" s="252"/>
      <c r="G197" s="141"/>
      <c r="H197" s="41"/>
      <c r="I197" s="141"/>
      <c r="J197" s="254"/>
      <c r="K197" s="252"/>
    </row>
    <row r="198" ht="22.5" customHeight="1">
      <c r="A198" s="248"/>
      <c r="B198" s="249"/>
      <c r="C198" s="250"/>
      <c r="D198" s="251"/>
      <c r="E198" s="250"/>
      <c r="F198" s="252"/>
      <c r="G198" s="143"/>
      <c r="H198" s="37"/>
      <c r="I198" s="143"/>
      <c r="J198" s="253"/>
      <c r="K198" s="252"/>
    </row>
    <row r="199" ht="22.5" customHeight="1">
      <c r="A199" s="248"/>
      <c r="B199" s="249"/>
      <c r="C199" s="250"/>
      <c r="D199" s="251"/>
      <c r="E199" s="250"/>
      <c r="F199" s="252"/>
      <c r="G199" s="141"/>
      <c r="H199" s="41"/>
      <c r="I199" s="141"/>
      <c r="J199" s="254"/>
      <c r="K199" s="252"/>
    </row>
    <row r="200" ht="22.5" customHeight="1">
      <c r="A200" s="248"/>
      <c r="B200" s="249"/>
      <c r="C200" s="250"/>
      <c r="D200" s="251"/>
      <c r="E200" s="250"/>
      <c r="F200" s="252"/>
      <c r="G200" s="143"/>
      <c r="H200" s="37"/>
      <c r="I200" s="143"/>
      <c r="J200" s="253"/>
      <c r="K200" s="252"/>
    </row>
    <row r="201" ht="22.5" customHeight="1">
      <c r="A201" s="248"/>
      <c r="B201" s="249"/>
      <c r="C201" s="250"/>
      <c r="D201" s="251"/>
      <c r="E201" s="250"/>
      <c r="F201" s="252"/>
      <c r="G201" s="141"/>
      <c r="H201" s="41"/>
      <c r="I201" s="141"/>
      <c r="J201" s="254"/>
      <c r="K201" s="252"/>
    </row>
    <row r="202" ht="22.5" customHeight="1">
      <c r="A202" s="248"/>
      <c r="B202" s="249"/>
      <c r="C202" s="250"/>
      <c r="D202" s="251"/>
      <c r="E202" s="250"/>
      <c r="F202" s="252"/>
      <c r="G202" s="143"/>
      <c r="H202" s="37"/>
      <c r="I202" s="143"/>
      <c r="J202" s="253"/>
      <c r="K202" s="252"/>
    </row>
    <row r="203" ht="22.5" customHeight="1">
      <c r="A203" s="248"/>
      <c r="B203" s="249"/>
      <c r="C203" s="250"/>
      <c r="D203" s="251"/>
      <c r="E203" s="250"/>
      <c r="F203" s="252"/>
      <c r="G203" s="141"/>
      <c r="H203" s="41"/>
      <c r="I203" s="141"/>
      <c r="J203" s="254"/>
      <c r="K203" s="252"/>
    </row>
    <row r="204" ht="22.5" customHeight="1">
      <c r="A204" s="248"/>
      <c r="B204" s="249"/>
      <c r="C204" s="250"/>
      <c r="D204" s="251"/>
      <c r="E204" s="250"/>
      <c r="F204" s="252"/>
      <c r="G204" s="143"/>
      <c r="H204" s="37"/>
      <c r="I204" s="143"/>
      <c r="J204" s="253"/>
      <c r="K204" s="252"/>
    </row>
    <row r="205" ht="22.5" customHeight="1">
      <c r="A205" s="248"/>
      <c r="B205" s="249"/>
      <c r="C205" s="250"/>
      <c r="D205" s="251"/>
      <c r="E205" s="250"/>
      <c r="F205" s="252"/>
      <c r="G205" s="141"/>
      <c r="H205" s="41"/>
      <c r="I205" s="141"/>
      <c r="J205" s="254"/>
      <c r="K205" s="252"/>
    </row>
    <row r="206" ht="22.5" customHeight="1">
      <c r="A206" s="248"/>
      <c r="B206" s="249"/>
      <c r="C206" s="250"/>
      <c r="D206" s="251"/>
      <c r="E206" s="250"/>
      <c r="F206" s="252"/>
      <c r="G206" s="143"/>
      <c r="H206" s="37"/>
      <c r="I206" s="143"/>
      <c r="J206" s="253"/>
      <c r="K206" s="252"/>
    </row>
    <row r="207" ht="22.5" customHeight="1">
      <c r="A207" s="248"/>
      <c r="B207" s="249"/>
      <c r="C207" s="250"/>
      <c r="D207" s="251"/>
      <c r="E207" s="250"/>
      <c r="F207" s="252"/>
      <c r="G207" s="141"/>
      <c r="H207" s="41"/>
      <c r="I207" s="141"/>
      <c r="J207" s="254"/>
      <c r="K207" s="252"/>
    </row>
    <row r="208" ht="22.5" customHeight="1">
      <c r="A208" s="248"/>
      <c r="B208" s="249"/>
      <c r="C208" s="250"/>
      <c r="D208" s="251"/>
      <c r="E208" s="250"/>
      <c r="F208" s="252"/>
      <c r="G208" s="143"/>
      <c r="H208" s="37"/>
      <c r="I208" s="143"/>
      <c r="J208" s="253"/>
      <c r="K208" s="252"/>
    </row>
    <row r="209" ht="22.5" customHeight="1">
      <c r="A209" s="248"/>
      <c r="B209" s="249"/>
      <c r="C209" s="250"/>
      <c r="D209" s="251"/>
      <c r="E209" s="250"/>
      <c r="F209" s="252"/>
      <c r="G209" s="141"/>
      <c r="H209" s="41"/>
      <c r="I209" s="141"/>
      <c r="J209" s="254"/>
      <c r="K209" s="252"/>
    </row>
    <row r="210" ht="22.5" customHeight="1">
      <c r="A210" s="248"/>
      <c r="B210" s="249"/>
      <c r="C210" s="250"/>
      <c r="D210" s="251"/>
      <c r="E210" s="250"/>
      <c r="F210" s="252"/>
      <c r="G210" s="143"/>
      <c r="H210" s="37"/>
      <c r="I210" s="143"/>
      <c r="J210" s="253"/>
      <c r="K210" s="252"/>
    </row>
    <row r="211" ht="22.5" customHeight="1">
      <c r="A211" s="248"/>
      <c r="B211" s="249"/>
      <c r="C211" s="250"/>
      <c r="D211" s="251"/>
      <c r="E211" s="250"/>
      <c r="F211" s="252"/>
      <c r="G211" s="141"/>
      <c r="H211" s="41"/>
      <c r="I211" s="141"/>
      <c r="J211" s="254"/>
      <c r="K211" s="252"/>
    </row>
    <row r="212" ht="22.5" customHeight="1">
      <c r="A212" s="248"/>
      <c r="B212" s="249"/>
      <c r="C212" s="250"/>
      <c r="D212" s="251"/>
      <c r="E212" s="250"/>
      <c r="F212" s="252"/>
      <c r="G212" s="143"/>
      <c r="H212" s="37"/>
      <c r="I212" s="143"/>
      <c r="J212" s="253"/>
      <c r="K212" s="252"/>
    </row>
    <row r="213" ht="22.5" customHeight="1">
      <c r="A213" s="248"/>
      <c r="B213" s="249"/>
      <c r="C213" s="250"/>
      <c r="D213" s="251"/>
      <c r="E213" s="250"/>
      <c r="F213" s="252"/>
      <c r="G213" s="141"/>
      <c r="H213" s="41"/>
      <c r="I213" s="141"/>
      <c r="J213" s="254"/>
      <c r="K213" s="252"/>
    </row>
    <row r="214" ht="22.5" customHeight="1">
      <c r="A214" s="248"/>
      <c r="B214" s="249"/>
      <c r="C214" s="250"/>
      <c r="D214" s="251"/>
      <c r="E214" s="250"/>
      <c r="F214" s="252"/>
      <c r="G214" s="143"/>
      <c r="H214" s="37"/>
      <c r="I214" s="143"/>
      <c r="J214" s="253"/>
      <c r="K214" s="252"/>
    </row>
    <row r="215" ht="22.5" customHeight="1">
      <c r="A215" s="248"/>
      <c r="B215" s="249"/>
      <c r="C215" s="250"/>
      <c r="D215" s="251"/>
      <c r="E215" s="250"/>
      <c r="F215" s="252"/>
      <c r="G215" s="141"/>
      <c r="H215" s="41"/>
      <c r="I215" s="141"/>
      <c r="J215" s="254"/>
      <c r="K215" s="252"/>
    </row>
    <row r="216" ht="22.5" customHeight="1">
      <c r="A216" s="248"/>
      <c r="B216" s="249"/>
      <c r="C216" s="250"/>
      <c r="D216" s="251"/>
      <c r="E216" s="250"/>
      <c r="F216" s="252"/>
      <c r="G216" s="143"/>
      <c r="H216" s="37"/>
      <c r="I216" s="143"/>
      <c r="J216" s="253"/>
      <c r="K216" s="252"/>
    </row>
    <row r="217" ht="22.5" customHeight="1">
      <c r="A217" s="248"/>
      <c r="B217" s="249"/>
      <c r="C217" s="250"/>
      <c r="D217" s="251"/>
      <c r="E217" s="250"/>
      <c r="F217" s="252"/>
      <c r="G217" s="141"/>
      <c r="H217" s="41"/>
      <c r="I217" s="141"/>
      <c r="J217" s="254"/>
      <c r="K217" s="252"/>
    </row>
    <row r="218" ht="22.5" customHeight="1">
      <c r="A218" s="248"/>
      <c r="B218" s="249"/>
      <c r="C218" s="250"/>
      <c r="D218" s="251"/>
      <c r="E218" s="250"/>
      <c r="F218" s="252"/>
      <c r="G218" s="143"/>
      <c r="H218" s="37"/>
      <c r="I218" s="143"/>
      <c r="J218" s="253"/>
      <c r="K218" s="252"/>
    </row>
    <row r="219" ht="22.5" customHeight="1">
      <c r="A219" s="248"/>
      <c r="B219" s="249"/>
      <c r="C219" s="250"/>
      <c r="D219" s="251"/>
      <c r="E219" s="250"/>
      <c r="F219" s="252"/>
      <c r="G219" s="141"/>
      <c r="H219" s="41"/>
      <c r="I219" s="141"/>
      <c r="J219" s="254"/>
      <c r="K219" s="252"/>
    </row>
    <row r="220" ht="22.5" customHeight="1">
      <c r="A220" s="248"/>
      <c r="B220" s="249"/>
      <c r="C220" s="250"/>
      <c r="D220" s="251"/>
      <c r="E220" s="250"/>
      <c r="F220" s="252"/>
      <c r="G220" s="143"/>
      <c r="H220" s="37"/>
      <c r="I220" s="143"/>
      <c r="J220" s="253"/>
      <c r="K220" s="252"/>
    </row>
    <row r="221" ht="22.5" customHeight="1">
      <c r="A221" s="248"/>
      <c r="B221" s="249"/>
      <c r="C221" s="250"/>
      <c r="D221" s="251"/>
      <c r="E221" s="250"/>
      <c r="F221" s="252"/>
      <c r="G221" s="141"/>
      <c r="H221" s="41"/>
      <c r="I221" s="141"/>
      <c r="J221" s="254"/>
      <c r="K221" s="252"/>
    </row>
    <row r="222" ht="22.5" customHeight="1">
      <c r="A222" s="248"/>
      <c r="B222" s="249"/>
      <c r="C222" s="250"/>
      <c r="D222" s="251"/>
      <c r="E222" s="250"/>
      <c r="F222" s="252"/>
      <c r="G222" s="143"/>
      <c r="H222" s="37"/>
      <c r="I222" s="143"/>
      <c r="J222" s="253"/>
      <c r="K222" s="252"/>
    </row>
    <row r="223" ht="22.5" customHeight="1">
      <c r="A223" s="248"/>
      <c r="B223" s="249"/>
      <c r="C223" s="250"/>
      <c r="D223" s="251"/>
      <c r="E223" s="250"/>
      <c r="F223" s="252"/>
      <c r="G223" s="141"/>
      <c r="H223" s="41"/>
      <c r="I223" s="141"/>
      <c r="J223" s="254"/>
      <c r="K223" s="252"/>
    </row>
    <row r="224" ht="22.5" customHeight="1">
      <c r="A224" s="248"/>
      <c r="B224" s="249"/>
      <c r="C224" s="250"/>
      <c r="D224" s="251"/>
      <c r="E224" s="250"/>
      <c r="F224" s="252"/>
      <c r="G224" s="143"/>
      <c r="H224" s="37"/>
      <c r="I224" s="143"/>
      <c r="J224" s="253"/>
      <c r="K224" s="252"/>
    </row>
    <row r="225" ht="22.5" customHeight="1">
      <c r="A225" s="248"/>
      <c r="B225" s="249"/>
      <c r="C225" s="250"/>
      <c r="D225" s="251"/>
      <c r="E225" s="250"/>
      <c r="F225" s="252"/>
      <c r="G225" s="141"/>
      <c r="H225" s="41"/>
      <c r="I225" s="141"/>
      <c r="J225" s="254"/>
      <c r="K225" s="252"/>
    </row>
    <row r="226" ht="22.5" customHeight="1">
      <c r="A226" s="248"/>
      <c r="B226" s="249"/>
      <c r="C226" s="250"/>
      <c r="D226" s="251"/>
      <c r="E226" s="250"/>
      <c r="F226" s="252"/>
      <c r="G226" s="143"/>
      <c r="H226" s="37"/>
      <c r="I226" s="143"/>
      <c r="J226" s="253"/>
      <c r="K226" s="252"/>
    </row>
    <row r="227" ht="22.5" customHeight="1">
      <c r="A227" s="248"/>
      <c r="B227" s="249"/>
      <c r="C227" s="250"/>
      <c r="D227" s="251"/>
      <c r="E227" s="250"/>
      <c r="F227" s="252"/>
      <c r="G227" s="141"/>
      <c r="H227" s="41"/>
      <c r="I227" s="141"/>
      <c r="J227" s="254"/>
      <c r="K227" s="252"/>
    </row>
    <row r="228" ht="22.5" customHeight="1">
      <c r="A228" s="248"/>
      <c r="B228" s="249"/>
      <c r="C228" s="250"/>
      <c r="D228" s="251"/>
      <c r="E228" s="250"/>
      <c r="F228" s="252"/>
      <c r="G228" s="143"/>
      <c r="H228" s="37"/>
      <c r="I228" s="143"/>
      <c r="J228" s="253"/>
      <c r="K228" s="252"/>
    </row>
    <row r="229" ht="22.5" customHeight="1">
      <c r="A229" s="248"/>
      <c r="B229" s="249"/>
      <c r="C229" s="250"/>
      <c r="D229" s="251"/>
      <c r="E229" s="250"/>
      <c r="F229" s="252"/>
      <c r="G229" s="141"/>
      <c r="H229" s="41"/>
      <c r="I229" s="141"/>
      <c r="J229" s="254"/>
      <c r="K229" s="252"/>
    </row>
    <row r="230" ht="22.5" customHeight="1">
      <c r="A230" s="248"/>
      <c r="B230" s="249"/>
      <c r="C230" s="250"/>
      <c r="D230" s="251"/>
      <c r="E230" s="250"/>
      <c r="F230" s="252"/>
      <c r="G230" s="143"/>
      <c r="H230" s="37"/>
      <c r="I230" s="143"/>
      <c r="J230" s="253"/>
      <c r="K230" s="252"/>
    </row>
    <row r="231" ht="22.5" customHeight="1">
      <c r="A231" s="248"/>
      <c r="B231" s="249"/>
      <c r="C231" s="250"/>
      <c r="D231" s="251"/>
      <c r="E231" s="250"/>
      <c r="F231" s="252"/>
      <c r="G231" s="141"/>
      <c r="H231" s="41"/>
      <c r="I231" s="141"/>
      <c r="J231" s="254"/>
      <c r="K231" s="252"/>
    </row>
    <row r="232" ht="22.5" customHeight="1">
      <c r="A232" s="248"/>
      <c r="B232" s="249"/>
      <c r="C232" s="250"/>
      <c r="D232" s="251"/>
      <c r="E232" s="250"/>
      <c r="F232" s="252"/>
      <c r="G232" s="143"/>
      <c r="H232" s="37"/>
      <c r="I232" s="143"/>
      <c r="J232" s="253"/>
      <c r="K232" s="252"/>
    </row>
    <row r="233" ht="22.5" customHeight="1">
      <c r="A233" s="248"/>
      <c r="B233" s="249"/>
      <c r="C233" s="250"/>
      <c r="D233" s="251"/>
      <c r="E233" s="250"/>
      <c r="F233" s="252"/>
      <c r="G233" s="141"/>
      <c r="H233" s="41"/>
      <c r="I233" s="141"/>
      <c r="J233" s="254"/>
      <c r="K233" s="252"/>
    </row>
    <row r="234" ht="22.5" customHeight="1">
      <c r="A234" s="248"/>
      <c r="B234" s="249"/>
      <c r="C234" s="250"/>
      <c r="D234" s="251"/>
      <c r="E234" s="250"/>
      <c r="F234" s="252"/>
      <c r="G234" s="143"/>
      <c r="H234" s="37"/>
      <c r="I234" s="143"/>
      <c r="J234" s="253"/>
      <c r="K234" s="252"/>
    </row>
    <row r="235" ht="22.5" customHeight="1">
      <c r="A235" s="248"/>
      <c r="B235" s="249"/>
      <c r="C235" s="250"/>
      <c r="D235" s="251"/>
      <c r="E235" s="250"/>
      <c r="F235" s="252"/>
      <c r="G235" s="141"/>
      <c r="H235" s="41"/>
      <c r="I235" s="141"/>
      <c r="J235" s="254"/>
      <c r="K235" s="252"/>
    </row>
    <row r="236" ht="22.5" customHeight="1">
      <c r="A236" s="248"/>
      <c r="B236" s="249"/>
      <c r="C236" s="250"/>
      <c r="D236" s="251"/>
      <c r="E236" s="250"/>
      <c r="F236" s="252"/>
      <c r="G236" s="143"/>
      <c r="H236" s="37"/>
      <c r="I236" s="143"/>
      <c r="J236" s="253"/>
      <c r="K236" s="252"/>
    </row>
    <row r="237" ht="22.5" customHeight="1">
      <c r="A237" s="248"/>
      <c r="B237" s="249"/>
      <c r="C237" s="250"/>
      <c r="D237" s="251"/>
      <c r="E237" s="250"/>
      <c r="F237" s="252"/>
      <c r="G237" s="141"/>
      <c r="H237" s="41"/>
      <c r="I237" s="141"/>
      <c r="J237" s="254"/>
      <c r="K237" s="252"/>
    </row>
    <row r="238" ht="22.5" customHeight="1">
      <c r="A238" s="248"/>
      <c r="B238" s="249"/>
      <c r="C238" s="250"/>
      <c r="D238" s="251"/>
      <c r="E238" s="250"/>
      <c r="F238" s="252"/>
      <c r="G238" s="143"/>
      <c r="H238" s="37"/>
      <c r="I238" s="143"/>
      <c r="J238" s="253"/>
      <c r="K238" s="252"/>
    </row>
    <row r="239" ht="22.5" customHeight="1">
      <c r="A239" s="248"/>
      <c r="B239" s="249"/>
      <c r="C239" s="250"/>
      <c r="D239" s="251"/>
      <c r="E239" s="250"/>
      <c r="F239" s="252"/>
      <c r="G239" s="141"/>
      <c r="H239" s="41"/>
      <c r="I239" s="141"/>
      <c r="J239" s="254"/>
      <c r="K239" s="252"/>
    </row>
    <row r="240" ht="22.5" customHeight="1">
      <c r="A240" s="248"/>
      <c r="B240" s="249"/>
      <c r="C240" s="250"/>
      <c r="D240" s="251"/>
      <c r="E240" s="250"/>
      <c r="F240" s="252"/>
      <c r="G240" s="143"/>
      <c r="H240" s="37"/>
      <c r="I240" s="143"/>
      <c r="J240" s="253"/>
      <c r="K240" s="252"/>
    </row>
    <row r="241" ht="22.5" customHeight="1">
      <c r="A241" s="248"/>
      <c r="B241" s="249"/>
      <c r="C241" s="250"/>
      <c r="D241" s="251"/>
      <c r="E241" s="250"/>
      <c r="F241" s="252"/>
      <c r="G241" s="141"/>
      <c r="H241" s="41"/>
      <c r="I241" s="141"/>
      <c r="J241" s="254"/>
      <c r="K241" s="252"/>
    </row>
    <row r="242" ht="22.5" customHeight="1">
      <c r="A242" s="248"/>
      <c r="B242" s="249"/>
      <c r="C242" s="250"/>
      <c r="D242" s="251"/>
      <c r="E242" s="250"/>
      <c r="F242" s="252"/>
      <c r="G242" s="143"/>
      <c r="H242" s="37"/>
      <c r="I242" s="143"/>
      <c r="J242" s="253"/>
      <c r="K242" s="252"/>
    </row>
    <row r="243" ht="22.5" customHeight="1">
      <c r="A243" s="248"/>
      <c r="B243" s="249"/>
      <c r="C243" s="250"/>
      <c r="D243" s="251"/>
      <c r="E243" s="250"/>
      <c r="F243" s="252"/>
      <c r="G243" s="141"/>
      <c r="H243" s="41"/>
      <c r="I243" s="141"/>
      <c r="J243" s="254"/>
      <c r="K243" s="252"/>
    </row>
    <row r="244" ht="22.5" customHeight="1">
      <c r="A244" s="248"/>
      <c r="B244" s="249"/>
      <c r="C244" s="250"/>
      <c r="D244" s="251"/>
      <c r="E244" s="250"/>
      <c r="F244" s="252"/>
      <c r="G244" s="143"/>
      <c r="H244" s="37"/>
      <c r="I244" s="143"/>
      <c r="J244" s="253"/>
      <c r="K244" s="252"/>
    </row>
    <row r="245" ht="22.5" customHeight="1">
      <c r="A245" s="248"/>
      <c r="B245" s="249"/>
      <c r="C245" s="250"/>
      <c r="D245" s="251"/>
      <c r="E245" s="250"/>
      <c r="F245" s="252"/>
      <c r="G245" s="141"/>
      <c r="H245" s="41"/>
      <c r="I245" s="141"/>
      <c r="J245" s="254"/>
      <c r="K245" s="252"/>
    </row>
    <row r="246" ht="22.5" customHeight="1">
      <c r="A246" s="248"/>
      <c r="B246" s="249"/>
      <c r="C246" s="250"/>
      <c r="D246" s="251"/>
      <c r="E246" s="250"/>
      <c r="F246" s="252"/>
      <c r="G246" s="143"/>
      <c r="H246" s="37"/>
      <c r="I246" s="143"/>
      <c r="J246" s="253"/>
      <c r="K246" s="252"/>
    </row>
    <row r="247" ht="22.5" customHeight="1">
      <c r="A247" s="248"/>
      <c r="B247" s="249"/>
      <c r="C247" s="250"/>
      <c r="D247" s="251"/>
      <c r="E247" s="250"/>
      <c r="F247" s="252"/>
      <c r="G247" s="141"/>
      <c r="H247" s="41"/>
      <c r="I247" s="141"/>
      <c r="J247" s="254"/>
      <c r="K247" s="252"/>
    </row>
    <row r="248" ht="22.5" customHeight="1">
      <c r="A248" s="248"/>
      <c r="B248" s="249"/>
      <c r="C248" s="250"/>
      <c r="D248" s="251"/>
      <c r="E248" s="250"/>
      <c r="F248" s="252"/>
      <c r="G248" s="143"/>
      <c r="H248" s="37"/>
      <c r="I248" s="143"/>
      <c r="J248" s="253"/>
      <c r="K248" s="252"/>
    </row>
    <row r="249" ht="22.5" customHeight="1">
      <c r="A249" s="248"/>
      <c r="B249" s="249"/>
      <c r="C249" s="250"/>
      <c r="D249" s="251"/>
      <c r="E249" s="250"/>
      <c r="F249" s="252"/>
      <c r="G249" s="141"/>
      <c r="H249" s="41"/>
      <c r="I249" s="141"/>
      <c r="J249" s="254"/>
      <c r="K249" s="252"/>
    </row>
    <row r="250" ht="22.5" customHeight="1">
      <c r="A250" s="248"/>
      <c r="B250" s="249"/>
      <c r="C250" s="250"/>
      <c r="D250" s="251"/>
      <c r="E250" s="250"/>
      <c r="F250" s="252"/>
      <c r="G250" s="143"/>
      <c r="H250" s="37"/>
      <c r="I250" s="143"/>
      <c r="J250" s="253"/>
      <c r="K250" s="252"/>
    </row>
    <row r="251" ht="22.5" customHeight="1">
      <c r="A251" s="248"/>
      <c r="B251" s="249"/>
      <c r="C251" s="250"/>
      <c r="D251" s="251"/>
      <c r="E251" s="250"/>
      <c r="F251" s="252"/>
      <c r="G251" s="141"/>
      <c r="H251" s="41"/>
      <c r="I251" s="141"/>
      <c r="J251" s="254"/>
      <c r="K251" s="252"/>
    </row>
    <row r="252" ht="22.5" customHeight="1">
      <c r="A252" s="248"/>
      <c r="B252" s="249"/>
      <c r="C252" s="250"/>
      <c r="D252" s="251"/>
      <c r="E252" s="250"/>
      <c r="F252" s="252"/>
      <c r="G252" s="143"/>
      <c r="H252" s="37"/>
      <c r="I252" s="143"/>
      <c r="J252" s="253"/>
      <c r="K252" s="252"/>
    </row>
    <row r="253" ht="22.5" customHeight="1">
      <c r="A253" s="248"/>
      <c r="B253" s="249"/>
      <c r="C253" s="250"/>
      <c r="D253" s="251"/>
      <c r="E253" s="250"/>
      <c r="F253" s="252"/>
      <c r="G253" s="141"/>
      <c r="H253" s="41"/>
      <c r="I253" s="141"/>
      <c r="J253" s="254"/>
      <c r="K253" s="252"/>
    </row>
    <row r="254" ht="22.5" customHeight="1">
      <c r="A254" s="248"/>
      <c r="B254" s="249"/>
      <c r="C254" s="250"/>
      <c r="D254" s="251"/>
      <c r="E254" s="250"/>
      <c r="F254" s="252"/>
      <c r="G254" s="143"/>
      <c r="H254" s="37"/>
      <c r="I254" s="143"/>
      <c r="J254" s="253"/>
      <c r="K254" s="252"/>
    </row>
    <row r="255" ht="22.5" customHeight="1">
      <c r="A255" s="248"/>
      <c r="B255" s="249"/>
      <c r="C255" s="250"/>
      <c r="D255" s="251"/>
      <c r="E255" s="250"/>
      <c r="F255" s="252"/>
      <c r="G255" s="141"/>
      <c r="H255" s="41"/>
      <c r="I255" s="141"/>
      <c r="J255" s="254"/>
      <c r="K255" s="252"/>
    </row>
    <row r="256" ht="22.5" customHeight="1">
      <c r="A256" s="248"/>
      <c r="B256" s="249"/>
      <c r="C256" s="250"/>
      <c r="D256" s="251"/>
      <c r="E256" s="250"/>
      <c r="F256" s="252"/>
      <c r="G256" s="143"/>
      <c r="H256" s="37"/>
      <c r="I256" s="143"/>
      <c r="J256" s="253"/>
      <c r="K256" s="252"/>
    </row>
    <row r="257" ht="22.5" customHeight="1">
      <c r="A257" s="248"/>
      <c r="B257" s="249"/>
      <c r="C257" s="250"/>
      <c r="D257" s="251"/>
      <c r="E257" s="250"/>
      <c r="F257" s="252"/>
      <c r="G257" s="141"/>
      <c r="H257" s="41"/>
      <c r="I257" s="141"/>
      <c r="J257" s="254"/>
      <c r="K257" s="252"/>
    </row>
    <row r="258" ht="22.5" customHeight="1">
      <c r="A258" s="248"/>
      <c r="B258" s="249"/>
      <c r="C258" s="250"/>
      <c r="D258" s="251"/>
      <c r="E258" s="250"/>
      <c r="F258" s="252"/>
      <c r="G258" s="143"/>
      <c r="H258" s="37"/>
      <c r="I258" s="143"/>
      <c r="J258" s="253"/>
      <c r="K258" s="252"/>
    </row>
    <row r="259" ht="22.5" customHeight="1">
      <c r="A259" s="248"/>
      <c r="B259" s="249"/>
      <c r="C259" s="250"/>
      <c r="D259" s="251"/>
      <c r="E259" s="250"/>
      <c r="F259" s="252"/>
      <c r="G259" s="141"/>
      <c r="H259" s="41"/>
      <c r="I259" s="141"/>
      <c r="J259" s="254"/>
      <c r="K259" s="252"/>
    </row>
    <row r="260" ht="22.5" customHeight="1">
      <c r="A260" s="248"/>
      <c r="B260" s="249"/>
      <c r="C260" s="250"/>
      <c r="D260" s="251"/>
      <c r="E260" s="250"/>
      <c r="F260" s="252"/>
      <c r="G260" s="143"/>
      <c r="H260" s="37"/>
      <c r="I260" s="143"/>
      <c r="J260" s="253"/>
      <c r="K260" s="252"/>
    </row>
    <row r="261" ht="22.5" customHeight="1">
      <c r="A261" s="248"/>
      <c r="B261" s="249"/>
      <c r="C261" s="250"/>
      <c r="D261" s="251"/>
      <c r="E261" s="250"/>
      <c r="F261" s="252"/>
      <c r="G261" s="141"/>
      <c r="H261" s="41"/>
      <c r="I261" s="141"/>
      <c r="J261" s="254"/>
      <c r="K261" s="252"/>
    </row>
    <row r="262" ht="22.5" customHeight="1">
      <c r="A262" s="248"/>
      <c r="B262" s="249"/>
      <c r="C262" s="250"/>
      <c r="D262" s="251"/>
      <c r="E262" s="250"/>
      <c r="F262" s="252"/>
      <c r="G262" s="143"/>
      <c r="H262" s="37"/>
      <c r="I262" s="143"/>
      <c r="J262" s="253"/>
      <c r="K262" s="252"/>
    </row>
    <row r="263" ht="22.5" customHeight="1">
      <c r="A263" s="248"/>
      <c r="B263" s="249"/>
      <c r="C263" s="250"/>
      <c r="D263" s="251"/>
      <c r="E263" s="250"/>
      <c r="F263" s="252"/>
      <c r="G263" s="141"/>
      <c r="H263" s="41"/>
      <c r="I263" s="141"/>
      <c r="J263" s="254"/>
      <c r="K263" s="252"/>
    </row>
    <row r="264" ht="22.5" customHeight="1">
      <c r="A264" s="248"/>
      <c r="B264" s="249"/>
      <c r="C264" s="250"/>
      <c r="D264" s="251"/>
      <c r="E264" s="250"/>
      <c r="F264" s="252"/>
      <c r="G264" s="143"/>
      <c r="H264" s="37"/>
      <c r="I264" s="143"/>
      <c r="J264" s="253"/>
      <c r="K264" s="252"/>
    </row>
    <row r="265" ht="22.5" customHeight="1">
      <c r="A265" s="248"/>
      <c r="B265" s="249"/>
      <c r="C265" s="250"/>
      <c r="D265" s="251"/>
      <c r="E265" s="250"/>
      <c r="F265" s="252"/>
      <c r="G265" s="141"/>
      <c r="H265" s="41"/>
      <c r="I265" s="141"/>
      <c r="J265" s="254"/>
      <c r="K265" s="252"/>
    </row>
    <row r="266" ht="22.5" customHeight="1">
      <c r="A266" s="248"/>
      <c r="B266" s="249"/>
      <c r="C266" s="250"/>
      <c r="D266" s="251"/>
      <c r="E266" s="250"/>
      <c r="F266" s="252"/>
      <c r="G266" s="143"/>
      <c r="H266" s="37"/>
      <c r="I266" s="143"/>
      <c r="J266" s="253"/>
      <c r="K266" s="252"/>
    </row>
    <row r="267" ht="22.5" customHeight="1">
      <c r="A267" s="248"/>
      <c r="B267" s="249"/>
      <c r="C267" s="250"/>
      <c r="D267" s="251"/>
      <c r="E267" s="250"/>
      <c r="F267" s="252"/>
      <c r="G267" s="141"/>
      <c r="H267" s="41"/>
      <c r="I267" s="141"/>
      <c r="J267" s="254"/>
      <c r="K267" s="252"/>
    </row>
    <row r="268" ht="22.5" customHeight="1">
      <c r="A268" s="248"/>
      <c r="B268" s="249"/>
      <c r="C268" s="250"/>
      <c r="D268" s="251"/>
      <c r="E268" s="250"/>
      <c r="F268" s="252"/>
      <c r="G268" s="143"/>
      <c r="H268" s="37"/>
      <c r="I268" s="143"/>
      <c r="J268" s="253"/>
      <c r="K268" s="252"/>
    </row>
    <row r="269" ht="22.5" customHeight="1">
      <c r="A269" s="248"/>
      <c r="B269" s="249"/>
      <c r="C269" s="250"/>
      <c r="D269" s="251"/>
      <c r="E269" s="250"/>
      <c r="F269" s="252"/>
      <c r="G269" s="141"/>
      <c r="H269" s="41"/>
      <c r="I269" s="141"/>
      <c r="J269" s="254"/>
      <c r="K269" s="252"/>
    </row>
    <row r="270" ht="22.5" customHeight="1">
      <c r="A270" s="248"/>
      <c r="B270" s="249"/>
      <c r="C270" s="250"/>
      <c r="D270" s="251"/>
      <c r="E270" s="250"/>
      <c r="F270" s="252"/>
      <c r="G270" s="143"/>
      <c r="H270" s="37"/>
      <c r="I270" s="143"/>
      <c r="J270" s="253"/>
      <c r="K270" s="252"/>
    </row>
    <row r="271" ht="22.5" customHeight="1">
      <c r="A271" s="248"/>
      <c r="B271" s="249"/>
      <c r="C271" s="250"/>
      <c r="D271" s="251"/>
      <c r="E271" s="250"/>
      <c r="F271" s="252"/>
      <c r="G271" s="141"/>
      <c r="H271" s="41"/>
      <c r="I271" s="141"/>
      <c r="J271" s="254"/>
      <c r="K271" s="252"/>
    </row>
    <row r="272" ht="22.5" customHeight="1">
      <c r="A272" s="248"/>
      <c r="B272" s="249"/>
      <c r="C272" s="250"/>
      <c r="D272" s="251"/>
      <c r="E272" s="250"/>
      <c r="F272" s="252"/>
      <c r="G272" s="143"/>
      <c r="H272" s="37"/>
      <c r="I272" s="143"/>
      <c r="J272" s="253"/>
      <c r="K272" s="252"/>
    </row>
    <row r="273" ht="22.5" customHeight="1">
      <c r="A273" s="248"/>
      <c r="B273" s="249"/>
      <c r="C273" s="250"/>
      <c r="D273" s="251"/>
      <c r="E273" s="250"/>
      <c r="F273" s="252"/>
      <c r="G273" s="141"/>
      <c r="H273" s="41"/>
      <c r="I273" s="141"/>
      <c r="J273" s="254"/>
      <c r="K273" s="252"/>
    </row>
    <row r="274" ht="22.5" customHeight="1">
      <c r="A274" s="248"/>
      <c r="B274" s="249"/>
      <c r="C274" s="250"/>
      <c r="D274" s="251"/>
      <c r="E274" s="250"/>
      <c r="F274" s="252"/>
      <c r="G274" s="143"/>
      <c r="H274" s="37"/>
      <c r="I274" s="143"/>
      <c r="J274" s="253"/>
      <c r="K274" s="252"/>
    </row>
    <row r="275" ht="22.5" customHeight="1">
      <c r="A275" s="248"/>
      <c r="B275" s="249"/>
      <c r="C275" s="250"/>
      <c r="D275" s="251"/>
      <c r="E275" s="250"/>
      <c r="F275" s="252"/>
      <c r="G275" s="141"/>
      <c r="H275" s="41"/>
      <c r="I275" s="141"/>
      <c r="J275" s="254"/>
      <c r="K275" s="252"/>
    </row>
    <row r="276" ht="22.5" customHeight="1">
      <c r="A276" s="248"/>
      <c r="B276" s="249"/>
      <c r="C276" s="250"/>
      <c r="D276" s="251"/>
      <c r="E276" s="250"/>
      <c r="F276" s="252"/>
      <c r="G276" s="143"/>
      <c r="H276" s="37"/>
      <c r="I276" s="143"/>
      <c r="J276" s="253"/>
      <c r="K276" s="252"/>
    </row>
    <row r="277" ht="22.5" customHeight="1">
      <c r="A277" s="248"/>
      <c r="B277" s="249"/>
      <c r="C277" s="250"/>
      <c r="D277" s="251"/>
      <c r="E277" s="250"/>
      <c r="F277" s="252"/>
      <c r="G277" s="141"/>
      <c r="H277" s="41"/>
      <c r="I277" s="141"/>
      <c r="J277" s="254"/>
      <c r="K277" s="252"/>
    </row>
    <row r="278" ht="22.5" customHeight="1">
      <c r="A278" s="248"/>
      <c r="B278" s="249"/>
      <c r="C278" s="250"/>
      <c r="D278" s="251"/>
      <c r="E278" s="250"/>
      <c r="F278" s="252"/>
      <c r="G278" s="143"/>
      <c r="H278" s="37"/>
      <c r="I278" s="143"/>
      <c r="J278" s="253"/>
      <c r="K278" s="252"/>
    </row>
    <row r="279" ht="22.5" customHeight="1">
      <c r="A279" s="248"/>
      <c r="B279" s="249"/>
      <c r="C279" s="250"/>
      <c r="D279" s="251"/>
      <c r="E279" s="250"/>
      <c r="F279" s="252"/>
      <c r="G279" s="141"/>
      <c r="H279" s="41"/>
      <c r="I279" s="141"/>
      <c r="J279" s="254"/>
      <c r="K279" s="252"/>
    </row>
    <row r="280" ht="22.5" customHeight="1">
      <c r="A280" s="248"/>
      <c r="B280" s="249"/>
      <c r="C280" s="250"/>
      <c r="D280" s="251"/>
      <c r="E280" s="250"/>
      <c r="F280" s="252"/>
      <c r="G280" s="143"/>
      <c r="H280" s="37"/>
      <c r="I280" s="143"/>
      <c r="J280" s="253"/>
      <c r="K280" s="252"/>
    </row>
    <row r="281" ht="22.5" customHeight="1">
      <c r="A281" s="248"/>
      <c r="B281" s="249"/>
      <c r="C281" s="250"/>
      <c r="D281" s="251"/>
      <c r="E281" s="250"/>
      <c r="F281" s="252"/>
      <c r="G281" s="141"/>
      <c r="H281" s="41"/>
      <c r="I281" s="141"/>
      <c r="J281" s="254"/>
      <c r="K281" s="252"/>
    </row>
    <row r="282" ht="22.5" customHeight="1">
      <c r="A282" s="248"/>
      <c r="B282" s="249"/>
      <c r="C282" s="250"/>
      <c r="D282" s="251"/>
      <c r="E282" s="250"/>
      <c r="F282" s="252"/>
      <c r="G282" s="143"/>
      <c r="H282" s="37"/>
      <c r="I282" s="143"/>
      <c r="J282" s="253"/>
      <c r="K282" s="252"/>
    </row>
    <row r="283" ht="22.5" customHeight="1">
      <c r="A283" s="248"/>
      <c r="B283" s="249"/>
      <c r="C283" s="250"/>
      <c r="D283" s="251"/>
      <c r="E283" s="250"/>
      <c r="F283" s="252"/>
      <c r="G283" s="141"/>
      <c r="H283" s="41"/>
      <c r="I283" s="141"/>
      <c r="J283" s="254"/>
      <c r="K283" s="252"/>
    </row>
    <row r="284" ht="22.5" customHeight="1">
      <c r="A284" s="248"/>
      <c r="B284" s="249"/>
      <c r="C284" s="250"/>
      <c r="D284" s="251"/>
      <c r="E284" s="250"/>
      <c r="F284" s="252"/>
      <c r="G284" s="143"/>
      <c r="H284" s="37"/>
      <c r="I284" s="143"/>
      <c r="J284" s="253"/>
      <c r="K284" s="252"/>
    </row>
    <row r="285" ht="22.5" customHeight="1">
      <c r="A285" s="248"/>
      <c r="B285" s="249"/>
      <c r="C285" s="250"/>
      <c r="D285" s="251"/>
      <c r="E285" s="250"/>
      <c r="F285" s="252"/>
      <c r="G285" s="141"/>
      <c r="H285" s="41"/>
      <c r="I285" s="141"/>
      <c r="J285" s="254"/>
      <c r="K285" s="252"/>
    </row>
    <row r="286" ht="22.5" customHeight="1">
      <c r="A286" s="248"/>
      <c r="B286" s="249"/>
      <c r="C286" s="250"/>
      <c r="D286" s="251"/>
      <c r="E286" s="250"/>
      <c r="F286" s="252"/>
      <c r="G286" s="143"/>
      <c r="H286" s="37"/>
      <c r="I286" s="143"/>
      <c r="J286" s="253"/>
      <c r="K286" s="252"/>
    </row>
    <row r="287" ht="22.5" customHeight="1">
      <c r="A287" s="248"/>
      <c r="B287" s="249"/>
      <c r="C287" s="250"/>
      <c r="D287" s="251"/>
      <c r="E287" s="250"/>
      <c r="F287" s="252"/>
      <c r="G287" s="141"/>
      <c r="H287" s="41"/>
      <c r="I287" s="141"/>
      <c r="J287" s="254"/>
      <c r="K287" s="252"/>
    </row>
    <row r="288" ht="22.5" customHeight="1">
      <c r="A288" s="248"/>
      <c r="B288" s="249"/>
      <c r="C288" s="250"/>
      <c r="D288" s="251"/>
      <c r="E288" s="250"/>
      <c r="F288" s="252"/>
      <c r="G288" s="143"/>
      <c r="H288" s="37"/>
      <c r="I288" s="143"/>
      <c r="J288" s="253"/>
      <c r="K288" s="252"/>
    </row>
    <row r="289" ht="22.5" customHeight="1">
      <c r="A289" s="248"/>
      <c r="B289" s="249"/>
      <c r="C289" s="250"/>
      <c r="D289" s="251"/>
      <c r="E289" s="250"/>
      <c r="F289" s="252"/>
      <c r="G289" s="141"/>
      <c r="H289" s="41"/>
      <c r="I289" s="141"/>
      <c r="J289" s="254"/>
      <c r="K289" s="252"/>
    </row>
    <row r="290" ht="22.5" customHeight="1">
      <c r="A290" s="248"/>
      <c r="B290" s="249"/>
      <c r="C290" s="250"/>
      <c r="D290" s="251"/>
      <c r="E290" s="250"/>
      <c r="F290" s="252"/>
      <c r="G290" s="143"/>
      <c r="H290" s="37"/>
      <c r="I290" s="143"/>
      <c r="J290" s="253"/>
      <c r="K290" s="252"/>
    </row>
    <row r="291" ht="22.5" customHeight="1">
      <c r="A291" s="248"/>
      <c r="B291" s="249"/>
      <c r="C291" s="250"/>
      <c r="D291" s="251"/>
      <c r="E291" s="250"/>
      <c r="F291" s="252"/>
      <c r="G291" s="141"/>
      <c r="H291" s="41"/>
      <c r="I291" s="141"/>
      <c r="J291" s="254"/>
      <c r="K291" s="252"/>
    </row>
    <row r="292" ht="22.5" customHeight="1">
      <c r="A292" s="248"/>
      <c r="B292" s="249"/>
      <c r="C292" s="250"/>
      <c r="D292" s="251"/>
      <c r="E292" s="250"/>
      <c r="F292" s="252"/>
      <c r="G292" s="143"/>
      <c r="H292" s="37"/>
      <c r="I292" s="143"/>
      <c r="J292" s="253"/>
      <c r="K292" s="252"/>
    </row>
    <row r="293" ht="22.5" customHeight="1">
      <c r="A293" s="248"/>
      <c r="B293" s="249"/>
      <c r="C293" s="250"/>
      <c r="D293" s="251"/>
      <c r="E293" s="250"/>
      <c r="F293" s="252"/>
      <c r="G293" s="141"/>
      <c r="H293" s="41"/>
      <c r="I293" s="141"/>
      <c r="J293" s="254"/>
      <c r="K293" s="252"/>
    </row>
    <row r="294" ht="22.5" customHeight="1">
      <c r="A294" s="248"/>
      <c r="B294" s="249"/>
      <c r="C294" s="250"/>
      <c r="D294" s="251"/>
      <c r="E294" s="250"/>
      <c r="F294" s="252"/>
      <c r="G294" s="143"/>
      <c r="H294" s="37"/>
      <c r="I294" s="143"/>
      <c r="J294" s="253"/>
      <c r="K294" s="252"/>
    </row>
    <row r="295" ht="22.5" customHeight="1">
      <c r="A295" s="248"/>
      <c r="B295" s="249"/>
      <c r="C295" s="250"/>
      <c r="D295" s="251"/>
      <c r="E295" s="250"/>
      <c r="F295" s="252"/>
      <c r="G295" s="141"/>
      <c r="H295" s="41"/>
      <c r="I295" s="141"/>
      <c r="J295" s="254"/>
      <c r="K295" s="252"/>
    </row>
    <row r="296" ht="22.5" customHeight="1">
      <c r="A296" s="248"/>
      <c r="B296" s="249"/>
      <c r="C296" s="250"/>
      <c r="D296" s="251"/>
      <c r="E296" s="250"/>
      <c r="F296" s="252"/>
      <c r="G296" s="143"/>
      <c r="H296" s="37"/>
      <c r="I296" s="143"/>
      <c r="J296" s="253"/>
      <c r="K296" s="252"/>
    </row>
    <row r="297" ht="22.5" customHeight="1">
      <c r="A297" s="248"/>
      <c r="B297" s="249"/>
      <c r="C297" s="250"/>
      <c r="D297" s="251"/>
      <c r="E297" s="250"/>
      <c r="F297" s="252"/>
      <c r="G297" s="141"/>
      <c r="H297" s="41"/>
      <c r="I297" s="141"/>
      <c r="J297" s="254"/>
      <c r="K297" s="252"/>
    </row>
    <row r="298" ht="22.5" customHeight="1">
      <c r="A298" s="248"/>
      <c r="B298" s="249"/>
      <c r="C298" s="250"/>
      <c r="D298" s="251"/>
      <c r="E298" s="250"/>
      <c r="F298" s="252"/>
      <c r="G298" s="143"/>
      <c r="H298" s="37"/>
      <c r="I298" s="143"/>
      <c r="J298" s="253"/>
      <c r="K298" s="252"/>
    </row>
    <row r="299" ht="22.5" customHeight="1">
      <c r="A299" s="248"/>
      <c r="B299" s="249"/>
      <c r="C299" s="250"/>
      <c r="D299" s="251"/>
      <c r="E299" s="250"/>
      <c r="F299" s="252"/>
      <c r="G299" s="141"/>
      <c r="H299" s="41"/>
      <c r="I299" s="141"/>
      <c r="J299" s="254"/>
      <c r="K299" s="252"/>
    </row>
    <row r="300" ht="22.5" customHeight="1">
      <c r="A300" s="248"/>
      <c r="B300" s="249"/>
      <c r="C300" s="250"/>
      <c r="D300" s="251"/>
      <c r="E300" s="250"/>
      <c r="F300" s="252"/>
      <c r="G300" s="143"/>
      <c r="H300" s="37"/>
      <c r="I300" s="143"/>
      <c r="J300" s="253"/>
      <c r="K300" s="252"/>
    </row>
    <row r="301" ht="22.5" customHeight="1">
      <c r="A301" s="248"/>
      <c r="B301" s="249"/>
      <c r="C301" s="250"/>
      <c r="D301" s="251"/>
      <c r="E301" s="250"/>
      <c r="F301" s="252"/>
      <c r="G301" s="141"/>
      <c r="H301" s="41"/>
      <c r="I301" s="141"/>
      <c r="J301" s="254"/>
      <c r="K301" s="252"/>
    </row>
    <row r="302" ht="22.5" customHeight="1">
      <c r="A302" s="248"/>
      <c r="B302" s="249"/>
      <c r="C302" s="250"/>
      <c r="D302" s="251"/>
      <c r="E302" s="250"/>
      <c r="F302" s="252"/>
      <c r="G302" s="143"/>
      <c r="H302" s="37"/>
      <c r="I302" s="143"/>
      <c r="J302" s="253"/>
      <c r="K302" s="252"/>
    </row>
    <row r="303" ht="22.5" customHeight="1">
      <c r="A303" s="248"/>
      <c r="B303" s="249"/>
      <c r="C303" s="250"/>
      <c r="D303" s="251"/>
      <c r="E303" s="250"/>
      <c r="F303" s="252"/>
      <c r="G303" s="141"/>
      <c r="H303" s="41"/>
      <c r="I303" s="141"/>
      <c r="J303" s="254"/>
      <c r="K303" s="252"/>
    </row>
    <row r="304" ht="22.5" customHeight="1">
      <c r="A304" s="248"/>
      <c r="B304" s="249"/>
      <c r="C304" s="250"/>
      <c r="D304" s="251"/>
      <c r="E304" s="250"/>
      <c r="F304" s="252"/>
      <c r="G304" s="143"/>
      <c r="H304" s="37"/>
      <c r="I304" s="143"/>
      <c r="J304" s="253"/>
      <c r="K304" s="252"/>
    </row>
    <row r="305" ht="22.5" customHeight="1">
      <c r="A305" s="248"/>
      <c r="B305" s="249"/>
      <c r="C305" s="250"/>
      <c r="D305" s="251"/>
      <c r="E305" s="250"/>
      <c r="F305" s="252"/>
      <c r="G305" s="141"/>
      <c r="H305" s="41"/>
      <c r="I305" s="141"/>
      <c r="J305" s="254"/>
      <c r="K305" s="252"/>
    </row>
    <row r="306" ht="22.5" customHeight="1">
      <c r="A306" s="248"/>
      <c r="B306" s="249"/>
      <c r="C306" s="250"/>
      <c r="D306" s="251"/>
      <c r="E306" s="250"/>
      <c r="F306" s="252"/>
      <c r="G306" s="143"/>
      <c r="H306" s="37"/>
      <c r="I306" s="143"/>
      <c r="J306" s="253"/>
      <c r="K306" s="252"/>
    </row>
    <row r="307" ht="22.5" customHeight="1">
      <c r="A307" s="248"/>
      <c r="B307" s="249"/>
      <c r="C307" s="250"/>
      <c r="D307" s="251"/>
      <c r="E307" s="250"/>
      <c r="F307" s="252"/>
      <c r="G307" s="141"/>
      <c r="H307" s="41"/>
      <c r="I307" s="141"/>
      <c r="J307" s="254"/>
      <c r="K307" s="252"/>
    </row>
    <row r="308" ht="22.5" customHeight="1">
      <c r="A308" s="248"/>
      <c r="B308" s="249"/>
      <c r="C308" s="250"/>
      <c r="D308" s="251"/>
      <c r="E308" s="250"/>
      <c r="F308" s="252"/>
      <c r="G308" s="143"/>
      <c r="H308" s="37"/>
      <c r="I308" s="143"/>
      <c r="J308" s="253"/>
      <c r="K308" s="252"/>
    </row>
    <row r="309" ht="22.5" customHeight="1">
      <c r="A309" s="248"/>
      <c r="B309" s="249"/>
      <c r="C309" s="250"/>
      <c r="D309" s="251"/>
      <c r="E309" s="250"/>
      <c r="F309" s="252"/>
      <c r="G309" s="141"/>
      <c r="H309" s="41"/>
      <c r="I309" s="141"/>
      <c r="J309" s="254"/>
      <c r="K309" s="252"/>
    </row>
    <row r="310" ht="22.5" customHeight="1">
      <c r="A310" s="248"/>
      <c r="B310" s="249"/>
      <c r="C310" s="250"/>
      <c r="D310" s="251"/>
      <c r="E310" s="250"/>
      <c r="F310" s="252"/>
      <c r="G310" s="143"/>
      <c r="H310" s="37"/>
      <c r="I310" s="143"/>
      <c r="J310" s="253"/>
      <c r="K310" s="252"/>
    </row>
    <row r="311" ht="22.5" customHeight="1">
      <c r="A311" s="248"/>
      <c r="B311" s="249"/>
      <c r="C311" s="250"/>
      <c r="D311" s="251"/>
      <c r="E311" s="250"/>
      <c r="F311" s="252"/>
      <c r="G311" s="141"/>
      <c r="H311" s="41"/>
      <c r="I311" s="141"/>
      <c r="J311" s="254"/>
      <c r="K311" s="252"/>
    </row>
    <row r="312" ht="22.5" customHeight="1">
      <c r="A312" s="248"/>
      <c r="B312" s="249"/>
      <c r="C312" s="250"/>
      <c r="D312" s="251"/>
      <c r="E312" s="250"/>
      <c r="F312" s="252"/>
      <c r="G312" s="143"/>
      <c r="H312" s="37"/>
      <c r="I312" s="143"/>
      <c r="J312" s="253"/>
      <c r="K312" s="252"/>
    </row>
    <row r="313" ht="22.5" customHeight="1">
      <c r="A313" s="248"/>
      <c r="B313" s="249"/>
      <c r="C313" s="250"/>
      <c r="D313" s="251"/>
      <c r="E313" s="250"/>
      <c r="F313" s="252"/>
      <c r="G313" s="141"/>
      <c r="H313" s="41"/>
      <c r="I313" s="141"/>
      <c r="J313" s="254"/>
      <c r="K313" s="252"/>
    </row>
    <row r="314" ht="22.5" customHeight="1">
      <c r="A314" s="248"/>
      <c r="B314" s="249"/>
      <c r="C314" s="250"/>
      <c r="D314" s="251"/>
      <c r="E314" s="250"/>
      <c r="F314" s="252"/>
      <c r="G314" s="143"/>
      <c r="H314" s="37"/>
      <c r="I314" s="143"/>
      <c r="J314" s="253"/>
      <c r="K314" s="252"/>
    </row>
    <row r="315" ht="22.5" customHeight="1">
      <c r="A315" s="248"/>
      <c r="B315" s="249"/>
      <c r="C315" s="250"/>
      <c r="D315" s="251"/>
      <c r="E315" s="250"/>
      <c r="F315" s="252"/>
      <c r="G315" s="141"/>
      <c r="H315" s="41"/>
      <c r="I315" s="141"/>
      <c r="J315" s="254"/>
      <c r="K315" s="252"/>
    </row>
    <row r="316" ht="22.5" customHeight="1">
      <c r="A316" s="248"/>
      <c r="B316" s="249"/>
      <c r="C316" s="250"/>
      <c r="D316" s="251"/>
      <c r="E316" s="250"/>
      <c r="F316" s="252"/>
      <c r="G316" s="143"/>
      <c r="H316" s="37"/>
      <c r="I316" s="143"/>
      <c r="J316" s="253"/>
      <c r="K316" s="252"/>
    </row>
    <row r="317" ht="22.5" customHeight="1">
      <c r="A317" s="248"/>
      <c r="B317" s="249"/>
      <c r="C317" s="250"/>
      <c r="D317" s="251"/>
      <c r="E317" s="250"/>
      <c r="F317" s="252"/>
      <c r="G317" s="141"/>
      <c r="H317" s="41"/>
      <c r="I317" s="141"/>
      <c r="J317" s="254"/>
      <c r="K317" s="252"/>
    </row>
    <row r="318" ht="22.5" customHeight="1">
      <c r="A318" s="248"/>
      <c r="B318" s="249"/>
      <c r="C318" s="250"/>
      <c r="D318" s="251"/>
      <c r="E318" s="250"/>
      <c r="F318" s="252"/>
      <c r="G318" s="143"/>
      <c r="H318" s="37"/>
      <c r="I318" s="143"/>
      <c r="J318" s="253"/>
      <c r="K318" s="252"/>
    </row>
    <row r="319" ht="22.5" customHeight="1">
      <c r="A319" s="248"/>
      <c r="B319" s="249"/>
      <c r="C319" s="250"/>
      <c r="D319" s="251"/>
      <c r="E319" s="250"/>
      <c r="F319" s="252"/>
      <c r="G319" s="141"/>
      <c r="H319" s="41"/>
      <c r="I319" s="141"/>
      <c r="J319" s="254"/>
      <c r="K319" s="252"/>
    </row>
    <row r="320" ht="22.5" customHeight="1">
      <c r="A320" s="248"/>
      <c r="B320" s="249"/>
      <c r="C320" s="250"/>
      <c r="D320" s="251"/>
      <c r="E320" s="250"/>
      <c r="F320" s="252"/>
      <c r="G320" s="143"/>
      <c r="H320" s="37"/>
      <c r="I320" s="143"/>
      <c r="J320" s="253"/>
      <c r="K320" s="252"/>
    </row>
    <row r="321" ht="22.5" customHeight="1">
      <c r="A321" s="248"/>
      <c r="B321" s="249"/>
      <c r="C321" s="250"/>
      <c r="D321" s="251"/>
      <c r="E321" s="250"/>
      <c r="F321" s="252"/>
      <c r="G321" s="141"/>
      <c r="H321" s="41"/>
      <c r="I321" s="141"/>
      <c r="J321" s="254"/>
      <c r="K321" s="252"/>
    </row>
    <row r="322" ht="22.5" customHeight="1">
      <c r="A322" s="248"/>
      <c r="B322" s="249"/>
      <c r="C322" s="250"/>
      <c r="D322" s="251"/>
      <c r="E322" s="250"/>
      <c r="F322" s="252"/>
      <c r="G322" s="143"/>
      <c r="H322" s="37"/>
      <c r="I322" s="143"/>
      <c r="J322" s="253"/>
      <c r="K322" s="252"/>
    </row>
    <row r="323" ht="22.5" customHeight="1">
      <c r="A323" s="248"/>
      <c r="B323" s="249"/>
      <c r="C323" s="250"/>
      <c r="D323" s="251"/>
      <c r="E323" s="250"/>
      <c r="F323" s="252"/>
      <c r="G323" s="141"/>
      <c r="H323" s="41"/>
      <c r="I323" s="141"/>
      <c r="J323" s="254"/>
      <c r="K323" s="252"/>
    </row>
    <row r="324" ht="22.5" customHeight="1">
      <c r="A324" s="248"/>
      <c r="B324" s="249"/>
      <c r="C324" s="250"/>
      <c r="D324" s="251"/>
      <c r="E324" s="250"/>
      <c r="F324" s="252"/>
      <c r="G324" s="143"/>
      <c r="H324" s="37"/>
      <c r="I324" s="143"/>
      <c r="J324" s="253"/>
      <c r="K324" s="252"/>
    </row>
    <row r="325" ht="22.5" customHeight="1">
      <c r="A325" s="248"/>
      <c r="B325" s="249"/>
      <c r="C325" s="250"/>
      <c r="D325" s="251"/>
      <c r="E325" s="250"/>
      <c r="F325" s="252"/>
      <c r="G325" s="141"/>
      <c r="H325" s="41"/>
      <c r="I325" s="141"/>
      <c r="J325" s="254"/>
      <c r="K325" s="252"/>
    </row>
    <row r="326" ht="22.5" customHeight="1">
      <c r="A326" s="248"/>
      <c r="B326" s="249"/>
      <c r="C326" s="250"/>
      <c r="D326" s="251"/>
      <c r="E326" s="250"/>
      <c r="F326" s="252"/>
      <c r="G326" s="143"/>
      <c r="H326" s="37"/>
      <c r="I326" s="143"/>
      <c r="J326" s="253"/>
      <c r="K326" s="252"/>
    </row>
    <row r="327" ht="22.5" customHeight="1">
      <c r="A327" s="248"/>
      <c r="B327" s="249"/>
      <c r="C327" s="250"/>
      <c r="D327" s="251"/>
      <c r="E327" s="250"/>
      <c r="F327" s="252"/>
      <c r="G327" s="141"/>
      <c r="H327" s="41"/>
      <c r="I327" s="141"/>
      <c r="J327" s="254"/>
      <c r="K327" s="252"/>
    </row>
    <row r="328" ht="22.5" customHeight="1">
      <c r="A328" s="248"/>
      <c r="B328" s="249"/>
      <c r="C328" s="250"/>
      <c r="D328" s="251"/>
      <c r="E328" s="250"/>
      <c r="F328" s="252"/>
      <c r="G328" s="143"/>
      <c r="H328" s="37"/>
      <c r="I328" s="143"/>
      <c r="J328" s="253"/>
      <c r="K328" s="252"/>
    </row>
    <row r="329" ht="22.5" customHeight="1">
      <c r="A329" s="248"/>
      <c r="B329" s="249"/>
      <c r="C329" s="250"/>
      <c r="D329" s="251"/>
      <c r="E329" s="250"/>
      <c r="F329" s="252"/>
      <c r="G329" s="141"/>
      <c r="H329" s="41"/>
      <c r="I329" s="141"/>
      <c r="J329" s="254"/>
      <c r="K329" s="252"/>
    </row>
    <row r="330" ht="22.5" customHeight="1">
      <c r="A330" s="248"/>
      <c r="B330" s="249"/>
      <c r="C330" s="250"/>
      <c r="D330" s="251"/>
      <c r="E330" s="250"/>
      <c r="F330" s="252"/>
      <c r="G330" s="143"/>
      <c r="H330" s="37"/>
      <c r="I330" s="143"/>
      <c r="J330" s="253"/>
      <c r="K330" s="252"/>
    </row>
    <row r="331" ht="22.5" customHeight="1">
      <c r="A331" s="248"/>
      <c r="B331" s="249"/>
      <c r="C331" s="250"/>
      <c r="D331" s="251"/>
      <c r="E331" s="250"/>
      <c r="F331" s="252"/>
      <c r="G331" s="141"/>
      <c r="H331" s="41"/>
      <c r="I331" s="141"/>
      <c r="J331" s="254"/>
      <c r="K331" s="252"/>
    </row>
    <row r="332" ht="22.5" customHeight="1">
      <c r="A332" s="248"/>
      <c r="B332" s="249"/>
      <c r="C332" s="250"/>
      <c r="D332" s="251"/>
      <c r="E332" s="250"/>
      <c r="F332" s="252"/>
      <c r="G332" s="143"/>
      <c r="H332" s="37"/>
      <c r="I332" s="143"/>
      <c r="J332" s="253"/>
      <c r="K332" s="252"/>
    </row>
    <row r="333" ht="22.5" customHeight="1">
      <c r="A333" s="248"/>
      <c r="B333" s="249"/>
      <c r="C333" s="250"/>
      <c r="D333" s="251"/>
      <c r="E333" s="250"/>
      <c r="F333" s="252"/>
      <c r="G333" s="141"/>
      <c r="H333" s="41"/>
      <c r="I333" s="141"/>
      <c r="J333" s="254"/>
      <c r="K333" s="252"/>
    </row>
    <row r="334" ht="22.5" customHeight="1">
      <c r="A334" s="248"/>
      <c r="B334" s="249"/>
      <c r="C334" s="250"/>
      <c r="D334" s="251"/>
      <c r="E334" s="250"/>
      <c r="F334" s="252"/>
      <c r="G334" s="143"/>
      <c r="H334" s="37"/>
      <c r="I334" s="143"/>
      <c r="J334" s="253"/>
      <c r="K334" s="252"/>
    </row>
    <row r="335" ht="22.5" customHeight="1">
      <c r="A335" s="248"/>
      <c r="B335" s="249"/>
      <c r="C335" s="250"/>
      <c r="D335" s="251"/>
      <c r="E335" s="250"/>
      <c r="F335" s="252"/>
      <c r="G335" s="141"/>
      <c r="H335" s="41"/>
      <c r="I335" s="141"/>
      <c r="J335" s="254"/>
      <c r="K335" s="252"/>
    </row>
    <row r="336" ht="22.5" customHeight="1">
      <c r="A336" s="248"/>
      <c r="B336" s="249"/>
      <c r="C336" s="250"/>
      <c r="D336" s="251"/>
      <c r="E336" s="250"/>
      <c r="F336" s="252"/>
      <c r="G336" s="143"/>
      <c r="H336" s="37"/>
      <c r="I336" s="143"/>
      <c r="J336" s="253"/>
      <c r="K336" s="252"/>
    </row>
    <row r="337" ht="22.5" customHeight="1">
      <c r="A337" s="248"/>
      <c r="B337" s="249"/>
      <c r="C337" s="250"/>
      <c r="D337" s="251"/>
      <c r="E337" s="250"/>
      <c r="F337" s="252"/>
      <c r="G337" s="141"/>
      <c r="H337" s="41"/>
      <c r="I337" s="141"/>
      <c r="J337" s="254"/>
      <c r="K337" s="252"/>
    </row>
    <row r="338" ht="22.5" customHeight="1">
      <c r="A338" s="248"/>
      <c r="B338" s="249"/>
      <c r="C338" s="250"/>
      <c r="D338" s="251"/>
      <c r="E338" s="250"/>
      <c r="F338" s="252"/>
      <c r="G338" s="143"/>
      <c r="H338" s="37"/>
      <c r="I338" s="143"/>
      <c r="J338" s="253"/>
      <c r="K338" s="252"/>
    </row>
    <row r="339" ht="22.5" customHeight="1">
      <c r="A339" s="248"/>
      <c r="B339" s="249"/>
      <c r="C339" s="250"/>
      <c r="D339" s="251"/>
      <c r="E339" s="250"/>
      <c r="F339" s="252"/>
      <c r="G339" s="141"/>
      <c r="H339" s="41"/>
      <c r="I339" s="141"/>
      <c r="J339" s="254"/>
      <c r="K339" s="252"/>
    </row>
    <row r="340" ht="22.5" customHeight="1">
      <c r="A340" s="248"/>
      <c r="B340" s="249"/>
      <c r="C340" s="250"/>
      <c r="D340" s="251"/>
      <c r="E340" s="250"/>
      <c r="F340" s="252"/>
      <c r="G340" s="143"/>
      <c r="H340" s="37"/>
      <c r="I340" s="143"/>
      <c r="J340" s="253"/>
      <c r="K340" s="252"/>
    </row>
    <row r="341" ht="22.5" customHeight="1">
      <c r="A341" s="248"/>
      <c r="B341" s="249"/>
      <c r="C341" s="250"/>
      <c r="D341" s="251"/>
      <c r="E341" s="250"/>
      <c r="F341" s="252"/>
      <c r="G341" s="141"/>
      <c r="H341" s="41"/>
      <c r="I341" s="141"/>
      <c r="J341" s="254"/>
      <c r="K341" s="252"/>
    </row>
    <row r="342" ht="22.5" customHeight="1">
      <c r="A342" s="248"/>
      <c r="B342" s="249"/>
      <c r="C342" s="250"/>
      <c r="D342" s="251"/>
      <c r="E342" s="250"/>
      <c r="F342" s="252"/>
      <c r="G342" s="143"/>
      <c r="H342" s="37"/>
      <c r="I342" s="143"/>
      <c r="J342" s="253"/>
      <c r="K342" s="252"/>
    </row>
    <row r="343" ht="22.5" customHeight="1">
      <c r="A343" s="248"/>
      <c r="B343" s="249"/>
      <c r="C343" s="250"/>
      <c r="D343" s="251"/>
      <c r="E343" s="250"/>
      <c r="F343" s="252"/>
      <c r="G343" s="141"/>
      <c r="H343" s="41"/>
      <c r="I343" s="141"/>
      <c r="J343" s="254"/>
      <c r="K343" s="252"/>
    </row>
    <row r="344" ht="22.5" customHeight="1">
      <c r="A344" s="248"/>
      <c r="B344" s="249"/>
      <c r="C344" s="250"/>
      <c r="D344" s="251"/>
      <c r="E344" s="250"/>
      <c r="F344" s="252"/>
      <c r="G344" s="143"/>
      <c r="H344" s="37"/>
      <c r="I344" s="143"/>
      <c r="J344" s="253"/>
      <c r="K344" s="252"/>
    </row>
    <row r="345" ht="22.5" customHeight="1">
      <c r="A345" s="248"/>
      <c r="B345" s="249"/>
      <c r="C345" s="250"/>
      <c r="D345" s="251"/>
      <c r="E345" s="250"/>
      <c r="F345" s="252"/>
      <c r="G345" s="141"/>
      <c r="H345" s="41"/>
      <c r="I345" s="141"/>
      <c r="J345" s="254"/>
      <c r="K345" s="252"/>
    </row>
    <row r="346" ht="22.5" customHeight="1">
      <c r="A346" s="248"/>
      <c r="B346" s="249"/>
      <c r="C346" s="250"/>
      <c r="D346" s="251"/>
      <c r="E346" s="250"/>
      <c r="F346" s="252"/>
      <c r="G346" s="143"/>
      <c r="H346" s="37"/>
      <c r="I346" s="143"/>
      <c r="J346" s="253"/>
      <c r="K346" s="252"/>
    </row>
    <row r="347" ht="22.5" customHeight="1">
      <c r="A347" s="248"/>
      <c r="B347" s="249"/>
      <c r="C347" s="250"/>
      <c r="D347" s="251"/>
      <c r="E347" s="250"/>
      <c r="F347" s="252"/>
      <c r="G347" s="141"/>
      <c r="H347" s="41"/>
      <c r="I347" s="141"/>
      <c r="J347" s="254"/>
      <c r="K347" s="252"/>
    </row>
    <row r="348" ht="22.5" customHeight="1">
      <c r="A348" s="248"/>
      <c r="B348" s="249"/>
      <c r="C348" s="250"/>
      <c r="D348" s="251"/>
      <c r="E348" s="250"/>
      <c r="F348" s="252"/>
      <c r="G348" s="143"/>
      <c r="H348" s="37"/>
      <c r="I348" s="143"/>
      <c r="J348" s="253"/>
      <c r="K348" s="252"/>
    </row>
    <row r="349" ht="22.5" customHeight="1">
      <c r="A349" s="248"/>
      <c r="B349" s="249"/>
      <c r="C349" s="250"/>
      <c r="D349" s="251"/>
      <c r="E349" s="250"/>
      <c r="F349" s="252"/>
      <c r="G349" s="141"/>
      <c r="H349" s="41"/>
      <c r="I349" s="141"/>
      <c r="J349" s="254"/>
      <c r="K349" s="252"/>
    </row>
    <row r="350" ht="22.5" customHeight="1">
      <c r="A350" s="248"/>
      <c r="B350" s="249"/>
      <c r="C350" s="250"/>
      <c r="D350" s="251"/>
      <c r="E350" s="250"/>
      <c r="F350" s="252"/>
      <c r="G350" s="143"/>
      <c r="H350" s="37"/>
      <c r="I350" s="143"/>
      <c r="J350" s="253"/>
      <c r="K350" s="252"/>
    </row>
    <row r="351" ht="22.5" customHeight="1">
      <c r="A351" s="248"/>
      <c r="B351" s="249"/>
      <c r="C351" s="250"/>
      <c r="D351" s="251"/>
      <c r="E351" s="250"/>
      <c r="F351" s="252"/>
      <c r="G351" s="141"/>
      <c r="H351" s="41"/>
      <c r="I351" s="141"/>
      <c r="J351" s="254"/>
      <c r="K351" s="252"/>
    </row>
    <row r="352" ht="22.5" customHeight="1">
      <c r="A352" s="248"/>
      <c r="B352" s="249"/>
      <c r="C352" s="250"/>
      <c r="D352" s="251"/>
      <c r="E352" s="250"/>
      <c r="F352" s="252"/>
      <c r="G352" s="143"/>
      <c r="H352" s="37"/>
      <c r="I352" s="143"/>
      <c r="J352" s="253"/>
      <c r="K352" s="252"/>
    </row>
    <row r="353" ht="22.5" customHeight="1">
      <c r="A353" s="248"/>
      <c r="B353" s="249"/>
      <c r="C353" s="250"/>
      <c r="D353" s="251"/>
      <c r="E353" s="250"/>
      <c r="F353" s="252"/>
      <c r="G353" s="141"/>
      <c r="H353" s="41"/>
      <c r="I353" s="141"/>
      <c r="J353" s="254"/>
      <c r="K353" s="252"/>
    </row>
    <row r="354" ht="22.5" customHeight="1">
      <c r="A354" s="248"/>
      <c r="B354" s="249"/>
      <c r="C354" s="250"/>
      <c r="D354" s="251"/>
      <c r="E354" s="250"/>
      <c r="F354" s="252"/>
      <c r="G354" s="143"/>
      <c r="H354" s="37"/>
      <c r="I354" s="143"/>
      <c r="J354" s="253"/>
      <c r="K354" s="252"/>
    </row>
    <row r="355" ht="22.5" customHeight="1">
      <c r="A355" s="248"/>
      <c r="B355" s="249"/>
      <c r="C355" s="250"/>
      <c r="D355" s="251"/>
      <c r="E355" s="250"/>
      <c r="F355" s="252"/>
      <c r="G355" s="141"/>
      <c r="H355" s="41"/>
      <c r="I355" s="141"/>
      <c r="J355" s="254"/>
      <c r="K355" s="252"/>
    </row>
    <row r="356" ht="22.5" customHeight="1">
      <c r="A356" s="248"/>
      <c r="B356" s="249"/>
      <c r="C356" s="250"/>
      <c r="D356" s="251"/>
      <c r="E356" s="250"/>
      <c r="F356" s="252"/>
      <c r="G356" s="143"/>
      <c r="H356" s="37"/>
      <c r="I356" s="143"/>
      <c r="J356" s="253"/>
      <c r="K356" s="252"/>
    </row>
    <row r="357" ht="22.5" customHeight="1">
      <c r="A357" s="248"/>
      <c r="B357" s="249"/>
      <c r="C357" s="250"/>
      <c r="D357" s="251"/>
      <c r="E357" s="250"/>
      <c r="F357" s="252"/>
      <c r="G357" s="141"/>
      <c r="H357" s="41"/>
      <c r="I357" s="141"/>
      <c r="J357" s="254"/>
      <c r="K357" s="252"/>
    </row>
    <row r="358" ht="22.5" customHeight="1">
      <c r="A358" s="248"/>
      <c r="B358" s="249"/>
      <c r="C358" s="250"/>
      <c r="D358" s="251"/>
      <c r="E358" s="250"/>
      <c r="F358" s="252"/>
      <c r="G358" s="143"/>
      <c r="H358" s="37"/>
      <c r="I358" s="143"/>
      <c r="J358" s="253"/>
      <c r="K358" s="252"/>
    </row>
    <row r="359" ht="22.5" customHeight="1">
      <c r="A359" s="248"/>
      <c r="B359" s="249"/>
      <c r="C359" s="250"/>
      <c r="D359" s="251"/>
      <c r="E359" s="250"/>
      <c r="F359" s="252"/>
      <c r="G359" s="141"/>
      <c r="H359" s="41"/>
      <c r="I359" s="141"/>
      <c r="J359" s="254"/>
      <c r="K359" s="252"/>
    </row>
    <row r="360" ht="22.5" customHeight="1">
      <c r="A360" s="248"/>
      <c r="B360" s="249"/>
      <c r="C360" s="250"/>
      <c r="D360" s="251"/>
      <c r="E360" s="250"/>
      <c r="F360" s="252"/>
      <c r="G360" s="143"/>
      <c r="H360" s="37"/>
      <c r="I360" s="143"/>
      <c r="J360" s="253"/>
      <c r="K360" s="252"/>
    </row>
    <row r="361" ht="22.5" customHeight="1">
      <c r="A361" s="248"/>
      <c r="B361" s="249"/>
      <c r="C361" s="250"/>
      <c r="D361" s="251"/>
      <c r="E361" s="250"/>
      <c r="F361" s="252"/>
      <c r="G361" s="141"/>
      <c r="H361" s="41"/>
      <c r="I361" s="141"/>
      <c r="J361" s="254"/>
      <c r="K361" s="252"/>
    </row>
    <row r="362" ht="22.5" customHeight="1">
      <c r="A362" s="248"/>
      <c r="B362" s="249"/>
      <c r="C362" s="250"/>
      <c r="D362" s="251"/>
      <c r="E362" s="250"/>
      <c r="F362" s="252"/>
      <c r="G362" s="143"/>
      <c r="H362" s="37"/>
      <c r="I362" s="143"/>
      <c r="J362" s="253"/>
      <c r="K362" s="252"/>
    </row>
    <row r="363" ht="22.5" customHeight="1">
      <c r="A363" s="248"/>
      <c r="B363" s="249"/>
      <c r="C363" s="250"/>
      <c r="D363" s="251"/>
      <c r="E363" s="250"/>
      <c r="F363" s="252"/>
      <c r="G363" s="141"/>
      <c r="H363" s="41"/>
      <c r="I363" s="141"/>
      <c r="J363" s="254"/>
      <c r="K363" s="252"/>
    </row>
    <row r="364" ht="22.5" customHeight="1">
      <c r="A364" s="248"/>
      <c r="B364" s="249"/>
      <c r="C364" s="250"/>
      <c r="D364" s="251"/>
      <c r="E364" s="250"/>
      <c r="F364" s="252"/>
      <c r="G364" s="143"/>
      <c r="H364" s="37"/>
      <c r="I364" s="143"/>
      <c r="J364" s="253"/>
      <c r="K364" s="252"/>
    </row>
    <row r="365" ht="22.5" customHeight="1">
      <c r="A365" s="248"/>
      <c r="B365" s="249"/>
      <c r="C365" s="250"/>
      <c r="D365" s="251"/>
      <c r="E365" s="250"/>
      <c r="F365" s="252"/>
      <c r="G365" s="141"/>
      <c r="H365" s="41"/>
      <c r="I365" s="141"/>
      <c r="J365" s="254"/>
      <c r="K365" s="252"/>
    </row>
    <row r="366" ht="22.5" customHeight="1">
      <c r="A366" s="248"/>
      <c r="B366" s="249"/>
      <c r="C366" s="250"/>
      <c r="D366" s="251"/>
      <c r="E366" s="250"/>
      <c r="F366" s="252"/>
      <c r="G366" s="143"/>
      <c r="H366" s="37"/>
      <c r="I366" s="143"/>
      <c r="J366" s="253"/>
      <c r="K366" s="252"/>
    </row>
    <row r="367" ht="22.5" customHeight="1">
      <c r="A367" s="248"/>
      <c r="B367" s="249"/>
      <c r="C367" s="250"/>
      <c r="D367" s="251"/>
      <c r="E367" s="250"/>
      <c r="F367" s="252"/>
      <c r="G367" s="141"/>
      <c r="H367" s="41"/>
      <c r="I367" s="141"/>
      <c r="J367" s="254"/>
      <c r="K367" s="252"/>
    </row>
    <row r="368" ht="22.5" customHeight="1">
      <c r="A368" s="248"/>
      <c r="B368" s="249"/>
      <c r="C368" s="250"/>
      <c r="D368" s="251"/>
      <c r="E368" s="250"/>
      <c r="F368" s="252"/>
      <c r="G368" s="143"/>
      <c r="H368" s="37"/>
      <c r="I368" s="143"/>
      <c r="J368" s="253"/>
      <c r="K368" s="252"/>
    </row>
    <row r="369" ht="22.5" customHeight="1">
      <c r="A369" s="248"/>
      <c r="B369" s="249"/>
      <c r="C369" s="250"/>
      <c r="D369" s="251"/>
      <c r="E369" s="250"/>
      <c r="F369" s="252"/>
      <c r="G369" s="141"/>
      <c r="H369" s="41"/>
      <c r="I369" s="141"/>
      <c r="J369" s="254"/>
      <c r="K369" s="252"/>
    </row>
    <row r="370" ht="22.5" customHeight="1">
      <c r="A370" s="248"/>
      <c r="B370" s="249"/>
      <c r="C370" s="250"/>
      <c r="D370" s="251"/>
      <c r="E370" s="250"/>
      <c r="F370" s="252"/>
      <c r="G370" s="143"/>
      <c r="H370" s="37"/>
      <c r="I370" s="143"/>
      <c r="J370" s="253"/>
      <c r="K370" s="252"/>
    </row>
    <row r="371" ht="22.5" customHeight="1">
      <c r="A371" s="248"/>
      <c r="B371" s="249"/>
      <c r="C371" s="250"/>
      <c r="D371" s="251"/>
      <c r="E371" s="250"/>
      <c r="F371" s="252"/>
      <c r="G371" s="141"/>
      <c r="H371" s="41"/>
      <c r="I371" s="141"/>
      <c r="J371" s="254"/>
      <c r="K371" s="252"/>
    </row>
    <row r="372" ht="22.5" customHeight="1">
      <c r="A372" s="248"/>
      <c r="B372" s="249"/>
      <c r="C372" s="250"/>
      <c r="D372" s="251"/>
      <c r="E372" s="250"/>
      <c r="F372" s="252"/>
      <c r="G372" s="143"/>
      <c r="H372" s="37"/>
      <c r="I372" s="143"/>
      <c r="J372" s="253"/>
      <c r="K372" s="252"/>
    </row>
    <row r="373" ht="22.5" customHeight="1">
      <c r="A373" s="248"/>
      <c r="B373" s="249"/>
      <c r="C373" s="250"/>
      <c r="D373" s="251"/>
      <c r="E373" s="250"/>
      <c r="F373" s="252"/>
      <c r="G373" s="141"/>
      <c r="H373" s="41"/>
      <c r="I373" s="141"/>
      <c r="J373" s="254"/>
      <c r="K373" s="252"/>
    </row>
    <row r="374" ht="22.5" customHeight="1">
      <c r="A374" s="248"/>
      <c r="B374" s="249"/>
      <c r="C374" s="250"/>
      <c r="D374" s="251"/>
      <c r="E374" s="250"/>
      <c r="F374" s="252"/>
      <c r="G374" s="143"/>
      <c r="H374" s="37"/>
      <c r="I374" s="143"/>
      <c r="J374" s="253"/>
      <c r="K374" s="252"/>
    </row>
    <row r="375" ht="22.5" customHeight="1">
      <c r="A375" s="248"/>
      <c r="B375" s="249"/>
      <c r="C375" s="250"/>
      <c r="D375" s="251"/>
      <c r="E375" s="250"/>
      <c r="F375" s="252"/>
      <c r="G375" s="141"/>
      <c r="H375" s="41"/>
      <c r="I375" s="141"/>
      <c r="J375" s="254"/>
      <c r="K375" s="252"/>
    </row>
    <row r="376" ht="22.5" customHeight="1">
      <c r="A376" s="248"/>
      <c r="B376" s="249"/>
      <c r="C376" s="250"/>
      <c r="D376" s="251"/>
      <c r="E376" s="250"/>
      <c r="F376" s="252"/>
      <c r="G376" s="143"/>
      <c r="H376" s="37"/>
      <c r="I376" s="143"/>
      <c r="J376" s="253"/>
      <c r="K376" s="252"/>
    </row>
    <row r="377" ht="22.5" customHeight="1">
      <c r="A377" s="248"/>
      <c r="B377" s="249"/>
      <c r="C377" s="250"/>
      <c r="D377" s="251"/>
      <c r="E377" s="250"/>
      <c r="F377" s="252"/>
      <c r="G377" s="141"/>
      <c r="H377" s="41"/>
      <c r="I377" s="141"/>
      <c r="J377" s="254"/>
      <c r="K377" s="252"/>
    </row>
    <row r="378" ht="22.5" customHeight="1">
      <c r="A378" s="248"/>
      <c r="B378" s="249"/>
      <c r="C378" s="250"/>
      <c r="D378" s="251"/>
      <c r="E378" s="250"/>
      <c r="F378" s="252"/>
      <c r="G378" s="143"/>
      <c r="H378" s="37"/>
      <c r="I378" s="143"/>
      <c r="J378" s="253"/>
      <c r="K378" s="252"/>
    </row>
    <row r="379" ht="22.5" customHeight="1">
      <c r="A379" s="248"/>
      <c r="B379" s="249"/>
      <c r="C379" s="250"/>
      <c r="D379" s="251"/>
      <c r="E379" s="250"/>
      <c r="F379" s="252"/>
      <c r="G379" s="141"/>
      <c r="H379" s="41"/>
      <c r="I379" s="141"/>
      <c r="J379" s="254"/>
      <c r="K379" s="252"/>
    </row>
    <row r="380" ht="22.5" customHeight="1">
      <c r="A380" s="248"/>
      <c r="B380" s="249"/>
      <c r="C380" s="250"/>
      <c r="D380" s="251"/>
      <c r="E380" s="250"/>
      <c r="F380" s="252"/>
      <c r="G380" s="143"/>
      <c r="H380" s="37"/>
      <c r="I380" s="143"/>
      <c r="J380" s="253"/>
      <c r="K380" s="252"/>
    </row>
    <row r="381" ht="22.5" customHeight="1">
      <c r="A381" s="248"/>
      <c r="B381" s="249"/>
      <c r="C381" s="250"/>
      <c r="D381" s="251"/>
      <c r="E381" s="250"/>
      <c r="F381" s="252"/>
      <c r="G381" s="141"/>
      <c r="H381" s="41"/>
      <c r="I381" s="141"/>
      <c r="J381" s="254"/>
      <c r="K381" s="252"/>
    </row>
    <row r="382" ht="22.5" customHeight="1">
      <c r="A382" s="248"/>
      <c r="B382" s="249"/>
      <c r="C382" s="250"/>
      <c r="D382" s="251"/>
      <c r="E382" s="250"/>
      <c r="F382" s="252"/>
      <c r="G382" s="143"/>
      <c r="H382" s="37"/>
      <c r="I382" s="143"/>
      <c r="J382" s="253"/>
      <c r="K382" s="252"/>
    </row>
    <row r="383" ht="22.5" customHeight="1">
      <c r="A383" s="248"/>
      <c r="B383" s="249"/>
      <c r="C383" s="250"/>
      <c r="D383" s="251"/>
      <c r="E383" s="250"/>
      <c r="F383" s="252"/>
      <c r="G383" s="141"/>
      <c r="H383" s="41"/>
      <c r="I383" s="141"/>
      <c r="J383" s="254"/>
      <c r="K383" s="252"/>
    </row>
    <row r="384" ht="22.5" customHeight="1">
      <c r="A384" s="248"/>
      <c r="B384" s="249"/>
      <c r="C384" s="250"/>
      <c r="D384" s="251"/>
      <c r="E384" s="250"/>
      <c r="F384" s="252"/>
      <c r="G384" s="143"/>
      <c r="H384" s="37"/>
      <c r="I384" s="143"/>
      <c r="J384" s="253"/>
      <c r="K384" s="252"/>
    </row>
    <row r="385" ht="22.5" customHeight="1">
      <c r="A385" s="248"/>
      <c r="B385" s="249"/>
      <c r="C385" s="250"/>
      <c r="D385" s="251"/>
      <c r="E385" s="250"/>
      <c r="F385" s="252"/>
      <c r="G385" s="141"/>
      <c r="H385" s="41"/>
      <c r="I385" s="141"/>
      <c r="J385" s="254"/>
      <c r="K385" s="252"/>
    </row>
    <row r="386" ht="22.5" customHeight="1">
      <c r="A386" s="248"/>
      <c r="B386" s="249"/>
      <c r="C386" s="250"/>
      <c r="D386" s="251"/>
      <c r="E386" s="250"/>
      <c r="F386" s="252"/>
      <c r="G386" s="143"/>
      <c r="H386" s="37"/>
      <c r="I386" s="143"/>
      <c r="J386" s="253"/>
      <c r="K386" s="252"/>
    </row>
    <row r="387" ht="22.5" customHeight="1">
      <c r="A387" s="248"/>
      <c r="B387" s="249"/>
      <c r="C387" s="250"/>
      <c r="D387" s="251"/>
      <c r="E387" s="250"/>
      <c r="F387" s="252"/>
      <c r="G387" s="141"/>
      <c r="H387" s="41"/>
      <c r="I387" s="141"/>
      <c r="J387" s="254"/>
      <c r="K387" s="252"/>
    </row>
    <row r="388" ht="22.5" customHeight="1">
      <c r="A388" s="248"/>
      <c r="B388" s="249"/>
      <c r="C388" s="250"/>
      <c r="D388" s="251"/>
      <c r="E388" s="250"/>
      <c r="F388" s="252"/>
      <c r="G388" s="143"/>
      <c r="H388" s="37"/>
      <c r="I388" s="143"/>
      <c r="J388" s="253"/>
      <c r="K388" s="252"/>
    </row>
    <row r="389" ht="22.5" customHeight="1">
      <c r="A389" s="248"/>
      <c r="B389" s="249"/>
      <c r="C389" s="250"/>
      <c r="D389" s="251"/>
      <c r="E389" s="250"/>
      <c r="F389" s="252"/>
      <c r="G389" s="141"/>
      <c r="H389" s="41"/>
      <c r="I389" s="141"/>
      <c r="J389" s="254"/>
      <c r="K389" s="252"/>
    </row>
    <row r="390" ht="22.5" customHeight="1">
      <c r="A390" s="248"/>
      <c r="B390" s="249"/>
      <c r="C390" s="250"/>
      <c r="D390" s="251"/>
      <c r="E390" s="250"/>
      <c r="F390" s="252"/>
      <c r="G390" s="143"/>
      <c r="H390" s="37"/>
      <c r="I390" s="143"/>
      <c r="J390" s="253"/>
      <c r="K390" s="252"/>
    </row>
    <row r="391" ht="22.5" customHeight="1">
      <c r="A391" s="248"/>
      <c r="B391" s="249"/>
      <c r="C391" s="250"/>
      <c r="D391" s="251"/>
      <c r="E391" s="250"/>
      <c r="F391" s="252"/>
      <c r="G391" s="141"/>
      <c r="H391" s="41"/>
      <c r="I391" s="141"/>
      <c r="J391" s="254"/>
      <c r="K391" s="252"/>
    </row>
    <row r="392" ht="22.5" customHeight="1">
      <c r="A392" s="248"/>
      <c r="B392" s="249"/>
      <c r="C392" s="250"/>
      <c r="D392" s="251"/>
      <c r="E392" s="250"/>
      <c r="F392" s="252"/>
      <c r="G392" s="143"/>
      <c r="H392" s="37"/>
      <c r="I392" s="143"/>
      <c r="J392" s="253"/>
      <c r="K392" s="252"/>
    </row>
    <row r="393" ht="22.5" customHeight="1">
      <c r="A393" s="248"/>
      <c r="B393" s="249"/>
      <c r="C393" s="250"/>
      <c r="D393" s="251"/>
      <c r="E393" s="250"/>
      <c r="F393" s="252"/>
      <c r="G393" s="141"/>
      <c r="H393" s="41"/>
      <c r="I393" s="141"/>
      <c r="J393" s="254"/>
      <c r="K393" s="252"/>
    </row>
    <row r="394" ht="22.5" customHeight="1">
      <c r="A394" s="248"/>
      <c r="B394" s="249"/>
      <c r="C394" s="250"/>
      <c r="D394" s="251"/>
      <c r="E394" s="250"/>
      <c r="F394" s="252"/>
      <c r="G394" s="143"/>
      <c r="H394" s="37"/>
      <c r="I394" s="143"/>
      <c r="J394" s="253"/>
      <c r="K394" s="252"/>
    </row>
    <row r="395" ht="22.5" customHeight="1">
      <c r="A395" s="248"/>
      <c r="B395" s="249"/>
      <c r="C395" s="250"/>
      <c r="D395" s="251"/>
      <c r="E395" s="250"/>
      <c r="F395" s="252"/>
      <c r="G395" s="141"/>
      <c r="H395" s="41"/>
      <c r="I395" s="141"/>
      <c r="J395" s="254"/>
      <c r="K395" s="252"/>
    </row>
    <row r="396" ht="22.5" customHeight="1">
      <c r="A396" s="248"/>
      <c r="B396" s="249"/>
      <c r="C396" s="250"/>
      <c r="D396" s="251"/>
      <c r="E396" s="250"/>
      <c r="F396" s="252"/>
      <c r="G396" s="143"/>
      <c r="H396" s="37"/>
      <c r="I396" s="143"/>
      <c r="J396" s="253"/>
      <c r="K396" s="252"/>
    </row>
    <row r="397" ht="22.5" customHeight="1">
      <c r="A397" s="248"/>
      <c r="B397" s="249"/>
      <c r="C397" s="250"/>
      <c r="D397" s="251"/>
      <c r="E397" s="250"/>
      <c r="F397" s="252"/>
      <c r="G397" s="141"/>
      <c r="H397" s="41"/>
      <c r="I397" s="141"/>
      <c r="J397" s="254"/>
      <c r="K397" s="252"/>
    </row>
    <row r="398" ht="22.5" customHeight="1">
      <c r="A398" s="248"/>
      <c r="B398" s="249"/>
      <c r="C398" s="250"/>
      <c r="D398" s="251"/>
      <c r="E398" s="250"/>
      <c r="F398" s="252"/>
      <c r="G398" s="143"/>
      <c r="H398" s="37"/>
      <c r="I398" s="143"/>
      <c r="J398" s="253"/>
      <c r="K398" s="252"/>
    </row>
    <row r="399" ht="22.5" customHeight="1">
      <c r="A399" s="248"/>
      <c r="B399" s="249"/>
      <c r="C399" s="250"/>
      <c r="D399" s="251"/>
      <c r="E399" s="250"/>
      <c r="F399" s="252"/>
      <c r="G399" s="141"/>
      <c r="H399" s="41"/>
      <c r="I399" s="141"/>
      <c r="J399" s="254"/>
      <c r="K399" s="252"/>
    </row>
    <row r="400" ht="22.5" customHeight="1">
      <c r="A400" s="248"/>
      <c r="B400" s="249"/>
      <c r="C400" s="250"/>
      <c r="D400" s="251"/>
      <c r="E400" s="250"/>
      <c r="F400" s="252"/>
      <c r="G400" s="143"/>
      <c r="H400" s="37"/>
      <c r="I400" s="143"/>
      <c r="J400" s="253"/>
      <c r="K400" s="252"/>
    </row>
    <row r="401" ht="22.5" customHeight="1">
      <c r="A401" s="248"/>
      <c r="B401" s="249"/>
      <c r="C401" s="250"/>
      <c r="D401" s="251"/>
      <c r="E401" s="250"/>
      <c r="F401" s="252"/>
      <c r="G401" s="141"/>
      <c r="H401" s="41"/>
      <c r="I401" s="141"/>
      <c r="J401" s="254"/>
      <c r="K401" s="252"/>
    </row>
    <row r="402" ht="22.5" customHeight="1">
      <c r="A402" s="248"/>
      <c r="B402" s="249"/>
      <c r="C402" s="250"/>
      <c r="D402" s="251"/>
      <c r="E402" s="250"/>
      <c r="F402" s="252"/>
      <c r="G402" s="143"/>
      <c r="H402" s="37"/>
      <c r="I402" s="143"/>
      <c r="J402" s="253"/>
      <c r="K402" s="252"/>
    </row>
    <row r="403" ht="22.5" customHeight="1">
      <c r="A403" s="248"/>
      <c r="B403" s="249"/>
      <c r="C403" s="250"/>
      <c r="D403" s="251"/>
      <c r="E403" s="250"/>
      <c r="F403" s="252"/>
      <c r="G403" s="141"/>
      <c r="H403" s="41"/>
      <c r="I403" s="141"/>
      <c r="J403" s="254"/>
      <c r="K403" s="252"/>
    </row>
    <row r="404" ht="22.5" customHeight="1">
      <c r="A404" s="248"/>
      <c r="B404" s="249"/>
      <c r="C404" s="250"/>
      <c r="D404" s="251"/>
      <c r="E404" s="250"/>
      <c r="F404" s="252"/>
      <c r="G404" s="143"/>
      <c r="H404" s="37"/>
      <c r="I404" s="143"/>
      <c r="J404" s="253"/>
      <c r="K404" s="252"/>
    </row>
    <row r="405" ht="22.5" customHeight="1">
      <c r="A405" s="248"/>
      <c r="B405" s="249"/>
      <c r="C405" s="250"/>
      <c r="D405" s="251"/>
      <c r="E405" s="250"/>
      <c r="F405" s="252"/>
      <c r="G405" s="141"/>
      <c r="H405" s="41"/>
      <c r="I405" s="141"/>
      <c r="J405" s="254"/>
      <c r="K405" s="252"/>
    </row>
    <row r="406" ht="22.5" customHeight="1">
      <c r="A406" s="248"/>
      <c r="B406" s="249"/>
      <c r="C406" s="250"/>
      <c r="D406" s="251"/>
      <c r="E406" s="250"/>
      <c r="F406" s="252"/>
      <c r="G406" s="143"/>
      <c r="H406" s="37"/>
      <c r="I406" s="143"/>
      <c r="J406" s="253"/>
      <c r="K406" s="252"/>
    </row>
    <row r="407" ht="22.5" customHeight="1">
      <c r="A407" s="248"/>
      <c r="B407" s="249"/>
      <c r="C407" s="250"/>
      <c r="D407" s="251"/>
      <c r="E407" s="250"/>
      <c r="F407" s="252"/>
      <c r="G407" s="141"/>
      <c r="H407" s="41"/>
      <c r="I407" s="141"/>
      <c r="J407" s="254"/>
      <c r="K407" s="252"/>
    </row>
    <row r="408" ht="22.5" customHeight="1">
      <c r="A408" s="248"/>
      <c r="B408" s="249"/>
      <c r="C408" s="250"/>
      <c r="D408" s="251"/>
      <c r="E408" s="250"/>
      <c r="F408" s="252"/>
      <c r="G408" s="143"/>
      <c r="H408" s="37"/>
      <c r="I408" s="143"/>
      <c r="J408" s="253"/>
      <c r="K408" s="252"/>
    </row>
    <row r="409" ht="22.5" customHeight="1">
      <c r="A409" s="248"/>
      <c r="B409" s="249"/>
      <c r="C409" s="250"/>
      <c r="D409" s="251"/>
      <c r="E409" s="250"/>
      <c r="F409" s="252"/>
      <c r="G409" s="141"/>
      <c r="H409" s="41"/>
      <c r="I409" s="141"/>
      <c r="J409" s="254"/>
      <c r="K409" s="252"/>
    </row>
    <row r="410" ht="22.5" customHeight="1">
      <c r="A410" s="248"/>
      <c r="B410" s="249"/>
      <c r="C410" s="250"/>
      <c r="D410" s="251"/>
      <c r="E410" s="250"/>
      <c r="F410" s="252"/>
      <c r="G410" s="143"/>
      <c r="H410" s="37"/>
      <c r="I410" s="143"/>
      <c r="J410" s="253"/>
      <c r="K410" s="252"/>
    </row>
    <row r="411" ht="22.5" customHeight="1">
      <c r="A411" s="248"/>
      <c r="B411" s="249"/>
      <c r="C411" s="250"/>
      <c r="D411" s="251"/>
      <c r="E411" s="250"/>
      <c r="F411" s="252"/>
      <c r="G411" s="141"/>
      <c r="H411" s="41"/>
      <c r="I411" s="141"/>
      <c r="J411" s="254"/>
      <c r="K411" s="252"/>
    </row>
    <row r="412" ht="22.5" customHeight="1">
      <c r="A412" s="248"/>
      <c r="B412" s="249"/>
      <c r="C412" s="250"/>
      <c r="D412" s="251"/>
      <c r="E412" s="250"/>
      <c r="F412" s="252"/>
      <c r="G412" s="143"/>
      <c r="H412" s="37"/>
      <c r="I412" s="143"/>
      <c r="J412" s="253"/>
      <c r="K412" s="252"/>
    </row>
    <row r="413" ht="22.5" customHeight="1">
      <c r="A413" s="248"/>
      <c r="B413" s="249"/>
      <c r="C413" s="250"/>
      <c r="D413" s="251"/>
      <c r="E413" s="250"/>
      <c r="F413" s="252"/>
      <c r="G413" s="141"/>
      <c r="H413" s="41"/>
      <c r="I413" s="141"/>
      <c r="J413" s="254"/>
      <c r="K413" s="252"/>
    </row>
    <row r="414" ht="22.5" customHeight="1">
      <c r="A414" s="248"/>
      <c r="B414" s="249"/>
      <c r="C414" s="250"/>
      <c r="D414" s="251"/>
      <c r="E414" s="250"/>
      <c r="F414" s="252"/>
      <c r="G414" s="143"/>
      <c r="H414" s="37"/>
      <c r="I414" s="143"/>
      <c r="J414" s="253"/>
      <c r="K414" s="252"/>
    </row>
    <row r="415" ht="22.5" customHeight="1">
      <c r="A415" s="248"/>
      <c r="B415" s="249"/>
      <c r="C415" s="250"/>
      <c r="D415" s="251"/>
      <c r="E415" s="250"/>
      <c r="F415" s="252"/>
      <c r="G415" s="141"/>
      <c r="H415" s="41"/>
      <c r="I415" s="141"/>
      <c r="J415" s="254"/>
      <c r="K415" s="252"/>
    </row>
    <row r="416" ht="22.5" customHeight="1">
      <c r="A416" s="248"/>
      <c r="B416" s="249"/>
      <c r="C416" s="250"/>
      <c r="D416" s="251"/>
      <c r="E416" s="250"/>
      <c r="F416" s="252"/>
      <c r="G416" s="143"/>
      <c r="H416" s="37"/>
      <c r="I416" s="143"/>
      <c r="J416" s="253"/>
      <c r="K416" s="252"/>
    </row>
    <row r="417" ht="22.5" customHeight="1">
      <c r="A417" s="248"/>
      <c r="B417" s="249"/>
      <c r="C417" s="250"/>
      <c r="D417" s="251"/>
      <c r="E417" s="250"/>
      <c r="F417" s="252"/>
      <c r="G417" s="141"/>
      <c r="H417" s="41"/>
      <c r="I417" s="141"/>
      <c r="J417" s="254"/>
      <c r="K417" s="252"/>
    </row>
    <row r="418" ht="22.5" customHeight="1">
      <c r="A418" s="248"/>
      <c r="B418" s="249"/>
      <c r="C418" s="250"/>
      <c r="D418" s="251"/>
      <c r="E418" s="250"/>
      <c r="F418" s="252"/>
      <c r="G418" s="143"/>
      <c r="H418" s="37"/>
      <c r="I418" s="143"/>
      <c r="J418" s="253"/>
      <c r="K418" s="252"/>
    </row>
    <row r="419" ht="22.5" customHeight="1">
      <c r="A419" s="248"/>
      <c r="B419" s="249"/>
      <c r="C419" s="250"/>
      <c r="D419" s="251"/>
      <c r="E419" s="250"/>
      <c r="F419" s="252"/>
      <c r="G419" s="141"/>
      <c r="H419" s="41"/>
      <c r="I419" s="141"/>
      <c r="J419" s="254"/>
      <c r="K419" s="252"/>
    </row>
    <row r="420" ht="22.5" customHeight="1">
      <c r="A420" s="248"/>
      <c r="B420" s="249"/>
      <c r="C420" s="250"/>
      <c r="D420" s="251"/>
      <c r="E420" s="250"/>
      <c r="F420" s="252"/>
      <c r="G420" s="143"/>
      <c r="H420" s="37"/>
      <c r="I420" s="143"/>
      <c r="J420" s="253"/>
      <c r="K420" s="252"/>
    </row>
    <row r="421" ht="22.5" customHeight="1">
      <c r="A421" s="248"/>
      <c r="B421" s="249"/>
      <c r="C421" s="250"/>
      <c r="D421" s="251"/>
      <c r="E421" s="250"/>
      <c r="F421" s="252"/>
      <c r="G421" s="141"/>
      <c r="H421" s="41"/>
      <c r="I421" s="141"/>
      <c r="J421" s="254"/>
      <c r="K421" s="252"/>
    </row>
    <row r="422" ht="22.5" customHeight="1">
      <c r="A422" s="248"/>
      <c r="B422" s="249"/>
      <c r="C422" s="250"/>
      <c r="D422" s="251"/>
      <c r="E422" s="250"/>
      <c r="F422" s="252"/>
      <c r="G422" s="143"/>
      <c r="H422" s="37"/>
      <c r="I422" s="143"/>
      <c r="J422" s="253"/>
      <c r="K422" s="252"/>
    </row>
    <row r="423" ht="22.5" customHeight="1">
      <c r="A423" s="248"/>
      <c r="B423" s="249"/>
      <c r="C423" s="250"/>
      <c r="D423" s="251"/>
      <c r="E423" s="250"/>
      <c r="F423" s="252"/>
      <c r="G423" s="141"/>
      <c r="H423" s="41"/>
      <c r="I423" s="141"/>
      <c r="J423" s="254"/>
      <c r="K423" s="252"/>
    </row>
    <row r="424" ht="22.5" customHeight="1">
      <c r="A424" s="248"/>
      <c r="B424" s="249"/>
      <c r="C424" s="250"/>
      <c r="D424" s="251"/>
      <c r="E424" s="250"/>
      <c r="F424" s="252"/>
      <c r="G424" s="143"/>
      <c r="H424" s="37"/>
      <c r="I424" s="143"/>
      <c r="J424" s="253"/>
      <c r="K424" s="252"/>
    </row>
    <row r="425" ht="22.5" customHeight="1">
      <c r="A425" s="248"/>
      <c r="B425" s="249"/>
      <c r="C425" s="250"/>
      <c r="D425" s="251"/>
      <c r="E425" s="250"/>
      <c r="F425" s="252"/>
      <c r="G425" s="141"/>
      <c r="H425" s="41"/>
      <c r="I425" s="141"/>
      <c r="J425" s="254"/>
      <c r="K425" s="252"/>
    </row>
    <row r="426" ht="22.5" customHeight="1">
      <c r="A426" s="248"/>
      <c r="B426" s="249"/>
      <c r="C426" s="250"/>
      <c r="D426" s="251"/>
      <c r="E426" s="250"/>
      <c r="F426" s="252"/>
      <c r="G426" s="143"/>
      <c r="H426" s="37"/>
      <c r="I426" s="143"/>
      <c r="J426" s="253"/>
      <c r="K426" s="252"/>
    </row>
    <row r="427" ht="22.5" customHeight="1">
      <c r="A427" s="248"/>
      <c r="B427" s="249"/>
      <c r="C427" s="250"/>
      <c r="D427" s="251"/>
      <c r="E427" s="250"/>
      <c r="F427" s="252"/>
      <c r="G427" s="141"/>
      <c r="H427" s="41"/>
      <c r="I427" s="141"/>
      <c r="J427" s="254"/>
      <c r="K427" s="252"/>
    </row>
    <row r="428" ht="22.5" customHeight="1">
      <c r="A428" s="248"/>
      <c r="B428" s="249"/>
      <c r="C428" s="250"/>
      <c r="D428" s="251"/>
      <c r="E428" s="250"/>
      <c r="F428" s="252"/>
      <c r="G428" s="143"/>
      <c r="H428" s="37"/>
      <c r="I428" s="143"/>
      <c r="J428" s="253"/>
      <c r="K428" s="252"/>
    </row>
    <row r="429" ht="22.5" customHeight="1">
      <c r="A429" s="248"/>
      <c r="B429" s="249"/>
      <c r="C429" s="250"/>
      <c r="D429" s="251"/>
      <c r="E429" s="250"/>
      <c r="F429" s="252"/>
      <c r="G429" s="141"/>
      <c r="H429" s="41"/>
      <c r="I429" s="141"/>
      <c r="J429" s="254"/>
      <c r="K429" s="252"/>
    </row>
    <row r="430" ht="22.5" customHeight="1">
      <c r="A430" s="248"/>
      <c r="B430" s="249"/>
      <c r="C430" s="250"/>
      <c r="D430" s="251"/>
      <c r="E430" s="250"/>
      <c r="F430" s="252"/>
      <c r="G430" s="143"/>
      <c r="H430" s="37"/>
      <c r="I430" s="143"/>
      <c r="J430" s="253"/>
      <c r="K430" s="252"/>
    </row>
    <row r="431" ht="22.5" customHeight="1">
      <c r="A431" s="248"/>
      <c r="B431" s="249"/>
      <c r="C431" s="250"/>
      <c r="D431" s="251"/>
      <c r="E431" s="250"/>
      <c r="F431" s="252"/>
      <c r="G431" s="141"/>
      <c r="H431" s="41"/>
      <c r="I431" s="141"/>
      <c r="J431" s="254"/>
      <c r="K431" s="252"/>
    </row>
    <row r="432" ht="22.5" customHeight="1">
      <c r="A432" s="248"/>
      <c r="B432" s="249"/>
      <c r="C432" s="250"/>
      <c r="D432" s="251"/>
      <c r="E432" s="250"/>
      <c r="F432" s="252"/>
      <c r="G432" s="143"/>
      <c r="H432" s="37"/>
      <c r="I432" s="143"/>
      <c r="J432" s="253"/>
      <c r="K432" s="252"/>
    </row>
    <row r="433" ht="22.5" customHeight="1">
      <c r="A433" s="248"/>
      <c r="B433" s="249"/>
      <c r="C433" s="250"/>
      <c r="D433" s="251"/>
      <c r="E433" s="250"/>
      <c r="F433" s="252"/>
      <c r="G433" s="141"/>
      <c r="H433" s="41"/>
      <c r="I433" s="141"/>
      <c r="J433" s="254"/>
      <c r="K433" s="252"/>
    </row>
    <row r="434" ht="22.5" customHeight="1">
      <c r="A434" s="248"/>
      <c r="B434" s="249"/>
      <c r="C434" s="250"/>
      <c r="D434" s="251"/>
      <c r="E434" s="250"/>
      <c r="F434" s="252"/>
      <c r="G434" s="143"/>
      <c r="H434" s="37"/>
      <c r="I434" s="143"/>
      <c r="J434" s="253"/>
      <c r="K434" s="252"/>
    </row>
    <row r="435" ht="22.5" customHeight="1">
      <c r="A435" s="248"/>
      <c r="B435" s="249"/>
      <c r="C435" s="250"/>
      <c r="D435" s="251"/>
      <c r="E435" s="250"/>
      <c r="F435" s="252"/>
      <c r="G435" s="141"/>
      <c r="H435" s="41"/>
      <c r="I435" s="141"/>
      <c r="J435" s="254"/>
      <c r="K435" s="252"/>
    </row>
    <row r="436" ht="22.5" customHeight="1">
      <c r="A436" s="248"/>
      <c r="B436" s="249"/>
      <c r="C436" s="250"/>
      <c r="D436" s="251"/>
      <c r="E436" s="250"/>
      <c r="F436" s="252"/>
      <c r="G436" s="143"/>
      <c r="H436" s="37"/>
      <c r="I436" s="143"/>
      <c r="J436" s="253"/>
      <c r="K436" s="252"/>
    </row>
    <row r="437" ht="22.5" customHeight="1">
      <c r="A437" s="248"/>
      <c r="B437" s="249"/>
      <c r="C437" s="250"/>
      <c r="D437" s="251"/>
      <c r="E437" s="250"/>
      <c r="F437" s="252"/>
      <c r="G437" s="141"/>
      <c r="H437" s="41"/>
      <c r="I437" s="141"/>
      <c r="J437" s="254"/>
      <c r="K437" s="252"/>
    </row>
    <row r="438" ht="22.5" customHeight="1">
      <c r="A438" s="248"/>
      <c r="B438" s="249"/>
      <c r="C438" s="250"/>
      <c r="D438" s="251"/>
      <c r="E438" s="250"/>
      <c r="F438" s="252"/>
      <c r="G438" s="143"/>
      <c r="H438" s="37"/>
      <c r="I438" s="143"/>
      <c r="J438" s="253"/>
      <c r="K438" s="252"/>
    </row>
    <row r="439" ht="22.5" customHeight="1">
      <c r="A439" s="248"/>
      <c r="B439" s="249"/>
      <c r="C439" s="250"/>
      <c r="D439" s="251"/>
      <c r="E439" s="250"/>
      <c r="F439" s="252"/>
      <c r="G439" s="141"/>
      <c r="H439" s="41"/>
      <c r="I439" s="141"/>
      <c r="J439" s="254"/>
      <c r="K439" s="252"/>
    </row>
    <row r="440" ht="22.5" customHeight="1">
      <c r="A440" s="248"/>
      <c r="B440" s="249"/>
      <c r="C440" s="250"/>
      <c r="D440" s="251"/>
      <c r="E440" s="250"/>
      <c r="F440" s="252"/>
      <c r="G440" s="143"/>
      <c r="H440" s="37"/>
      <c r="I440" s="143"/>
      <c r="J440" s="253"/>
      <c r="K440" s="252"/>
    </row>
    <row r="441" ht="22.5" customHeight="1">
      <c r="A441" s="248"/>
      <c r="B441" s="249"/>
      <c r="C441" s="250"/>
      <c r="D441" s="251"/>
      <c r="E441" s="250"/>
      <c r="F441" s="252"/>
      <c r="G441" s="141"/>
      <c r="H441" s="41"/>
      <c r="I441" s="141"/>
      <c r="J441" s="254"/>
      <c r="K441" s="252"/>
    </row>
    <row r="442" ht="22.5" customHeight="1">
      <c r="A442" s="248"/>
      <c r="B442" s="249"/>
      <c r="C442" s="250"/>
      <c r="D442" s="251"/>
      <c r="E442" s="250"/>
      <c r="F442" s="252"/>
      <c r="G442" s="143"/>
      <c r="H442" s="37"/>
      <c r="I442" s="143"/>
      <c r="J442" s="253"/>
      <c r="K442" s="252"/>
    </row>
    <row r="443" ht="22.5" customHeight="1">
      <c r="A443" s="248"/>
      <c r="B443" s="249"/>
      <c r="C443" s="250"/>
      <c r="D443" s="251"/>
      <c r="E443" s="250"/>
      <c r="F443" s="252"/>
      <c r="G443" s="141"/>
      <c r="H443" s="41"/>
      <c r="I443" s="141"/>
      <c r="J443" s="254"/>
      <c r="K443" s="252"/>
    </row>
    <row r="444" ht="22.5" customHeight="1">
      <c r="A444" s="248"/>
      <c r="B444" s="249"/>
      <c r="C444" s="250"/>
      <c r="D444" s="251"/>
      <c r="E444" s="250"/>
      <c r="F444" s="252"/>
      <c r="G444" s="143"/>
      <c r="H444" s="37"/>
      <c r="I444" s="143"/>
      <c r="J444" s="253"/>
      <c r="K444" s="252"/>
    </row>
    <row r="445" ht="22.5" customHeight="1">
      <c r="A445" s="248"/>
      <c r="B445" s="249"/>
      <c r="C445" s="250"/>
      <c r="D445" s="251"/>
      <c r="E445" s="250"/>
      <c r="F445" s="252"/>
      <c r="G445" s="141"/>
      <c r="H445" s="41"/>
      <c r="I445" s="141"/>
      <c r="J445" s="254"/>
      <c r="K445" s="252"/>
    </row>
    <row r="446" ht="22.5" customHeight="1">
      <c r="A446" s="248"/>
      <c r="B446" s="249"/>
      <c r="C446" s="250"/>
      <c r="D446" s="251"/>
      <c r="E446" s="250"/>
      <c r="F446" s="252"/>
      <c r="G446" s="143"/>
      <c r="H446" s="37"/>
      <c r="I446" s="143"/>
      <c r="J446" s="253"/>
      <c r="K446" s="252"/>
    </row>
    <row r="447" ht="22.5" customHeight="1">
      <c r="A447" s="248"/>
      <c r="B447" s="249"/>
      <c r="C447" s="250"/>
      <c r="D447" s="251"/>
      <c r="E447" s="250"/>
      <c r="F447" s="252"/>
      <c r="G447" s="141"/>
      <c r="H447" s="41"/>
      <c r="I447" s="141"/>
      <c r="J447" s="254"/>
      <c r="K447" s="252"/>
    </row>
    <row r="448" ht="22.5" customHeight="1">
      <c r="A448" s="248"/>
      <c r="B448" s="249"/>
      <c r="C448" s="250"/>
      <c r="D448" s="251"/>
      <c r="E448" s="250"/>
      <c r="F448" s="252"/>
      <c r="G448" s="143"/>
      <c r="H448" s="37"/>
      <c r="I448" s="143"/>
      <c r="J448" s="253"/>
      <c r="K448" s="252"/>
    </row>
    <row r="449" ht="22.5" customHeight="1">
      <c r="A449" s="248"/>
      <c r="B449" s="249"/>
      <c r="C449" s="250"/>
      <c r="D449" s="251"/>
      <c r="E449" s="250"/>
      <c r="F449" s="252"/>
      <c r="G449" s="141"/>
      <c r="H449" s="41"/>
      <c r="I449" s="141"/>
      <c r="J449" s="254"/>
      <c r="K449" s="252"/>
    </row>
    <row r="450" ht="22.5" customHeight="1">
      <c r="A450" s="248"/>
      <c r="B450" s="249"/>
      <c r="C450" s="250"/>
      <c r="D450" s="251"/>
      <c r="E450" s="250"/>
      <c r="F450" s="252"/>
      <c r="G450" s="143"/>
      <c r="H450" s="37"/>
      <c r="I450" s="143"/>
      <c r="J450" s="253"/>
      <c r="K450" s="252"/>
    </row>
    <row r="451" ht="22.5" customHeight="1">
      <c r="A451" s="248"/>
      <c r="B451" s="249"/>
      <c r="C451" s="250"/>
      <c r="D451" s="251"/>
      <c r="E451" s="250"/>
      <c r="F451" s="252"/>
      <c r="G451" s="141"/>
      <c r="H451" s="41"/>
      <c r="I451" s="141"/>
      <c r="J451" s="254"/>
      <c r="K451" s="252"/>
    </row>
    <row r="452" ht="22.5" customHeight="1">
      <c r="A452" s="248"/>
      <c r="B452" s="249"/>
      <c r="C452" s="250"/>
      <c r="D452" s="251"/>
      <c r="E452" s="250"/>
      <c r="F452" s="252"/>
      <c r="G452" s="143"/>
      <c r="H452" s="37"/>
      <c r="I452" s="143"/>
      <c r="J452" s="253"/>
      <c r="K452" s="252"/>
    </row>
    <row r="453" ht="22.5" customHeight="1">
      <c r="A453" s="248"/>
      <c r="B453" s="249"/>
      <c r="C453" s="250"/>
      <c r="D453" s="251"/>
      <c r="E453" s="250"/>
      <c r="F453" s="252"/>
      <c r="G453" s="141"/>
      <c r="H453" s="41"/>
      <c r="I453" s="141"/>
      <c r="J453" s="254"/>
      <c r="K453" s="252"/>
    </row>
    <row r="454" ht="22.5" customHeight="1">
      <c r="A454" s="248"/>
      <c r="B454" s="249"/>
      <c r="C454" s="250"/>
      <c r="D454" s="251"/>
      <c r="E454" s="250"/>
      <c r="F454" s="252"/>
      <c r="G454" s="143"/>
      <c r="H454" s="37"/>
      <c r="I454" s="143"/>
      <c r="J454" s="253"/>
      <c r="K454" s="252"/>
    </row>
    <row r="455" ht="22.5" customHeight="1">
      <c r="A455" s="248"/>
      <c r="B455" s="249"/>
      <c r="C455" s="250"/>
      <c r="D455" s="251"/>
      <c r="E455" s="250"/>
      <c r="F455" s="252"/>
      <c r="G455" s="141"/>
      <c r="H455" s="41"/>
      <c r="I455" s="141"/>
      <c r="J455" s="254"/>
      <c r="K455" s="252"/>
    </row>
    <row r="456" ht="22.5" customHeight="1">
      <c r="A456" s="248"/>
      <c r="B456" s="249"/>
      <c r="C456" s="250"/>
      <c r="D456" s="251"/>
      <c r="E456" s="250"/>
      <c r="F456" s="252"/>
      <c r="G456" s="143"/>
      <c r="H456" s="37"/>
      <c r="I456" s="143"/>
      <c r="J456" s="253"/>
      <c r="K456" s="252"/>
    </row>
    <row r="457" ht="22.5" customHeight="1">
      <c r="A457" s="248"/>
      <c r="B457" s="249"/>
      <c r="C457" s="250"/>
      <c r="D457" s="251"/>
      <c r="E457" s="250"/>
      <c r="F457" s="252"/>
      <c r="G457" s="141"/>
      <c r="H457" s="41"/>
      <c r="I457" s="141"/>
      <c r="J457" s="254"/>
      <c r="K457" s="252"/>
    </row>
    <row r="458" ht="22.5" customHeight="1">
      <c r="A458" s="248"/>
      <c r="B458" s="249"/>
      <c r="C458" s="250"/>
      <c r="D458" s="251"/>
      <c r="E458" s="250"/>
      <c r="F458" s="252"/>
      <c r="G458" s="143"/>
      <c r="H458" s="37"/>
      <c r="I458" s="143"/>
      <c r="J458" s="253"/>
      <c r="K458" s="252"/>
    </row>
    <row r="459" ht="22.5" customHeight="1">
      <c r="A459" s="248"/>
      <c r="B459" s="249"/>
      <c r="C459" s="250"/>
      <c r="D459" s="251"/>
      <c r="E459" s="250"/>
      <c r="F459" s="252"/>
      <c r="G459" s="141"/>
      <c r="H459" s="41"/>
      <c r="I459" s="141"/>
      <c r="J459" s="254"/>
      <c r="K459" s="252"/>
    </row>
    <row r="460" ht="22.5" customHeight="1">
      <c r="A460" s="248"/>
      <c r="B460" s="249"/>
      <c r="C460" s="250"/>
      <c r="D460" s="251"/>
      <c r="E460" s="250"/>
      <c r="F460" s="252"/>
      <c r="G460" s="143"/>
      <c r="H460" s="37"/>
      <c r="I460" s="143"/>
      <c r="J460" s="253"/>
      <c r="K460" s="252"/>
    </row>
    <row r="461" ht="22.5" customHeight="1">
      <c r="A461" s="248"/>
      <c r="B461" s="249"/>
      <c r="C461" s="250"/>
      <c r="D461" s="251"/>
      <c r="E461" s="250"/>
      <c r="F461" s="252"/>
      <c r="G461" s="141"/>
      <c r="H461" s="41"/>
      <c r="I461" s="141"/>
      <c r="J461" s="254"/>
      <c r="K461" s="252"/>
    </row>
    <row r="462" ht="22.5" customHeight="1">
      <c r="A462" s="248"/>
      <c r="B462" s="249"/>
      <c r="C462" s="250"/>
      <c r="D462" s="251"/>
      <c r="E462" s="250"/>
      <c r="F462" s="252"/>
      <c r="G462" s="143"/>
      <c r="H462" s="37"/>
      <c r="I462" s="143"/>
      <c r="J462" s="253"/>
      <c r="K462" s="252"/>
    </row>
    <row r="463" ht="22.5" customHeight="1">
      <c r="A463" s="248"/>
      <c r="B463" s="249"/>
      <c r="C463" s="250"/>
      <c r="D463" s="251"/>
      <c r="E463" s="250"/>
      <c r="F463" s="252"/>
      <c r="G463" s="141"/>
      <c r="H463" s="41"/>
      <c r="I463" s="141"/>
      <c r="J463" s="254"/>
      <c r="K463" s="252"/>
    </row>
    <row r="464" ht="22.5" customHeight="1">
      <c r="A464" s="248"/>
      <c r="B464" s="249"/>
      <c r="C464" s="250"/>
      <c r="D464" s="251"/>
      <c r="E464" s="250"/>
      <c r="F464" s="252"/>
      <c r="G464" s="143"/>
      <c r="H464" s="37"/>
      <c r="I464" s="143"/>
      <c r="J464" s="253"/>
      <c r="K464" s="252"/>
    </row>
    <row r="465" ht="22.5" customHeight="1">
      <c r="A465" s="248"/>
      <c r="B465" s="249"/>
      <c r="C465" s="250"/>
      <c r="D465" s="251"/>
      <c r="E465" s="250"/>
      <c r="F465" s="252"/>
      <c r="G465" s="141"/>
      <c r="H465" s="41"/>
      <c r="I465" s="141"/>
      <c r="J465" s="254"/>
      <c r="K465" s="252"/>
    </row>
    <row r="466" ht="22.5" customHeight="1">
      <c r="A466" s="248"/>
      <c r="B466" s="249"/>
      <c r="C466" s="250"/>
      <c r="D466" s="251"/>
      <c r="E466" s="250"/>
      <c r="F466" s="252"/>
      <c r="G466" s="143"/>
      <c r="H466" s="37"/>
      <c r="I466" s="143"/>
      <c r="J466" s="253"/>
      <c r="K466" s="252"/>
    </row>
    <row r="467" ht="22.5" customHeight="1">
      <c r="A467" s="248"/>
      <c r="B467" s="249"/>
      <c r="C467" s="250"/>
      <c r="D467" s="251"/>
      <c r="E467" s="250"/>
      <c r="F467" s="252"/>
      <c r="G467" s="141"/>
      <c r="H467" s="41"/>
      <c r="I467" s="141"/>
      <c r="J467" s="254"/>
      <c r="K467" s="252"/>
    </row>
    <row r="468" ht="22.5" customHeight="1">
      <c r="A468" s="248"/>
      <c r="B468" s="249"/>
      <c r="C468" s="250"/>
      <c r="D468" s="251"/>
      <c r="E468" s="250"/>
      <c r="F468" s="252"/>
      <c r="G468" s="143"/>
      <c r="H468" s="37"/>
      <c r="I468" s="143"/>
      <c r="J468" s="253"/>
      <c r="K468" s="252"/>
    </row>
    <row r="469" ht="22.5" customHeight="1">
      <c r="A469" s="248"/>
      <c r="B469" s="249"/>
      <c r="C469" s="250"/>
      <c r="D469" s="251"/>
      <c r="E469" s="250"/>
      <c r="F469" s="252"/>
      <c r="G469" s="141"/>
      <c r="H469" s="41"/>
      <c r="I469" s="141"/>
      <c r="J469" s="254"/>
      <c r="K469" s="252"/>
    </row>
    <row r="470" ht="22.5" customHeight="1">
      <c r="A470" s="248"/>
      <c r="B470" s="249"/>
      <c r="C470" s="250"/>
      <c r="D470" s="251"/>
      <c r="E470" s="250"/>
      <c r="F470" s="252"/>
      <c r="G470" s="143"/>
      <c r="H470" s="37"/>
      <c r="I470" s="143"/>
      <c r="J470" s="253"/>
      <c r="K470" s="252"/>
    </row>
    <row r="471" ht="22.5" customHeight="1">
      <c r="A471" s="248"/>
      <c r="B471" s="249"/>
      <c r="C471" s="250"/>
      <c r="D471" s="251"/>
      <c r="E471" s="250"/>
      <c r="F471" s="252"/>
      <c r="G471" s="141"/>
      <c r="H471" s="41"/>
      <c r="I471" s="141"/>
      <c r="J471" s="254"/>
      <c r="K471" s="252"/>
    </row>
    <row r="472" ht="22.5" customHeight="1">
      <c r="A472" s="248"/>
      <c r="B472" s="249"/>
      <c r="C472" s="250"/>
      <c r="D472" s="251"/>
      <c r="E472" s="250"/>
      <c r="F472" s="252"/>
      <c r="G472" s="143"/>
      <c r="H472" s="37"/>
      <c r="I472" s="143"/>
      <c r="J472" s="253"/>
      <c r="K472" s="252"/>
    </row>
    <row r="473" ht="22.5" customHeight="1">
      <c r="A473" s="248"/>
      <c r="B473" s="249"/>
      <c r="C473" s="250"/>
      <c r="D473" s="251"/>
      <c r="E473" s="250"/>
      <c r="F473" s="252"/>
      <c r="G473" s="141"/>
      <c r="H473" s="41"/>
      <c r="I473" s="141"/>
      <c r="J473" s="254"/>
      <c r="K473" s="252"/>
    </row>
    <row r="474" ht="22.5" customHeight="1">
      <c r="A474" s="248"/>
      <c r="B474" s="249"/>
      <c r="C474" s="250"/>
      <c r="D474" s="251"/>
      <c r="E474" s="250"/>
      <c r="F474" s="252"/>
      <c r="G474" s="143"/>
      <c r="H474" s="37"/>
      <c r="I474" s="143"/>
      <c r="J474" s="253"/>
      <c r="K474" s="252"/>
    </row>
    <row r="475" ht="22.5" customHeight="1">
      <c r="A475" s="248"/>
      <c r="B475" s="249"/>
      <c r="C475" s="250"/>
      <c r="D475" s="251"/>
      <c r="E475" s="250"/>
      <c r="F475" s="252"/>
      <c r="G475" s="141"/>
      <c r="H475" s="41"/>
      <c r="I475" s="141"/>
      <c r="J475" s="254"/>
      <c r="K475" s="252"/>
    </row>
    <row r="476" ht="22.5" customHeight="1">
      <c r="A476" s="248"/>
      <c r="B476" s="249"/>
      <c r="C476" s="250"/>
      <c r="D476" s="251"/>
      <c r="E476" s="250"/>
      <c r="F476" s="252"/>
      <c r="G476" s="143"/>
      <c r="H476" s="37"/>
      <c r="I476" s="143"/>
      <c r="J476" s="253"/>
      <c r="K476" s="252"/>
    </row>
    <row r="477" ht="22.5" customHeight="1">
      <c r="A477" s="248"/>
      <c r="B477" s="249"/>
      <c r="C477" s="250"/>
      <c r="D477" s="251"/>
      <c r="E477" s="250"/>
      <c r="F477" s="252"/>
      <c r="G477" s="141"/>
      <c r="H477" s="41"/>
      <c r="I477" s="141"/>
      <c r="J477" s="254"/>
      <c r="K477" s="252"/>
    </row>
    <row r="478" ht="22.5" customHeight="1">
      <c r="A478" s="248"/>
      <c r="B478" s="249"/>
      <c r="C478" s="250"/>
      <c r="D478" s="251"/>
      <c r="E478" s="250"/>
      <c r="F478" s="252"/>
      <c r="G478" s="143"/>
      <c r="H478" s="37"/>
      <c r="I478" s="143"/>
      <c r="J478" s="253"/>
      <c r="K478" s="252"/>
    </row>
    <row r="479" ht="22.5" customHeight="1">
      <c r="A479" s="248"/>
      <c r="B479" s="249"/>
      <c r="C479" s="250"/>
      <c r="D479" s="251"/>
      <c r="E479" s="250"/>
      <c r="F479" s="252"/>
      <c r="G479" s="141"/>
      <c r="H479" s="41"/>
      <c r="I479" s="141"/>
      <c r="J479" s="254"/>
      <c r="K479" s="252"/>
    </row>
    <row r="480" ht="22.5" customHeight="1">
      <c r="A480" s="248"/>
      <c r="B480" s="249"/>
      <c r="C480" s="250"/>
      <c r="D480" s="251"/>
      <c r="E480" s="250"/>
      <c r="F480" s="252"/>
      <c r="G480" s="143"/>
      <c r="H480" s="37"/>
      <c r="I480" s="143"/>
      <c r="J480" s="253"/>
      <c r="K480" s="252"/>
    </row>
    <row r="481" ht="22.5" customHeight="1">
      <c r="A481" s="248"/>
      <c r="B481" s="249"/>
      <c r="C481" s="250"/>
      <c r="D481" s="251"/>
      <c r="E481" s="250"/>
      <c r="F481" s="252"/>
      <c r="G481" s="141"/>
      <c r="H481" s="41"/>
      <c r="I481" s="141"/>
      <c r="J481" s="254"/>
      <c r="K481" s="252"/>
    </row>
    <row r="482" ht="22.5" customHeight="1">
      <c r="A482" s="248"/>
      <c r="B482" s="249"/>
      <c r="C482" s="250"/>
      <c r="D482" s="251"/>
      <c r="E482" s="250"/>
      <c r="F482" s="252"/>
      <c r="G482" s="143"/>
      <c r="H482" s="37"/>
      <c r="I482" s="143"/>
      <c r="J482" s="253"/>
      <c r="K482" s="252"/>
    </row>
    <row r="483" ht="22.5" customHeight="1">
      <c r="A483" s="248"/>
      <c r="B483" s="249"/>
      <c r="C483" s="250"/>
      <c r="D483" s="251"/>
      <c r="E483" s="250"/>
      <c r="F483" s="252"/>
      <c r="G483" s="141"/>
      <c r="H483" s="41"/>
      <c r="I483" s="141"/>
      <c r="J483" s="254"/>
      <c r="K483" s="252"/>
    </row>
    <row r="484" ht="22.5" customHeight="1">
      <c r="A484" s="248"/>
      <c r="B484" s="249"/>
      <c r="C484" s="250"/>
      <c r="D484" s="251"/>
      <c r="E484" s="250"/>
      <c r="F484" s="252"/>
      <c r="G484" s="143"/>
      <c r="H484" s="37"/>
      <c r="I484" s="143"/>
      <c r="J484" s="253"/>
      <c r="K484" s="252"/>
    </row>
    <row r="485" ht="22.5" customHeight="1">
      <c r="A485" s="248"/>
      <c r="B485" s="249"/>
      <c r="C485" s="250"/>
      <c r="D485" s="251"/>
      <c r="E485" s="250"/>
      <c r="F485" s="252"/>
      <c r="G485" s="141"/>
      <c r="H485" s="41"/>
      <c r="I485" s="141"/>
      <c r="J485" s="254"/>
      <c r="K485" s="252"/>
    </row>
    <row r="486" ht="22.5" customHeight="1">
      <c r="A486" s="248"/>
      <c r="B486" s="249"/>
      <c r="C486" s="250"/>
      <c r="D486" s="251"/>
      <c r="E486" s="250"/>
      <c r="F486" s="252"/>
      <c r="G486" s="143"/>
      <c r="H486" s="37"/>
      <c r="I486" s="143"/>
      <c r="J486" s="253"/>
      <c r="K486" s="252"/>
    </row>
    <row r="487" ht="22.5" customHeight="1">
      <c r="A487" s="248"/>
      <c r="B487" s="249"/>
      <c r="C487" s="250"/>
      <c r="D487" s="251"/>
      <c r="E487" s="250"/>
      <c r="F487" s="252"/>
      <c r="G487" s="141"/>
      <c r="H487" s="41"/>
      <c r="I487" s="141"/>
      <c r="J487" s="254"/>
      <c r="K487" s="252"/>
    </row>
    <row r="488" ht="22.5" customHeight="1">
      <c r="A488" s="248"/>
      <c r="B488" s="249"/>
      <c r="C488" s="250"/>
      <c r="D488" s="251"/>
      <c r="E488" s="250"/>
      <c r="F488" s="252"/>
      <c r="G488" s="143"/>
      <c r="H488" s="37"/>
      <c r="I488" s="143"/>
      <c r="J488" s="253"/>
      <c r="K488" s="252"/>
    </row>
    <row r="489" ht="22.5" customHeight="1">
      <c r="A489" s="248"/>
      <c r="B489" s="249"/>
      <c r="C489" s="250"/>
      <c r="D489" s="251"/>
      <c r="E489" s="250"/>
      <c r="F489" s="252"/>
      <c r="G489" s="141"/>
      <c r="H489" s="41"/>
      <c r="I489" s="141"/>
      <c r="J489" s="254"/>
      <c r="K489" s="252"/>
    </row>
    <row r="490" ht="22.5" customHeight="1">
      <c r="A490" s="248"/>
      <c r="B490" s="249"/>
      <c r="C490" s="250"/>
      <c r="D490" s="251"/>
      <c r="E490" s="250"/>
      <c r="F490" s="252"/>
      <c r="G490" s="143"/>
      <c r="H490" s="37"/>
      <c r="I490" s="143"/>
      <c r="J490" s="253"/>
      <c r="K490" s="252"/>
    </row>
    <row r="491" ht="22.5" customHeight="1">
      <c r="A491" s="248"/>
      <c r="B491" s="249"/>
      <c r="C491" s="250"/>
      <c r="D491" s="251"/>
      <c r="E491" s="250"/>
      <c r="F491" s="252"/>
      <c r="G491" s="141"/>
      <c r="H491" s="41"/>
      <c r="I491" s="141"/>
      <c r="J491" s="254"/>
      <c r="K491" s="252"/>
    </row>
    <row r="492" ht="22.5" customHeight="1">
      <c r="A492" s="248"/>
      <c r="B492" s="249"/>
      <c r="C492" s="250"/>
      <c r="D492" s="251"/>
      <c r="E492" s="250"/>
      <c r="F492" s="252"/>
      <c r="G492" s="143"/>
      <c r="H492" s="37"/>
      <c r="I492" s="143"/>
      <c r="J492" s="253"/>
      <c r="K492" s="252"/>
    </row>
    <row r="493" ht="22.5" customHeight="1">
      <c r="A493" s="248"/>
      <c r="B493" s="249"/>
      <c r="C493" s="250"/>
      <c r="D493" s="251"/>
      <c r="E493" s="250"/>
      <c r="F493" s="252"/>
      <c r="G493" s="141"/>
      <c r="H493" s="41"/>
      <c r="I493" s="141"/>
      <c r="J493" s="254"/>
      <c r="K493" s="252"/>
    </row>
    <row r="494" ht="22.5" customHeight="1">
      <c r="A494" s="248"/>
      <c r="B494" s="249"/>
      <c r="C494" s="250"/>
      <c r="D494" s="251"/>
      <c r="E494" s="250"/>
      <c r="F494" s="252"/>
      <c r="G494" s="143"/>
      <c r="H494" s="37"/>
      <c r="I494" s="143"/>
      <c r="J494" s="253"/>
      <c r="K494" s="252"/>
    </row>
    <row r="495" ht="22.5" customHeight="1">
      <c r="A495" s="248"/>
      <c r="B495" s="249"/>
      <c r="C495" s="250"/>
      <c r="D495" s="251"/>
      <c r="E495" s="250"/>
      <c r="F495" s="252"/>
      <c r="G495" s="141"/>
      <c r="H495" s="41"/>
      <c r="I495" s="141"/>
      <c r="J495" s="254"/>
      <c r="K495" s="252"/>
    </row>
    <row r="496" ht="22.5" customHeight="1">
      <c r="A496" s="248"/>
      <c r="B496" s="249"/>
      <c r="C496" s="250"/>
      <c r="D496" s="251"/>
      <c r="E496" s="250"/>
      <c r="F496" s="252"/>
      <c r="G496" s="143"/>
      <c r="H496" s="37"/>
      <c r="I496" s="143"/>
      <c r="J496" s="253"/>
      <c r="K496" s="252"/>
    </row>
    <row r="497" ht="22.5" customHeight="1">
      <c r="A497" s="248"/>
      <c r="B497" s="249"/>
      <c r="C497" s="250"/>
      <c r="D497" s="251"/>
      <c r="E497" s="250"/>
      <c r="F497" s="252"/>
      <c r="G497" s="141"/>
      <c r="H497" s="41"/>
      <c r="I497" s="141"/>
      <c r="J497" s="254"/>
      <c r="K497" s="252"/>
    </row>
    <row r="498" ht="22.5" customHeight="1">
      <c r="A498" s="248"/>
      <c r="B498" s="249"/>
      <c r="C498" s="250"/>
      <c r="D498" s="251"/>
      <c r="E498" s="250"/>
      <c r="F498" s="252"/>
      <c r="G498" s="143"/>
      <c r="H498" s="37"/>
      <c r="I498" s="143"/>
      <c r="J498" s="253"/>
      <c r="K498" s="252"/>
    </row>
    <row r="499" ht="22.5" customHeight="1">
      <c r="A499" s="248"/>
      <c r="B499" s="249"/>
      <c r="C499" s="250"/>
      <c r="D499" s="251"/>
      <c r="E499" s="250"/>
      <c r="F499" s="252"/>
      <c r="G499" s="141"/>
      <c r="H499" s="41"/>
      <c r="I499" s="141"/>
      <c r="J499" s="254"/>
      <c r="K499" s="252"/>
    </row>
    <row r="500" ht="22.5" customHeight="1">
      <c r="A500" s="248"/>
      <c r="B500" s="249"/>
      <c r="C500" s="250"/>
      <c r="D500" s="251"/>
      <c r="E500" s="250"/>
      <c r="F500" s="252"/>
      <c r="G500" s="143"/>
      <c r="H500" s="37"/>
      <c r="I500" s="143"/>
      <c r="J500" s="253"/>
      <c r="K500" s="252"/>
    </row>
    <row r="501" ht="22.5" customHeight="1">
      <c r="A501" s="248"/>
      <c r="B501" s="249"/>
      <c r="C501" s="250"/>
      <c r="D501" s="251"/>
      <c r="E501" s="250"/>
      <c r="F501" s="252"/>
      <c r="G501" s="141"/>
      <c r="H501" s="41"/>
      <c r="I501" s="141"/>
      <c r="J501" s="254"/>
      <c r="K501" s="252"/>
    </row>
    <row r="502" ht="22.5" customHeight="1">
      <c r="A502" s="248"/>
      <c r="B502" s="249"/>
      <c r="C502" s="250"/>
      <c r="D502" s="251"/>
      <c r="E502" s="250"/>
      <c r="F502" s="252"/>
      <c r="G502" s="143"/>
      <c r="H502" s="37"/>
      <c r="I502" s="143"/>
      <c r="J502" s="253"/>
      <c r="K502" s="252"/>
    </row>
    <row r="503" ht="22.5" customHeight="1">
      <c r="A503" s="248"/>
      <c r="B503" s="249"/>
      <c r="C503" s="250"/>
      <c r="D503" s="251"/>
      <c r="E503" s="250"/>
      <c r="F503" s="252"/>
      <c r="G503" s="141"/>
      <c r="H503" s="41"/>
      <c r="I503" s="141"/>
      <c r="J503" s="254"/>
      <c r="K503" s="252"/>
    </row>
    <row r="504" ht="22.5" customHeight="1">
      <c r="A504" s="248"/>
      <c r="B504" s="249"/>
      <c r="C504" s="250"/>
      <c r="D504" s="251"/>
      <c r="E504" s="250"/>
      <c r="F504" s="252"/>
      <c r="G504" s="143"/>
      <c r="H504" s="37"/>
      <c r="I504" s="143"/>
      <c r="J504" s="253"/>
      <c r="K504" s="252"/>
    </row>
    <row r="505" ht="22.5" customHeight="1">
      <c r="A505" s="248"/>
      <c r="B505" s="249"/>
      <c r="C505" s="250"/>
      <c r="D505" s="251"/>
      <c r="E505" s="250"/>
      <c r="F505" s="252"/>
      <c r="G505" s="141"/>
      <c r="H505" s="41"/>
      <c r="I505" s="141"/>
      <c r="J505" s="254"/>
      <c r="K505" s="252"/>
    </row>
    <row r="506" ht="22.5" customHeight="1">
      <c r="A506" s="248"/>
      <c r="B506" s="249"/>
      <c r="C506" s="250"/>
      <c r="D506" s="251"/>
      <c r="E506" s="250"/>
      <c r="F506" s="252"/>
      <c r="G506" s="143"/>
      <c r="H506" s="37"/>
      <c r="I506" s="143"/>
      <c r="J506" s="253"/>
      <c r="K506" s="252"/>
    </row>
    <row r="507" ht="22.5" customHeight="1">
      <c r="A507" s="248"/>
      <c r="B507" s="249"/>
      <c r="C507" s="250"/>
      <c r="D507" s="251"/>
      <c r="E507" s="250"/>
      <c r="F507" s="252"/>
      <c r="G507" s="141"/>
      <c r="H507" s="41"/>
      <c r="I507" s="141"/>
      <c r="J507" s="254"/>
      <c r="K507" s="252"/>
    </row>
    <row r="508" ht="22.5" customHeight="1">
      <c r="A508" s="248"/>
      <c r="B508" s="249"/>
      <c r="C508" s="250"/>
      <c r="D508" s="251"/>
      <c r="E508" s="250"/>
      <c r="F508" s="252"/>
      <c r="G508" s="143"/>
      <c r="H508" s="37"/>
      <c r="I508" s="143"/>
      <c r="J508" s="253"/>
      <c r="K508" s="252"/>
    </row>
    <row r="509" ht="22.5" customHeight="1">
      <c r="A509" s="248"/>
      <c r="B509" s="249"/>
      <c r="C509" s="250"/>
      <c r="D509" s="251"/>
      <c r="E509" s="250"/>
      <c r="F509" s="252"/>
      <c r="G509" s="141"/>
      <c r="H509" s="41"/>
      <c r="I509" s="141"/>
      <c r="J509" s="254"/>
      <c r="K509" s="252"/>
    </row>
    <row r="510" ht="22.5" customHeight="1">
      <c r="A510" s="248"/>
      <c r="B510" s="249"/>
      <c r="C510" s="250"/>
      <c r="D510" s="251"/>
      <c r="E510" s="250"/>
      <c r="F510" s="252"/>
      <c r="G510" s="143"/>
      <c r="H510" s="37"/>
      <c r="I510" s="143"/>
      <c r="J510" s="253"/>
      <c r="K510" s="252"/>
    </row>
    <row r="511" ht="22.5" customHeight="1">
      <c r="A511" s="248"/>
      <c r="B511" s="249"/>
      <c r="C511" s="250"/>
      <c r="D511" s="251"/>
      <c r="E511" s="250"/>
      <c r="F511" s="252"/>
      <c r="G511" s="141"/>
      <c r="H511" s="41"/>
      <c r="I511" s="141"/>
      <c r="J511" s="254"/>
      <c r="K511" s="252"/>
    </row>
    <row r="512" ht="22.5" customHeight="1">
      <c r="A512" s="248"/>
      <c r="B512" s="249"/>
      <c r="C512" s="250"/>
      <c r="D512" s="251"/>
      <c r="E512" s="250"/>
      <c r="F512" s="252"/>
      <c r="G512" s="143"/>
      <c r="H512" s="37"/>
      <c r="I512" s="143"/>
      <c r="J512" s="253"/>
      <c r="K512" s="252"/>
    </row>
    <row r="513" ht="22.5" customHeight="1">
      <c r="A513" s="248"/>
      <c r="B513" s="249"/>
      <c r="C513" s="250"/>
      <c r="D513" s="251"/>
      <c r="E513" s="250"/>
      <c r="F513" s="252"/>
      <c r="G513" s="141"/>
      <c r="H513" s="41"/>
      <c r="I513" s="141"/>
      <c r="J513" s="254"/>
      <c r="K513" s="252"/>
    </row>
    <row r="514" ht="22.5" customHeight="1">
      <c r="A514" s="248"/>
      <c r="B514" s="249"/>
      <c r="C514" s="250"/>
      <c r="D514" s="251"/>
      <c r="E514" s="250"/>
      <c r="F514" s="252"/>
      <c r="G514" s="143"/>
      <c r="H514" s="37"/>
      <c r="I514" s="143"/>
      <c r="J514" s="253"/>
      <c r="K514" s="252"/>
    </row>
    <row r="515" ht="22.5" customHeight="1">
      <c r="A515" s="248"/>
      <c r="B515" s="249"/>
      <c r="C515" s="250"/>
      <c r="D515" s="251"/>
      <c r="E515" s="250"/>
      <c r="F515" s="252"/>
      <c r="G515" s="141"/>
      <c r="H515" s="41"/>
      <c r="I515" s="141"/>
      <c r="J515" s="254"/>
      <c r="K515" s="252"/>
    </row>
    <row r="516" ht="22.5" customHeight="1">
      <c r="A516" s="248"/>
      <c r="B516" s="249"/>
      <c r="C516" s="250"/>
      <c r="D516" s="251"/>
      <c r="E516" s="250"/>
      <c r="F516" s="252"/>
      <c r="G516" s="143"/>
      <c r="H516" s="37"/>
      <c r="I516" s="143"/>
      <c r="J516" s="253"/>
      <c r="K516" s="252"/>
    </row>
    <row r="517" ht="22.5" customHeight="1">
      <c r="A517" s="248"/>
      <c r="B517" s="249"/>
      <c r="C517" s="250"/>
      <c r="D517" s="251"/>
      <c r="E517" s="250"/>
      <c r="F517" s="252"/>
      <c r="G517" s="141"/>
      <c r="H517" s="41"/>
      <c r="I517" s="141"/>
      <c r="J517" s="254"/>
      <c r="K517" s="252"/>
    </row>
    <row r="518" ht="22.5" customHeight="1">
      <c r="A518" s="248"/>
      <c r="B518" s="249"/>
      <c r="C518" s="250"/>
      <c r="D518" s="251"/>
      <c r="E518" s="250"/>
      <c r="F518" s="252"/>
      <c r="G518" s="143"/>
      <c r="H518" s="37"/>
      <c r="I518" s="143"/>
      <c r="J518" s="253"/>
      <c r="K518" s="252"/>
    </row>
    <row r="519" ht="22.5" customHeight="1">
      <c r="A519" s="248"/>
      <c r="B519" s="249"/>
      <c r="C519" s="250"/>
      <c r="D519" s="251"/>
      <c r="E519" s="250"/>
      <c r="F519" s="252"/>
      <c r="G519" s="141"/>
      <c r="H519" s="41"/>
      <c r="I519" s="141"/>
      <c r="J519" s="254"/>
      <c r="K519" s="252"/>
    </row>
    <row r="520" ht="22.5" customHeight="1">
      <c r="A520" s="248"/>
      <c r="B520" s="249"/>
      <c r="C520" s="250"/>
      <c r="D520" s="251"/>
      <c r="E520" s="250"/>
      <c r="F520" s="252"/>
      <c r="G520" s="143"/>
      <c r="H520" s="37"/>
      <c r="I520" s="143"/>
      <c r="J520" s="253"/>
      <c r="K520" s="252"/>
    </row>
    <row r="521" ht="22.5" customHeight="1">
      <c r="A521" s="248"/>
      <c r="B521" s="249"/>
      <c r="C521" s="250"/>
      <c r="D521" s="251"/>
      <c r="E521" s="250"/>
      <c r="F521" s="252"/>
      <c r="G521" s="141"/>
      <c r="H521" s="41"/>
      <c r="I521" s="141"/>
      <c r="J521" s="254"/>
      <c r="K521" s="252"/>
    </row>
    <row r="522" ht="22.5" customHeight="1">
      <c r="A522" s="248"/>
      <c r="B522" s="249"/>
      <c r="C522" s="250"/>
      <c r="D522" s="251"/>
      <c r="E522" s="250"/>
      <c r="F522" s="252"/>
      <c r="G522" s="143"/>
      <c r="H522" s="37"/>
      <c r="I522" s="143"/>
      <c r="J522" s="253"/>
      <c r="K522" s="252"/>
    </row>
    <row r="523" ht="22.5" customHeight="1">
      <c r="A523" s="248"/>
      <c r="B523" s="249"/>
      <c r="C523" s="250"/>
      <c r="D523" s="251"/>
      <c r="E523" s="250"/>
      <c r="F523" s="252"/>
      <c r="G523" s="141"/>
      <c r="H523" s="41"/>
      <c r="I523" s="141"/>
      <c r="J523" s="254"/>
      <c r="K523" s="252"/>
    </row>
    <row r="524" ht="22.5" customHeight="1">
      <c r="A524" s="248"/>
      <c r="B524" s="249"/>
      <c r="C524" s="250"/>
      <c r="D524" s="251"/>
      <c r="E524" s="250"/>
      <c r="F524" s="252"/>
      <c r="G524" s="143"/>
      <c r="H524" s="37"/>
      <c r="I524" s="143"/>
      <c r="J524" s="253"/>
      <c r="K524" s="252"/>
    </row>
    <row r="525" ht="22.5" customHeight="1">
      <c r="A525" s="248"/>
      <c r="B525" s="249"/>
      <c r="C525" s="250"/>
      <c r="D525" s="251"/>
      <c r="E525" s="250"/>
      <c r="F525" s="252"/>
      <c r="G525" s="141"/>
      <c r="H525" s="41"/>
      <c r="I525" s="141"/>
      <c r="J525" s="254"/>
      <c r="K525" s="252"/>
    </row>
    <row r="526" ht="22.5" customHeight="1">
      <c r="A526" s="248"/>
      <c r="B526" s="249"/>
      <c r="C526" s="250"/>
      <c r="D526" s="251"/>
      <c r="E526" s="250"/>
      <c r="F526" s="252"/>
      <c r="G526" s="143"/>
      <c r="H526" s="37"/>
      <c r="I526" s="143"/>
      <c r="J526" s="253"/>
      <c r="K526" s="252"/>
    </row>
    <row r="527" ht="22.5" customHeight="1">
      <c r="A527" s="248"/>
      <c r="B527" s="249"/>
      <c r="C527" s="250"/>
      <c r="D527" s="251"/>
      <c r="E527" s="250"/>
      <c r="F527" s="252"/>
      <c r="G527" s="141"/>
      <c r="H527" s="41"/>
      <c r="I527" s="141"/>
      <c r="J527" s="254"/>
      <c r="K527" s="252"/>
    </row>
    <row r="528" ht="22.5" customHeight="1">
      <c r="A528" s="248"/>
      <c r="B528" s="249"/>
      <c r="C528" s="250"/>
      <c r="D528" s="251"/>
      <c r="E528" s="250"/>
      <c r="F528" s="252"/>
      <c r="G528" s="143"/>
      <c r="H528" s="37"/>
      <c r="I528" s="143"/>
      <c r="J528" s="253"/>
      <c r="K528" s="252"/>
    </row>
    <row r="529" ht="22.5" customHeight="1">
      <c r="A529" s="248"/>
      <c r="B529" s="249"/>
      <c r="C529" s="250"/>
      <c r="D529" s="251"/>
      <c r="E529" s="250"/>
      <c r="F529" s="252"/>
      <c r="G529" s="141"/>
      <c r="H529" s="41"/>
      <c r="I529" s="141"/>
      <c r="J529" s="254"/>
      <c r="K529" s="252"/>
    </row>
    <row r="530" ht="22.5" customHeight="1">
      <c r="A530" s="248"/>
      <c r="B530" s="249"/>
      <c r="C530" s="250"/>
      <c r="D530" s="251"/>
      <c r="E530" s="250"/>
      <c r="F530" s="252"/>
      <c r="G530" s="143"/>
      <c r="H530" s="37"/>
      <c r="I530" s="143"/>
      <c r="J530" s="253"/>
      <c r="K530" s="252"/>
    </row>
    <row r="531" ht="22.5" customHeight="1">
      <c r="A531" s="248"/>
      <c r="B531" s="249"/>
      <c r="C531" s="250"/>
      <c r="D531" s="251"/>
      <c r="E531" s="250"/>
      <c r="F531" s="252"/>
      <c r="G531" s="141"/>
      <c r="H531" s="41"/>
      <c r="I531" s="141"/>
      <c r="J531" s="254"/>
      <c r="K531" s="252"/>
    </row>
    <row r="532" ht="22.5" customHeight="1">
      <c r="A532" s="248"/>
      <c r="B532" s="249"/>
      <c r="C532" s="250"/>
      <c r="D532" s="251"/>
      <c r="E532" s="250"/>
      <c r="F532" s="252"/>
      <c r="G532" s="143"/>
      <c r="H532" s="37"/>
      <c r="I532" s="143"/>
      <c r="J532" s="253"/>
      <c r="K532" s="252"/>
    </row>
    <row r="533" ht="22.5" customHeight="1">
      <c r="A533" s="248"/>
      <c r="B533" s="249"/>
      <c r="C533" s="250"/>
      <c r="D533" s="251"/>
      <c r="E533" s="250"/>
      <c r="F533" s="252"/>
      <c r="G533" s="141"/>
      <c r="H533" s="41"/>
      <c r="I533" s="141"/>
      <c r="J533" s="254"/>
      <c r="K533" s="252"/>
    </row>
    <row r="534" ht="22.5" customHeight="1">
      <c r="A534" s="248"/>
      <c r="B534" s="249"/>
      <c r="C534" s="250"/>
      <c r="D534" s="251"/>
      <c r="E534" s="250"/>
      <c r="F534" s="252"/>
      <c r="G534" s="143"/>
      <c r="H534" s="37"/>
      <c r="I534" s="143"/>
      <c r="J534" s="253"/>
      <c r="K534" s="252"/>
    </row>
    <row r="535" ht="22.5" customHeight="1">
      <c r="A535" s="248"/>
      <c r="B535" s="249"/>
      <c r="C535" s="250"/>
      <c r="D535" s="251"/>
      <c r="E535" s="250"/>
      <c r="F535" s="252"/>
      <c r="G535" s="141"/>
      <c r="H535" s="41"/>
      <c r="I535" s="141"/>
      <c r="J535" s="254"/>
      <c r="K535" s="252"/>
    </row>
    <row r="536" ht="22.5" customHeight="1">
      <c r="A536" s="248"/>
      <c r="B536" s="249"/>
      <c r="C536" s="250"/>
      <c r="D536" s="251"/>
      <c r="E536" s="250"/>
      <c r="F536" s="252"/>
      <c r="G536" s="143"/>
      <c r="H536" s="37"/>
      <c r="I536" s="143"/>
      <c r="J536" s="253"/>
      <c r="K536" s="252"/>
    </row>
    <row r="537" ht="22.5" customHeight="1">
      <c r="A537" s="248"/>
      <c r="B537" s="249"/>
      <c r="C537" s="250"/>
      <c r="D537" s="251"/>
      <c r="E537" s="250"/>
      <c r="F537" s="252"/>
      <c r="G537" s="141"/>
      <c r="H537" s="41"/>
      <c r="I537" s="141"/>
      <c r="J537" s="254"/>
      <c r="K537" s="252"/>
    </row>
    <row r="538" ht="22.5" customHeight="1">
      <c r="A538" s="248"/>
      <c r="B538" s="249"/>
      <c r="C538" s="250"/>
      <c r="D538" s="251"/>
      <c r="E538" s="250"/>
      <c r="F538" s="252"/>
      <c r="G538" s="143"/>
      <c r="H538" s="37"/>
      <c r="I538" s="143"/>
      <c r="J538" s="253"/>
      <c r="K538" s="252"/>
    </row>
    <row r="539" ht="22.5" customHeight="1">
      <c r="A539" s="248"/>
      <c r="B539" s="249"/>
      <c r="C539" s="250"/>
      <c r="D539" s="251"/>
      <c r="E539" s="250"/>
      <c r="F539" s="252"/>
      <c r="G539" s="141"/>
      <c r="H539" s="41"/>
      <c r="I539" s="141"/>
      <c r="J539" s="254"/>
      <c r="K539" s="252"/>
    </row>
    <row r="540" ht="22.5" customHeight="1">
      <c r="A540" s="248"/>
      <c r="B540" s="249"/>
      <c r="C540" s="250"/>
      <c r="D540" s="251"/>
      <c r="E540" s="250"/>
      <c r="F540" s="252"/>
      <c r="G540" s="143"/>
      <c r="H540" s="37"/>
      <c r="I540" s="143"/>
      <c r="J540" s="253"/>
      <c r="K540" s="252"/>
    </row>
    <row r="541" ht="22.5" customHeight="1">
      <c r="A541" s="248"/>
      <c r="B541" s="249"/>
      <c r="C541" s="250"/>
      <c r="D541" s="251"/>
      <c r="E541" s="250"/>
      <c r="F541" s="252"/>
      <c r="G541" s="141"/>
      <c r="H541" s="41"/>
      <c r="I541" s="141"/>
      <c r="J541" s="254"/>
      <c r="K541" s="252"/>
    </row>
    <row r="542" ht="22.5" customHeight="1">
      <c r="A542" s="248"/>
      <c r="B542" s="249"/>
      <c r="C542" s="250"/>
      <c r="D542" s="251"/>
      <c r="E542" s="250"/>
      <c r="F542" s="252"/>
      <c r="G542" s="143"/>
      <c r="H542" s="37"/>
      <c r="I542" s="143"/>
      <c r="J542" s="253"/>
      <c r="K542" s="252"/>
    </row>
    <row r="543" ht="22.5" customHeight="1">
      <c r="A543" s="248"/>
      <c r="B543" s="249"/>
      <c r="C543" s="250"/>
      <c r="D543" s="251"/>
      <c r="E543" s="250"/>
      <c r="F543" s="252"/>
      <c r="G543" s="141"/>
      <c r="H543" s="41"/>
      <c r="I543" s="141"/>
      <c r="J543" s="254"/>
      <c r="K543" s="252"/>
    </row>
    <row r="544" ht="22.5" customHeight="1">
      <c r="A544" s="248"/>
      <c r="B544" s="249"/>
      <c r="C544" s="250"/>
      <c r="D544" s="251"/>
      <c r="E544" s="250"/>
      <c r="F544" s="252"/>
      <c r="G544" s="143"/>
      <c r="H544" s="37"/>
      <c r="I544" s="143"/>
      <c r="J544" s="253"/>
      <c r="K544" s="252"/>
    </row>
    <row r="545" ht="22.5" customHeight="1">
      <c r="A545" s="248"/>
      <c r="B545" s="249"/>
      <c r="C545" s="250"/>
      <c r="D545" s="251"/>
      <c r="E545" s="250"/>
      <c r="F545" s="252"/>
      <c r="G545" s="141"/>
      <c r="H545" s="41"/>
      <c r="I545" s="141"/>
      <c r="J545" s="254"/>
      <c r="K545" s="252"/>
    </row>
    <row r="546" ht="22.5" customHeight="1">
      <c r="A546" s="248"/>
      <c r="B546" s="249"/>
      <c r="C546" s="250"/>
      <c r="D546" s="251"/>
      <c r="E546" s="250"/>
      <c r="F546" s="252"/>
      <c r="G546" s="143"/>
      <c r="H546" s="37"/>
      <c r="I546" s="143"/>
      <c r="J546" s="253"/>
      <c r="K546" s="252"/>
    </row>
    <row r="547" ht="22.5" customHeight="1">
      <c r="A547" s="248"/>
      <c r="B547" s="249"/>
      <c r="C547" s="250"/>
      <c r="D547" s="251"/>
      <c r="E547" s="250"/>
      <c r="F547" s="252"/>
      <c r="G547" s="141"/>
      <c r="H547" s="41"/>
      <c r="I547" s="141"/>
      <c r="J547" s="254"/>
      <c r="K547" s="252"/>
    </row>
    <row r="548" ht="22.5" customHeight="1">
      <c r="A548" s="248"/>
      <c r="B548" s="249"/>
      <c r="C548" s="250"/>
      <c r="D548" s="251"/>
      <c r="E548" s="250"/>
      <c r="F548" s="252"/>
      <c r="G548" s="143"/>
      <c r="H548" s="37"/>
      <c r="I548" s="143"/>
      <c r="J548" s="253"/>
      <c r="K548" s="252"/>
    </row>
    <row r="549" ht="22.5" customHeight="1">
      <c r="A549" s="248"/>
      <c r="B549" s="249"/>
      <c r="C549" s="250"/>
      <c r="D549" s="251"/>
      <c r="E549" s="250"/>
      <c r="F549" s="252"/>
      <c r="G549" s="141"/>
      <c r="H549" s="41"/>
      <c r="I549" s="141"/>
      <c r="J549" s="254"/>
      <c r="K549" s="252"/>
    </row>
    <row r="550" ht="22.5" customHeight="1">
      <c r="A550" s="248"/>
      <c r="B550" s="249"/>
      <c r="C550" s="250"/>
      <c r="D550" s="251"/>
      <c r="E550" s="250"/>
      <c r="F550" s="252"/>
      <c r="G550" s="143"/>
      <c r="H550" s="37"/>
      <c r="I550" s="143"/>
      <c r="J550" s="253"/>
      <c r="K550" s="252"/>
    </row>
    <row r="551" ht="22.5" customHeight="1">
      <c r="A551" s="248"/>
      <c r="B551" s="249"/>
      <c r="C551" s="250"/>
      <c r="D551" s="251"/>
      <c r="E551" s="250"/>
      <c r="F551" s="252"/>
      <c r="G551" s="141"/>
      <c r="H551" s="41"/>
      <c r="I551" s="141"/>
      <c r="J551" s="254"/>
      <c r="K551" s="252"/>
    </row>
    <row r="552" ht="22.5" customHeight="1">
      <c r="A552" s="248"/>
      <c r="B552" s="249"/>
      <c r="C552" s="250"/>
      <c r="D552" s="251"/>
      <c r="E552" s="250"/>
      <c r="F552" s="252"/>
      <c r="G552" s="143"/>
      <c r="H552" s="37"/>
      <c r="I552" s="143"/>
      <c r="J552" s="253"/>
      <c r="K552" s="252"/>
    </row>
    <row r="553" ht="22.5" customHeight="1">
      <c r="A553" s="248"/>
      <c r="B553" s="249"/>
      <c r="C553" s="250"/>
      <c r="D553" s="251"/>
      <c r="E553" s="250"/>
      <c r="F553" s="252"/>
      <c r="G553" s="141"/>
      <c r="H553" s="41"/>
      <c r="I553" s="141"/>
      <c r="J553" s="254"/>
      <c r="K553" s="252"/>
    </row>
    <row r="554" ht="22.5" customHeight="1">
      <c r="A554" s="248"/>
      <c r="B554" s="249"/>
      <c r="C554" s="250"/>
      <c r="D554" s="251"/>
      <c r="E554" s="250"/>
      <c r="F554" s="252"/>
      <c r="G554" s="143"/>
      <c r="H554" s="37"/>
      <c r="I554" s="143"/>
      <c r="J554" s="253"/>
      <c r="K554" s="252"/>
    </row>
    <row r="555" ht="22.5" customHeight="1">
      <c r="A555" s="248"/>
      <c r="B555" s="249"/>
      <c r="C555" s="250"/>
      <c r="D555" s="251"/>
      <c r="E555" s="250"/>
      <c r="F555" s="252"/>
      <c r="G555" s="141"/>
      <c r="H555" s="41"/>
      <c r="I555" s="141"/>
      <c r="J555" s="254"/>
      <c r="K555" s="252"/>
    </row>
    <row r="556" ht="22.5" customHeight="1">
      <c r="A556" s="248"/>
      <c r="B556" s="249"/>
      <c r="C556" s="250"/>
      <c r="D556" s="251"/>
      <c r="E556" s="250"/>
      <c r="F556" s="252"/>
      <c r="G556" s="143"/>
      <c r="H556" s="37"/>
      <c r="I556" s="143"/>
      <c r="J556" s="253"/>
      <c r="K556" s="252"/>
    </row>
    <row r="557" ht="22.5" customHeight="1">
      <c r="A557" s="248"/>
      <c r="B557" s="249"/>
      <c r="C557" s="250"/>
      <c r="D557" s="251"/>
      <c r="E557" s="250"/>
      <c r="F557" s="252"/>
      <c r="G557" s="141"/>
      <c r="H557" s="41"/>
      <c r="I557" s="141"/>
      <c r="J557" s="254"/>
      <c r="K557" s="252"/>
    </row>
    <row r="558" ht="22.5" customHeight="1">
      <c r="A558" s="248"/>
      <c r="B558" s="249"/>
      <c r="C558" s="250"/>
      <c r="D558" s="251"/>
      <c r="E558" s="250"/>
      <c r="F558" s="252"/>
      <c r="G558" s="143"/>
      <c r="H558" s="37"/>
      <c r="I558" s="143"/>
      <c r="J558" s="253"/>
      <c r="K558" s="252"/>
    </row>
    <row r="559" ht="22.5" customHeight="1">
      <c r="A559" s="248"/>
      <c r="B559" s="249"/>
      <c r="C559" s="250"/>
      <c r="D559" s="251"/>
      <c r="E559" s="250"/>
      <c r="F559" s="252"/>
      <c r="G559" s="141"/>
      <c r="H559" s="41"/>
      <c r="I559" s="141"/>
      <c r="J559" s="254"/>
      <c r="K559" s="252"/>
    </row>
    <row r="560" ht="22.5" customHeight="1">
      <c r="A560" s="248"/>
      <c r="B560" s="249"/>
      <c r="C560" s="250"/>
      <c r="D560" s="251"/>
      <c r="E560" s="250"/>
      <c r="F560" s="252"/>
      <c r="G560" s="143"/>
      <c r="H560" s="37"/>
      <c r="I560" s="143"/>
      <c r="J560" s="253"/>
      <c r="K560" s="252"/>
    </row>
    <row r="561" ht="22.5" customHeight="1">
      <c r="A561" s="248"/>
      <c r="B561" s="249"/>
      <c r="C561" s="250"/>
      <c r="D561" s="251"/>
      <c r="E561" s="250"/>
      <c r="F561" s="252"/>
      <c r="G561" s="141"/>
      <c r="H561" s="41"/>
      <c r="I561" s="141"/>
      <c r="J561" s="254"/>
      <c r="K561" s="252"/>
    </row>
    <row r="562" ht="22.5" customHeight="1">
      <c r="A562" s="248"/>
      <c r="B562" s="249"/>
      <c r="C562" s="250"/>
      <c r="D562" s="251"/>
      <c r="E562" s="250"/>
      <c r="F562" s="252"/>
      <c r="G562" s="143"/>
      <c r="H562" s="37"/>
      <c r="I562" s="143"/>
      <c r="J562" s="253"/>
      <c r="K562" s="252"/>
    </row>
    <row r="563" ht="22.5" customHeight="1">
      <c r="A563" s="248"/>
      <c r="B563" s="249"/>
      <c r="C563" s="250"/>
      <c r="D563" s="251"/>
      <c r="E563" s="250"/>
      <c r="F563" s="252"/>
      <c r="G563" s="141"/>
      <c r="H563" s="41"/>
      <c r="I563" s="141"/>
      <c r="J563" s="254"/>
      <c r="K563" s="252"/>
    </row>
    <row r="564" ht="22.5" customHeight="1">
      <c r="A564" s="248"/>
      <c r="B564" s="249"/>
      <c r="C564" s="250"/>
      <c r="D564" s="251"/>
      <c r="E564" s="250"/>
      <c r="F564" s="252"/>
      <c r="G564" s="143"/>
      <c r="H564" s="37"/>
      <c r="I564" s="143"/>
      <c r="J564" s="253"/>
      <c r="K564" s="252"/>
    </row>
    <row r="565" ht="22.5" customHeight="1">
      <c r="A565" s="248"/>
      <c r="B565" s="249"/>
      <c r="C565" s="250"/>
      <c r="D565" s="251"/>
      <c r="E565" s="250"/>
      <c r="F565" s="252"/>
      <c r="G565" s="141"/>
      <c r="H565" s="41"/>
      <c r="I565" s="141"/>
      <c r="J565" s="254"/>
      <c r="K565" s="252"/>
    </row>
    <row r="566" ht="22.5" customHeight="1">
      <c r="A566" s="248"/>
      <c r="B566" s="249"/>
      <c r="C566" s="250"/>
      <c r="D566" s="251"/>
      <c r="E566" s="250"/>
      <c r="F566" s="252"/>
      <c r="G566" s="143"/>
      <c r="H566" s="37"/>
      <c r="I566" s="143"/>
      <c r="J566" s="253"/>
      <c r="K566" s="252"/>
    </row>
    <row r="567" ht="22.5" customHeight="1">
      <c r="A567" s="248"/>
      <c r="B567" s="249"/>
      <c r="C567" s="250"/>
      <c r="D567" s="251"/>
      <c r="E567" s="250"/>
      <c r="F567" s="252"/>
      <c r="G567" s="141"/>
      <c r="H567" s="41"/>
      <c r="I567" s="141"/>
      <c r="J567" s="254"/>
      <c r="K567" s="252"/>
    </row>
    <row r="568" ht="22.5" customHeight="1">
      <c r="A568" s="248"/>
      <c r="B568" s="249"/>
      <c r="C568" s="250"/>
      <c r="D568" s="251"/>
      <c r="E568" s="250"/>
      <c r="F568" s="252"/>
      <c r="G568" s="143"/>
      <c r="H568" s="37"/>
      <c r="I568" s="143"/>
      <c r="J568" s="253"/>
      <c r="K568" s="252"/>
    </row>
    <row r="569" ht="22.5" customHeight="1">
      <c r="A569" s="248"/>
      <c r="B569" s="249"/>
      <c r="C569" s="250"/>
      <c r="D569" s="251"/>
      <c r="E569" s="250"/>
      <c r="F569" s="252"/>
      <c r="G569" s="141"/>
      <c r="H569" s="41"/>
      <c r="I569" s="141"/>
      <c r="J569" s="254"/>
      <c r="K569" s="252"/>
    </row>
    <row r="570" ht="22.5" customHeight="1">
      <c r="A570" s="248"/>
      <c r="B570" s="249"/>
      <c r="C570" s="250"/>
      <c r="D570" s="251"/>
      <c r="E570" s="250"/>
      <c r="F570" s="252"/>
      <c r="G570" s="143"/>
      <c r="H570" s="37"/>
      <c r="I570" s="143"/>
      <c r="J570" s="253"/>
      <c r="K570" s="252"/>
    </row>
    <row r="571" ht="22.5" customHeight="1">
      <c r="A571" s="248"/>
      <c r="B571" s="249"/>
      <c r="C571" s="250"/>
      <c r="D571" s="251"/>
      <c r="E571" s="250"/>
      <c r="F571" s="252"/>
      <c r="G571" s="141"/>
      <c r="H571" s="41"/>
      <c r="I571" s="141"/>
      <c r="J571" s="254"/>
      <c r="K571" s="252"/>
    </row>
    <row r="572" ht="22.5" customHeight="1">
      <c r="A572" s="248"/>
      <c r="B572" s="249"/>
      <c r="C572" s="250"/>
      <c r="D572" s="251"/>
      <c r="E572" s="250"/>
      <c r="F572" s="252"/>
      <c r="G572" s="143"/>
      <c r="H572" s="37"/>
      <c r="I572" s="143"/>
      <c r="J572" s="253"/>
      <c r="K572" s="252"/>
    </row>
    <row r="573" ht="22.5" customHeight="1">
      <c r="A573" s="248"/>
      <c r="B573" s="249"/>
      <c r="C573" s="250"/>
      <c r="D573" s="251"/>
      <c r="E573" s="250"/>
      <c r="F573" s="252"/>
      <c r="G573" s="141"/>
      <c r="H573" s="41"/>
      <c r="I573" s="141"/>
      <c r="J573" s="254"/>
      <c r="K573" s="252"/>
    </row>
    <row r="574" ht="22.5" customHeight="1">
      <c r="A574" s="248"/>
      <c r="B574" s="249"/>
      <c r="C574" s="250"/>
      <c r="D574" s="251"/>
      <c r="E574" s="250"/>
      <c r="F574" s="252"/>
      <c r="G574" s="143"/>
      <c r="H574" s="37"/>
      <c r="I574" s="143"/>
      <c r="J574" s="253"/>
      <c r="K574" s="252"/>
    </row>
    <row r="575" ht="22.5" customHeight="1">
      <c r="A575" s="248"/>
      <c r="B575" s="249"/>
      <c r="C575" s="250"/>
      <c r="D575" s="251"/>
      <c r="E575" s="250"/>
      <c r="F575" s="252"/>
      <c r="G575" s="141"/>
      <c r="H575" s="41"/>
      <c r="I575" s="141"/>
      <c r="J575" s="254"/>
      <c r="K575" s="252"/>
    </row>
    <row r="576" ht="22.5" customHeight="1">
      <c r="A576" s="248"/>
      <c r="B576" s="249"/>
      <c r="C576" s="250"/>
      <c r="D576" s="251"/>
      <c r="E576" s="250"/>
      <c r="F576" s="252"/>
      <c r="G576" s="143"/>
      <c r="H576" s="37"/>
      <c r="I576" s="143"/>
      <c r="J576" s="253"/>
      <c r="K576" s="252"/>
    </row>
    <row r="577" ht="22.5" customHeight="1">
      <c r="A577" s="248"/>
      <c r="B577" s="249"/>
      <c r="C577" s="250"/>
      <c r="D577" s="251"/>
      <c r="E577" s="250"/>
      <c r="F577" s="252"/>
      <c r="G577" s="141"/>
      <c r="H577" s="41"/>
      <c r="I577" s="141"/>
      <c r="J577" s="254"/>
      <c r="K577" s="252"/>
    </row>
    <row r="578" ht="22.5" customHeight="1">
      <c r="A578" s="248"/>
      <c r="B578" s="249"/>
      <c r="C578" s="250"/>
      <c r="D578" s="251"/>
      <c r="E578" s="250"/>
      <c r="F578" s="252"/>
      <c r="G578" s="143"/>
      <c r="H578" s="37"/>
      <c r="I578" s="143"/>
      <c r="J578" s="253"/>
      <c r="K578" s="252"/>
    </row>
    <row r="579" ht="22.5" customHeight="1">
      <c r="A579" s="248"/>
      <c r="B579" s="249"/>
      <c r="C579" s="250"/>
      <c r="D579" s="251"/>
      <c r="E579" s="250"/>
      <c r="F579" s="252"/>
      <c r="G579" s="141"/>
      <c r="H579" s="41"/>
      <c r="I579" s="141"/>
      <c r="J579" s="254"/>
      <c r="K579" s="252"/>
    </row>
    <row r="580" ht="22.5" customHeight="1">
      <c r="A580" s="248"/>
      <c r="B580" s="249"/>
      <c r="C580" s="250"/>
      <c r="D580" s="251"/>
      <c r="E580" s="250"/>
      <c r="F580" s="252"/>
      <c r="G580" s="143"/>
      <c r="H580" s="37"/>
      <c r="I580" s="143"/>
      <c r="J580" s="253"/>
      <c r="K580" s="252"/>
    </row>
    <row r="581" ht="22.5" customHeight="1">
      <c r="A581" s="248"/>
      <c r="B581" s="249"/>
      <c r="C581" s="250"/>
      <c r="D581" s="251"/>
      <c r="E581" s="250"/>
      <c r="F581" s="252"/>
      <c r="G581" s="141"/>
      <c r="H581" s="41"/>
      <c r="I581" s="141"/>
      <c r="J581" s="254"/>
      <c r="K581" s="252"/>
    </row>
    <row r="582" ht="22.5" customHeight="1">
      <c r="A582" s="248"/>
      <c r="B582" s="249"/>
      <c r="C582" s="250"/>
      <c r="D582" s="251"/>
      <c r="E582" s="250"/>
      <c r="F582" s="252"/>
      <c r="G582" s="143"/>
      <c r="H582" s="37"/>
      <c r="I582" s="143"/>
      <c r="J582" s="253"/>
      <c r="K582" s="252"/>
    </row>
    <row r="583" ht="22.5" customHeight="1">
      <c r="A583" s="248"/>
      <c r="B583" s="249"/>
      <c r="C583" s="250"/>
      <c r="D583" s="251"/>
      <c r="E583" s="250"/>
      <c r="F583" s="252"/>
      <c r="G583" s="141"/>
      <c r="H583" s="41"/>
      <c r="I583" s="141"/>
      <c r="J583" s="254"/>
      <c r="K583" s="252"/>
    </row>
    <row r="584" ht="22.5" customHeight="1">
      <c r="A584" s="248"/>
      <c r="B584" s="249"/>
      <c r="C584" s="250"/>
      <c r="D584" s="251"/>
      <c r="E584" s="250"/>
      <c r="F584" s="252"/>
      <c r="G584" s="143"/>
      <c r="H584" s="37"/>
      <c r="I584" s="143"/>
      <c r="J584" s="253"/>
      <c r="K584" s="252"/>
    </row>
    <row r="585" ht="22.5" customHeight="1">
      <c r="A585" s="248"/>
      <c r="B585" s="249"/>
      <c r="C585" s="250"/>
      <c r="D585" s="251"/>
      <c r="E585" s="250"/>
      <c r="F585" s="252"/>
      <c r="G585" s="141"/>
      <c r="H585" s="41"/>
      <c r="I585" s="141"/>
      <c r="J585" s="254"/>
      <c r="K585" s="252"/>
    </row>
    <row r="586" ht="22.5" customHeight="1">
      <c r="A586" s="248"/>
      <c r="B586" s="249"/>
      <c r="C586" s="250"/>
      <c r="D586" s="251"/>
      <c r="E586" s="250"/>
      <c r="F586" s="252"/>
      <c r="G586" s="143"/>
      <c r="H586" s="37"/>
      <c r="I586" s="143"/>
      <c r="J586" s="253"/>
      <c r="K586" s="252"/>
    </row>
    <row r="587" ht="22.5" customHeight="1">
      <c r="A587" s="248"/>
      <c r="B587" s="249"/>
      <c r="C587" s="250"/>
      <c r="D587" s="251"/>
      <c r="E587" s="250"/>
      <c r="F587" s="252"/>
      <c r="G587" s="141"/>
      <c r="H587" s="41"/>
      <c r="I587" s="141"/>
      <c r="J587" s="254"/>
      <c r="K587" s="252"/>
    </row>
    <row r="588" ht="22.5" customHeight="1">
      <c r="A588" s="248"/>
      <c r="B588" s="249"/>
      <c r="C588" s="250"/>
      <c r="D588" s="251"/>
      <c r="E588" s="250"/>
      <c r="F588" s="252"/>
      <c r="G588" s="143"/>
      <c r="H588" s="37"/>
      <c r="I588" s="143"/>
      <c r="J588" s="253"/>
      <c r="K588" s="252"/>
    </row>
    <row r="589" ht="22.5" customHeight="1">
      <c r="A589" s="248"/>
      <c r="B589" s="249"/>
      <c r="C589" s="250"/>
      <c r="D589" s="251"/>
      <c r="E589" s="250"/>
      <c r="F589" s="252"/>
      <c r="G589" s="141"/>
      <c r="H589" s="41"/>
      <c r="I589" s="141"/>
      <c r="J589" s="254"/>
      <c r="K589" s="252"/>
    </row>
    <row r="590" ht="22.5" customHeight="1">
      <c r="A590" s="248"/>
      <c r="B590" s="249"/>
      <c r="C590" s="250"/>
      <c r="D590" s="251"/>
      <c r="E590" s="250"/>
      <c r="F590" s="252"/>
      <c r="G590" s="143"/>
      <c r="H590" s="37"/>
      <c r="I590" s="143"/>
      <c r="J590" s="253"/>
      <c r="K590" s="252"/>
    </row>
    <row r="591" ht="22.5" customHeight="1">
      <c r="A591" s="248"/>
      <c r="B591" s="249"/>
      <c r="C591" s="250"/>
      <c r="D591" s="251"/>
      <c r="E591" s="250"/>
      <c r="F591" s="252"/>
      <c r="G591" s="141"/>
      <c r="H591" s="41"/>
      <c r="I591" s="141"/>
      <c r="J591" s="254"/>
      <c r="K591" s="252"/>
    </row>
    <row r="592" ht="22.5" customHeight="1">
      <c r="A592" s="248"/>
      <c r="B592" s="249"/>
      <c r="C592" s="250"/>
      <c r="D592" s="251"/>
      <c r="E592" s="250"/>
      <c r="F592" s="252"/>
      <c r="G592" s="143"/>
      <c r="H592" s="37"/>
      <c r="I592" s="143"/>
      <c r="J592" s="253"/>
      <c r="K592" s="252"/>
    </row>
    <row r="593" ht="22.5" customHeight="1">
      <c r="A593" s="248"/>
      <c r="B593" s="249"/>
      <c r="C593" s="250"/>
      <c r="D593" s="251"/>
      <c r="E593" s="250"/>
      <c r="F593" s="252"/>
      <c r="G593" s="141"/>
      <c r="H593" s="41"/>
      <c r="I593" s="141"/>
      <c r="J593" s="254"/>
      <c r="K593" s="252"/>
    </row>
    <row r="594" ht="22.5" customHeight="1">
      <c r="A594" s="248"/>
      <c r="B594" s="249"/>
      <c r="C594" s="250"/>
      <c r="D594" s="251"/>
      <c r="E594" s="250"/>
      <c r="F594" s="252"/>
      <c r="G594" s="143"/>
      <c r="H594" s="37"/>
      <c r="I594" s="143"/>
      <c r="J594" s="253"/>
      <c r="K594" s="252"/>
    </row>
    <row r="595" ht="22.5" customHeight="1">
      <c r="A595" s="248"/>
      <c r="B595" s="249"/>
      <c r="C595" s="250"/>
      <c r="D595" s="251"/>
      <c r="E595" s="250"/>
      <c r="F595" s="252"/>
      <c r="G595" s="141"/>
      <c r="H595" s="41"/>
      <c r="I595" s="141"/>
      <c r="J595" s="254"/>
      <c r="K595" s="252"/>
    </row>
    <row r="596" ht="22.5" customHeight="1">
      <c r="A596" s="248"/>
      <c r="B596" s="249"/>
      <c r="C596" s="250"/>
      <c r="D596" s="251"/>
      <c r="E596" s="250"/>
      <c r="F596" s="252"/>
      <c r="G596" s="143"/>
      <c r="H596" s="37"/>
      <c r="I596" s="143"/>
      <c r="J596" s="253"/>
      <c r="K596" s="252"/>
    </row>
    <row r="597" ht="22.5" customHeight="1">
      <c r="A597" s="248"/>
      <c r="B597" s="249"/>
      <c r="C597" s="250"/>
      <c r="D597" s="251"/>
      <c r="E597" s="250"/>
      <c r="F597" s="252"/>
      <c r="G597" s="141"/>
      <c r="H597" s="41"/>
      <c r="I597" s="141"/>
      <c r="J597" s="254"/>
      <c r="K597" s="252"/>
    </row>
    <row r="598" ht="22.5" customHeight="1">
      <c r="A598" s="248"/>
      <c r="B598" s="249"/>
      <c r="C598" s="250"/>
      <c r="D598" s="251"/>
      <c r="E598" s="250"/>
      <c r="F598" s="252"/>
      <c r="G598" s="143"/>
      <c r="H598" s="37"/>
      <c r="I598" s="143"/>
      <c r="J598" s="253"/>
      <c r="K598" s="252"/>
    </row>
    <row r="599" ht="22.5" customHeight="1">
      <c r="A599" s="248"/>
      <c r="B599" s="249"/>
      <c r="C599" s="250"/>
      <c r="D599" s="251"/>
      <c r="E599" s="250"/>
      <c r="F599" s="252"/>
      <c r="G599" s="141"/>
      <c r="H599" s="41"/>
      <c r="I599" s="141"/>
      <c r="J599" s="254"/>
      <c r="K599" s="252"/>
    </row>
    <row r="600" ht="22.5" customHeight="1">
      <c r="A600" s="248"/>
      <c r="B600" s="249"/>
      <c r="C600" s="250"/>
      <c r="D600" s="251"/>
      <c r="E600" s="250"/>
      <c r="F600" s="252"/>
      <c r="G600" s="143"/>
      <c r="H600" s="37"/>
      <c r="I600" s="143"/>
      <c r="J600" s="253"/>
      <c r="K600" s="252"/>
    </row>
    <row r="601" ht="22.5" customHeight="1">
      <c r="A601" s="248"/>
      <c r="B601" s="249"/>
      <c r="C601" s="250"/>
      <c r="D601" s="251"/>
      <c r="E601" s="250"/>
      <c r="F601" s="252"/>
      <c r="G601" s="141"/>
      <c r="H601" s="41"/>
      <c r="I601" s="141"/>
      <c r="J601" s="254"/>
      <c r="K601" s="252"/>
    </row>
    <row r="602" ht="22.5" customHeight="1">
      <c r="A602" s="248"/>
      <c r="B602" s="249"/>
      <c r="C602" s="250"/>
      <c r="D602" s="251"/>
      <c r="E602" s="250"/>
      <c r="F602" s="252"/>
      <c r="G602" s="143"/>
      <c r="H602" s="37"/>
      <c r="I602" s="143"/>
      <c r="J602" s="253"/>
      <c r="K602" s="252"/>
    </row>
    <row r="603" ht="22.5" customHeight="1">
      <c r="A603" s="248"/>
      <c r="B603" s="249"/>
      <c r="C603" s="250"/>
      <c r="D603" s="251"/>
      <c r="E603" s="250"/>
      <c r="F603" s="252"/>
      <c r="G603" s="141"/>
      <c r="H603" s="41"/>
      <c r="I603" s="141"/>
      <c r="J603" s="254"/>
      <c r="K603" s="252"/>
    </row>
    <row r="604" ht="22.5" customHeight="1">
      <c r="A604" s="248"/>
      <c r="B604" s="249"/>
      <c r="C604" s="250"/>
      <c r="D604" s="251"/>
      <c r="E604" s="250"/>
      <c r="F604" s="252"/>
      <c r="G604" s="143"/>
      <c r="H604" s="37"/>
      <c r="I604" s="143"/>
      <c r="J604" s="253"/>
      <c r="K604" s="252"/>
    </row>
    <row r="605" ht="22.5" customHeight="1">
      <c r="A605" s="248"/>
      <c r="B605" s="249"/>
      <c r="C605" s="250"/>
      <c r="D605" s="251"/>
      <c r="E605" s="250"/>
      <c r="F605" s="252"/>
      <c r="G605" s="141"/>
      <c r="H605" s="41"/>
      <c r="I605" s="141"/>
      <c r="J605" s="254"/>
      <c r="K605" s="252"/>
    </row>
    <row r="606" ht="22.5" customHeight="1">
      <c r="A606" s="248"/>
      <c r="B606" s="249"/>
      <c r="C606" s="250"/>
      <c r="D606" s="251"/>
      <c r="E606" s="250"/>
      <c r="F606" s="252"/>
      <c r="G606" s="143"/>
      <c r="H606" s="37"/>
      <c r="I606" s="143"/>
      <c r="J606" s="253"/>
      <c r="K606" s="252"/>
    </row>
    <row r="607" ht="22.5" customHeight="1">
      <c r="A607" s="248"/>
      <c r="B607" s="249"/>
      <c r="C607" s="250"/>
      <c r="D607" s="251"/>
      <c r="E607" s="250"/>
      <c r="F607" s="252"/>
      <c r="G607" s="141"/>
      <c r="H607" s="41"/>
      <c r="I607" s="141"/>
      <c r="J607" s="254"/>
      <c r="K607" s="252"/>
    </row>
    <row r="608" ht="22.5" customHeight="1">
      <c r="A608" s="248"/>
      <c r="B608" s="249"/>
      <c r="C608" s="250"/>
      <c r="D608" s="251"/>
      <c r="E608" s="250"/>
      <c r="F608" s="252"/>
      <c r="G608" s="143"/>
      <c r="H608" s="37"/>
      <c r="I608" s="143"/>
      <c r="J608" s="253"/>
      <c r="K608" s="252"/>
    </row>
    <row r="609" ht="22.5" customHeight="1">
      <c r="A609" s="248"/>
      <c r="B609" s="249"/>
      <c r="C609" s="250"/>
      <c r="D609" s="251"/>
      <c r="E609" s="250"/>
      <c r="F609" s="252"/>
      <c r="G609" s="141"/>
      <c r="H609" s="41"/>
      <c r="I609" s="141"/>
      <c r="J609" s="254"/>
      <c r="K609" s="252"/>
    </row>
    <row r="610" ht="22.5" customHeight="1">
      <c r="A610" s="248"/>
      <c r="B610" s="249"/>
      <c r="C610" s="250"/>
      <c r="D610" s="251"/>
      <c r="E610" s="250"/>
      <c r="F610" s="252"/>
      <c r="G610" s="143"/>
      <c r="H610" s="37"/>
      <c r="I610" s="143"/>
      <c r="J610" s="253"/>
      <c r="K610" s="252"/>
    </row>
    <row r="611" ht="22.5" customHeight="1">
      <c r="A611" s="248"/>
      <c r="B611" s="249"/>
      <c r="C611" s="250"/>
      <c r="D611" s="251"/>
      <c r="E611" s="250"/>
      <c r="F611" s="252"/>
      <c r="G611" s="141"/>
      <c r="H611" s="41"/>
      <c r="I611" s="141"/>
      <c r="J611" s="254"/>
      <c r="K611" s="252"/>
    </row>
    <row r="612" ht="22.5" customHeight="1">
      <c r="A612" s="248"/>
      <c r="B612" s="249"/>
      <c r="C612" s="250"/>
      <c r="D612" s="251"/>
      <c r="E612" s="250"/>
      <c r="F612" s="252"/>
      <c r="G612" s="143"/>
      <c r="H612" s="37"/>
      <c r="I612" s="143"/>
      <c r="J612" s="253"/>
      <c r="K612" s="252"/>
    </row>
    <row r="613" ht="22.5" customHeight="1">
      <c r="A613" s="248"/>
      <c r="B613" s="249"/>
      <c r="C613" s="250"/>
      <c r="D613" s="251"/>
      <c r="E613" s="250"/>
      <c r="F613" s="252"/>
      <c r="G613" s="141"/>
      <c r="H613" s="41"/>
      <c r="I613" s="141"/>
      <c r="J613" s="254"/>
      <c r="K613" s="252"/>
    </row>
    <row r="614" ht="22.5" customHeight="1">
      <c r="A614" s="248"/>
      <c r="B614" s="249"/>
      <c r="C614" s="250"/>
      <c r="D614" s="251"/>
      <c r="E614" s="250"/>
      <c r="F614" s="252"/>
      <c r="G614" s="143"/>
      <c r="H614" s="37"/>
      <c r="I614" s="143"/>
      <c r="J614" s="253"/>
      <c r="K614" s="252"/>
    </row>
    <row r="615" ht="22.5" customHeight="1">
      <c r="A615" s="248"/>
      <c r="B615" s="249"/>
      <c r="C615" s="250"/>
      <c r="D615" s="251"/>
      <c r="E615" s="250"/>
      <c r="F615" s="252"/>
      <c r="G615" s="141"/>
      <c r="H615" s="41"/>
      <c r="I615" s="141"/>
      <c r="J615" s="254"/>
      <c r="K615" s="252"/>
    </row>
    <row r="616" ht="22.5" customHeight="1">
      <c r="A616" s="248"/>
      <c r="B616" s="249"/>
      <c r="C616" s="250"/>
      <c r="D616" s="251"/>
      <c r="E616" s="250"/>
      <c r="F616" s="252"/>
      <c r="G616" s="143"/>
      <c r="H616" s="37"/>
      <c r="I616" s="143"/>
      <c r="J616" s="253"/>
      <c r="K616" s="252"/>
    </row>
    <row r="617" ht="22.5" customHeight="1">
      <c r="A617" s="248"/>
      <c r="B617" s="249"/>
      <c r="C617" s="250"/>
      <c r="D617" s="251"/>
      <c r="E617" s="250"/>
      <c r="F617" s="252"/>
      <c r="G617" s="141"/>
      <c r="H617" s="41"/>
      <c r="I617" s="141"/>
      <c r="J617" s="254"/>
      <c r="K617" s="252"/>
    </row>
    <row r="618" ht="22.5" customHeight="1">
      <c r="A618" s="248"/>
      <c r="B618" s="249"/>
      <c r="C618" s="250"/>
      <c r="D618" s="251"/>
      <c r="E618" s="250"/>
      <c r="F618" s="252"/>
      <c r="G618" s="143"/>
      <c r="H618" s="37"/>
      <c r="I618" s="143"/>
      <c r="J618" s="253"/>
      <c r="K618" s="252"/>
    </row>
    <row r="619" ht="22.5" customHeight="1">
      <c r="A619" s="248"/>
      <c r="B619" s="249"/>
      <c r="C619" s="250"/>
      <c r="D619" s="251"/>
      <c r="E619" s="250"/>
      <c r="F619" s="252"/>
      <c r="G619" s="141"/>
      <c r="H619" s="41"/>
      <c r="I619" s="141"/>
      <c r="J619" s="254"/>
      <c r="K619" s="252"/>
    </row>
    <row r="620" ht="22.5" customHeight="1">
      <c r="A620" s="248"/>
      <c r="B620" s="249"/>
      <c r="C620" s="250"/>
      <c r="D620" s="251"/>
      <c r="E620" s="250"/>
      <c r="F620" s="252"/>
      <c r="G620" s="143"/>
      <c r="H620" s="37"/>
      <c r="I620" s="143"/>
      <c r="J620" s="253"/>
      <c r="K620" s="252"/>
    </row>
    <row r="621" ht="22.5" customHeight="1">
      <c r="A621" s="248"/>
      <c r="B621" s="249"/>
      <c r="C621" s="250"/>
      <c r="D621" s="251"/>
      <c r="E621" s="250"/>
      <c r="F621" s="252"/>
      <c r="G621" s="141"/>
      <c r="H621" s="41"/>
      <c r="I621" s="141"/>
      <c r="J621" s="254"/>
      <c r="K621" s="252"/>
    </row>
    <row r="622" ht="22.5" customHeight="1">
      <c r="A622" s="248"/>
      <c r="B622" s="249"/>
      <c r="C622" s="250"/>
      <c r="D622" s="251"/>
      <c r="E622" s="250"/>
      <c r="F622" s="252"/>
      <c r="G622" s="143"/>
      <c r="H622" s="37"/>
      <c r="I622" s="143"/>
      <c r="J622" s="253"/>
      <c r="K622" s="252"/>
    </row>
    <row r="623" ht="22.5" customHeight="1">
      <c r="A623" s="248"/>
      <c r="B623" s="249"/>
      <c r="C623" s="250"/>
      <c r="D623" s="251"/>
      <c r="E623" s="250"/>
      <c r="F623" s="252"/>
      <c r="G623" s="141"/>
      <c r="H623" s="41"/>
      <c r="I623" s="141"/>
      <c r="J623" s="254"/>
      <c r="K623" s="252"/>
    </row>
    <row r="624" ht="22.5" customHeight="1">
      <c r="A624" s="248"/>
      <c r="B624" s="249"/>
      <c r="C624" s="250"/>
      <c r="D624" s="251"/>
      <c r="E624" s="250"/>
      <c r="F624" s="252"/>
      <c r="G624" s="143"/>
      <c r="H624" s="37"/>
      <c r="I624" s="143"/>
      <c r="J624" s="253"/>
      <c r="K624" s="252"/>
    </row>
    <row r="625" ht="22.5" customHeight="1">
      <c r="A625" s="248"/>
      <c r="B625" s="249"/>
      <c r="C625" s="250"/>
      <c r="D625" s="251"/>
      <c r="E625" s="250"/>
      <c r="F625" s="252"/>
      <c r="G625" s="141"/>
      <c r="H625" s="41"/>
      <c r="I625" s="141"/>
      <c r="J625" s="254"/>
      <c r="K625" s="252"/>
    </row>
    <row r="626" ht="22.5" customHeight="1">
      <c r="A626" s="248"/>
      <c r="B626" s="249"/>
      <c r="C626" s="250"/>
      <c r="D626" s="251"/>
      <c r="E626" s="250"/>
      <c r="F626" s="252"/>
      <c r="G626" s="143"/>
      <c r="H626" s="37"/>
      <c r="I626" s="143"/>
      <c r="J626" s="253"/>
      <c r="K626" s="252"/>
    </row>
    <row r="627" ht="22.5" customHeight="1">
      <c r="A627" s="248"/>
      <c r="B627" s="249"/>
      <c r="C627" s="250"/>
      <c r="D627" s="251"/>
      <c r="E627" s="250"/>
      <c r="F627" s="252"/>
      <c r="G627" s="141"/>
      <c r="H627" s="41"/>
      <c r="I627" s="141"/>
      <c r="J627" s="254"/>
      <c r="K627" s="252"/>
    </row>
    <row r="628" ht="22.5" customHeight="1">
      <c r="A628" s="248"/>
      <c r="B628" s="249"/>
      <c r="C628" s="250"/>
      <c r="D628" s="251"/>
      <c r="E628" s="250"/>
      <c r="F628" s="252"/>
      <c r="G628" s="143"/>
      <c r="H628" s="37"/>
      <c r="I628" s="143"/>
      <c r="J628" s="253"/>
      <c r="K628" s="252"/>
    </row>
    <row r="629" ht="22.5" customHeight="1">
      <c r="A629" s="248"/>
      <c r="B629" s="249"/>
      <c r="C629" s="250"/>
      <c r="D629" s="251"/>
      <c r="E629" s="250"/>
      <c r="F629" s="252"/>
      <c r="G629" s="141"/>
      <c r="H629" s="41"/>
      <c r="I629" s="141"/>
      <c r="J629" s="254"/>
      <c r="K629" s="252"/>
    </row>
    <row r="630" ht="22.5" customHeight="1">
      <c r="A630" s="248"/>
      <c r="B630" s="249"/>
      <c r="C630" s="250"/>
      <c r="D630" s="251"/>
      <c r="E630" s="250"/>
      <c r="F630" s="252"/>
      <c r="G630" s="143"/>
      <c r="H630" s="37"/>
      <c r="I630" s="143"/>
      <c r="J630" s="253"/>
      <c r="K630" s="252"/>
    </row>
    <row r="631" ht="22.5" customHeight="1">
      <c r="A631" s="248"/>
      <c r="B631" s="249"/>
      <c r="C631" s="250"/>
      <c r="D631" s="251"/>
      <c r="E631" s="250"/>
      <c r="F631" s="252"/>
      <c r="G631" s="141"/>
      <c r="H631" s="41"/>
      <c r="I631" s="141"/>
      <c r="J631" s="254"/>
      <c r="K631" s="252"/>
    </row>
    <row r="632" ht="22.5" customHeight="1">
      <c r="A632" s="248"/>
      <c r="B632" s="249"/>
      <c r="C632" s="250"/>
      <c r="D632" s="251"/>
      <c r="E632" s="250"/>
      <c r="F632" s="252"/>
      <c r="G632" s="143"/>
      <c r="H632" s="37"/>
      <c r="I632" s="143"/>
      <c r="J632" s="253"/>
      <c r="K632" s="252"/>
    </row>
    <row r="633" ht="22.5" customHeight="1">
      <c r="A633" s="248"/>
      <c r="B633" s="249"/>
      <c r="C633" s="250"/>
      <c r="D633" s="251"/>
      <c r="E633" s="250"/>
      <c r="F633" s="252"/>
      <c r="G633" s="141"/>
      <c r="H633" s="41"/>
      <c r="I633" s="141"/>
      <c r="J633" s="254"/>
      <c r="K633" s="252"/>
    </row>
    <row r="634" ht="22.5" customHeight="1">
      <c r="A634" s="248"/>
      <c r="B634" s="249"/>
      <c r="C634" s="250"/>
      <c r="D634" s="251"/>
      <c r="E634" s="250"/>
      <c r="F634" s="252"/>
      <c r="G634" s="143"/>
      <c r="H634" s="37"/>
      <c r="I634" s="143"/>
      <c r="J634" s="253"/>
      <c r="K634" s="252"/>
    </row>
    <row r="635" ht="22.5" customHeight="1">
      <c r="A635" s="248"/>
      <c r="B635" s="249"/>
      <c r="C635" s="250"/>
      <c r="D635" s="251"/>
      <c r="E635" s="250"/>
      <c r="F635" s="252"/>
      <c r="G635" s="141"/>
      <c r="H635" s="41"/>
      <c r="I635" s="141"/>
      <c r="J635" s="254"/>
      <c r="K635" s="252"/>
    </row>
    <row r="636" ht="22.5" customHeight="1">
      <c r="A636" s="248"/>
      <c r="B636" s="249"/>
      <c r="C636" s="250"/>
      <c r="D636" s="251"/>
      <c r="E636" s="250"/>
      <c r="F636" s="252"/>
      <c r="G636" s="143"/>
      <c r="H636" s="37"/>
      <c r="I636" s="143"/>
      <c r="J636" s="253"/>
      <c r="K636" s="252"/>
    </row>
    <row r="637" ht="22.5" customHeight="1">
      <c r="A637" s="248"/>
      <c r="B637" s="249"/>
      <c r="C637" s="250"/>
      <c r="D637" s="251"/>
      <c r="E637" s="250"/>
      <c r="F637" s="252"/>
      <c r="G637" s="141"/>
      <c r="H637" s="41"/>
      <c r="I637" s="141"/>
      <c r="J637" s="254"/>
      <c r="K637" s="252"/>
    </row>
    <row r="638" ht="22.5" customHeight="1">
      <c r="A638" s="248"/>
      <c r="B638" s="249"/>
      <c r="C638" s="250"/>
      <c r="D638" s="251"/>
      <c r="E638" s="250"/>
      <c r="F638" s="252"/>
      <c r="G638" s="143"/>
      <c r="H638" s="37"/>
      <c r="I638" s="143"/>
      <c r="J638" s="253"/>
      <c r="K638" s="252"/>
    </row>
    <row r="639" ht="22.5" customHeight="1">
      <c r="A639" s="248"/>
      <c r="B639" s="249"/>
      <c r="C639" s="250"/>
      <c r="D639" s="251"/>
      <c r="E639" s="250"/>
      <c r="F639" s="252"/>
      <c r="G639" s="141"/>
      <c r="H639" s="41"/>
      <c r="I639" s="141"/>
      <c r="J639" s="254"/>
      <c r="K639" s="252"/>
    </row>
    <row r="640" ht="22.5" customHeight="1">
      <c r="A640" s="248"/>
      <c r="B640" s="249"/>
      <c r="C640" s="250"/>
      <c r="D640" s="251"/>
      <c r="E640" s="250"/>
      <c r="F640" s="252"/>
      <c r="G640" s="143"/>
      <c r="H640" s="37"/>
      <c r="I640" s="143"/>
      <c r="J640" s="253"/>
      <c r="K640" s="252"/>
    </row>
    <row r="641" ht="22.5" customHeight="1">
      <c r="A641" s="248"/>
      <c r="B641" s="249"/>
      <c r="C641" s="250"/>
      <c r="D641" s="251"/>
      <c r="E641" s="250"/>
      <c r="F641" s="252"/>
      <c r="G641" s="141"/>
      <c r="H641" s="41"/>
      <c r="I641" s="141"/>
      <c r="J641" s="254"/>
      <c r="K641" s="252"/>
    </row>
    <row r="642" ht="22.5" customHeight="1">
      <c r="A642" s="248"/>
      <c r="B642" s="249"/>
      <c r="C642" s="250"/>
      <c r="D642" s="251"/>
      <c r="E642" s="250"/>
      <c r="F642" s="252"/>
      <c r="G642" s="143"/>
      <c r="H642" s="37"/>
      <c r="I642" s="143"/>
      <c r="J642" s="253"/>
      <c r="K642" s="252"/>
    </row>
    <row r="643" ht="22.5" customHeight="1">
      <c r="A643" s="248"/>
      <c r="B643" s="249"/>
      <c r="C643" s="250"/>
      <c r="D643" s="251"/>
      <c r="E643" s="250"/>
      <c r="F643" s="252"/>
      <c r="G643" s="141"/>
      <c r="H643" s="41"/>
      <c r="I643" s="141"/>
      <c r="J643" s="254"/>
      <c r="K643" s="252"/>
    </row>
    <row r="644" ht="22.5" customHeight="1">
      <c r="A644" s="248"/>
      <c r="B644" s="249"/>
      <c r="C644" s="250"/>
      <c r="D644" s="251"/>
      <c r="E644" s="250"/>
      <c r="F644" s="252"/>
      <c r="G644" s="143"/>
      <c r="H644" s="37"/>
      <c r="I644" s="143"/>
      <c r="J644" s="253"/>
      <c r="K644" s="252"/>
    </row>
    <row r="645" ht="22.5" customHeight="1">
      <c r="A645" s="248"/>
      <c r="B645" s="249"/>
      <c r="C645" s="250"/>
      <c r="D645" s="251"/>
      <c r="E645" s="250"/>
      <c r="F645" s="252"/>
      <c r="G645" s="141"/>
      <c r="H645" s="41"/>
      <c r="I645" s="141"/>
      <c r="J645" s="254"/>
      <c r="K645" s="252"/>
    </row>
    <row r="646" ht="22.5" customHeight="1">
      <c r="A646" s="248"/>
      <c r="B646" s="249"/>
      <c r="C646" s="250"/>
      <c r="D646" s="251"/>
      <c r="E646" s="250"/>
      <c r="F646" s="252"/>
      <c r="G646" s="143"/>
      <c r="H646" s="37"/>
      <c r="I646" s="143"/>
      <c r="J646" s="253"/>
      <c r="K646" s="252"/>
    </row>
    <row r="647" ht="22.5" customHeight="1">
      <c r="A647" s="248"/>
      <c r="B647" s="249"/>
      <c r="C647" s="250"/>
      <c r="D647" s="251"/>
      <c r="E647" s="250"/>
      <c r="F647" s="252"/>
      <c r="G647" s="141"/>
      <c r="H647" s="41"/>
      <c r="I647" s="141"/>
      <c r="J647" s="254"/>
      <c r="K647" s="252"/>
    </row>
    <row r="648" ht="22.5" customHeight="1">
      <c r="A648" s="248"/>
      <c r="B648" s="249"/>
      <c r="C648" s="250"/>
      <c r="D648" s="251"/>
      <c r="E648" s="250"/>
      <c r="F648" s="252"/>
      <c r="G648" s="143"/>
      <c r="H648" s="37"/>
      <c r="I648" s="143"/>
      <c r="J648" s="253"/>
      <c r="K648" s="252"/>
    </row>
    <row r="649" ht="22.5" customHeight="1">
      <c r="A649" s="248"/>
      <c r="B649" s="249"/>
      <c r="C649" s="250"/>
      <c r="D649" s="251"/>
      <c r="E649" s="250"/>
      <c r="F649" s="252"/>
      <c r="G649" s="141"/>
      <c r="H649" s="41"/>
      <c r="I649" s="141"/>
      <c r="J649" s="254"/>
      <c r="K649" s="252"/>
    </row>
    <row r="650" ht="22.5" customHeight="1">
      <c r="A650" s="248"/>
      <c r="B650" s="249"/>
      <c r="C650" s="250"/>
      <c r="D650" s="251"/>
      <c r="E650" s="250"/>
      <c r="F650" s="252"/>
      <c r="G650" s="143"/>
      <c r="H650" s="37"/>
      <c r="I650" s="143"/>
      <c r="J650" s="253"/>
      <c r="K650" s="252"/>
    </row>
    <row r="651" ht="22.5" customHeight="1">
      <c r="A651" s="248"/>
      <c r="B651" s="249"/>
      <c r="C651" s="250"/>
      <c r="D651" s="251"/>
      <c r="E651" s="250"/>
      <c r="F651" s="252"/>
      <c r="G651" s="141"/>
      <c r="H651" s="41"/>
      <c r="I651" s="141"/>
      <c r="J651" s="254"/>
      <c r="K651" s="252"/>
    </row>
    <row r="652" ht="22.5" customHeight="1">
      <c r="A652" s="248"/>
      <c r="B652" s="249"/>
      <c r="C652" s="250"/>
      <c r="D652" s="251"/>
      <c r="E652" s="250"/>
      <c r="F652" s="252"/>
      <c r="G652" s="143"/>
      <c r="H652" s="37"/>
      <c r="I652" s="143"/>
      <c r="J652" s="253"/>
      <c r="K652" s="252"/>
    </row>
    <row r="653" ht="22.5" customHeight="1">
      <c r="A653" s="248"/>
      <c r="B653" s="249"/>
      <c r="C653" s="250"/>
      <c r="D653" s="251"/>
      <c r="E653" s="250"/>
      <c r="F653" s="252"/>
      <c r="G653" s="141"/>
      <c r="H653" s="41"/>
      <c r="I653" s="141"/>
      <c r="J653" s="254"/>
      <c r="K653" s="252"/>
    </row>
    <row r="654" ht="22.5" customHeight="1">
      <c r="A654" s="248"/>
      <c r="B654" s="249"/>
      <c r="C654" s="250"/>
      <c r="D654" s="251"/>
      <c r="E654" s="250"/>
      <c r="F654" s="252"/>
      <c r="G654" s="143"/>
      <c r="H654" s="37"/>
      <c r="I654" s="143"/>
      <c r="J654" s="253"/>
      <c r="K654" s="252"/>
    </row>
    <row r="655" ht="22.5" customHeight="1">
      <c r="A655" s="248"/>
      <c r="B655" s="249"/>
      <c r="C655" s="250"/>
      <c r="D655" s="251"/>
      <c r="E655" s="250"/>
      <c r="F655" s="252"/>
      <c r="G655" s="141"/>
      <c r="H655" s="41"/>
      <c r="I655" s="141"/>
      <c r="J655" s="254"/>
      <c r="K655" s="252"/>
    </row>
    <row r="656" ht="22.5" customHeight="1">
      <c r="A656" s="248"/>
      <c r="B656" s="249"/>
      <c r="C656" s="250"/>
      <c r="D656" s="251"/>
      <c r="E656" s="250"/>
      <c r="F656" s="252"/>
      <c r="G656" s="143"/>
      <c r="H656" s="37"/>
      <c r="I656" s="143"/>
      <c r="J656" s="253"/>
      <c r="K656" s="252"/>
    </row>
    <row r="657" ht="22.5" customHeight="1">
      <c r="A657" s="248"/>
      <c r="B657" s="249"/>
      <c r="C657" s="250"/>
      <c r="D657" s="251"/>
      <c r="E657" s="250"/>
      <c r="F657" s="252"/>
      <c r="G657" s="141"/>
      <c r="H657" s="41"/>
      <c r="I657" s="141"/>
      <c r="J657" s="254"/>
      <c r="K657" s="252"/>
    </row>
    <row r="658" ht="22.5" customHeight="1">
      <c r="A658" s="248"/>
      <c r="B658" s="249"/>
      <c r="C658" s="250"/>
      <c r="D658" s="251"/>
      <c r="E658" s="250"/>
      <c r="F658" s="252"/>
      <c r="G658" s="143"/>
      <c r="H658" s="37"/>
      <c r="I658" s="143"/>
      <c r="J658" s="253"/>
      <c r="K658" s="252"/>
    </row>
    <row r="659" ht="22.5" customHeight="1">
      <c r="A659" s="248"/>
      <c r="B659" s="249"/>
      <c r="C659" s="250"/>
      <c r="D659" s="251"/>
      <c r="E659" s="250"/>
      <c r="F659" s="252"/>
      <c r="G659" s="141"/>
      <c r="H659" s="41"/>
      <c r="I659" s="141"/>
      <c r="J659" s="254"/>
      <c r="K659" s="252"/>
    </row>
    <row r="660" ht="22.5" customHeight="1">
      <c r="A660" s="248"/>
      <c r="B660" s="249"/>
      <c r="C660" s="250"/>
      <c r="D660" s="251"/>
      <c r="E660" s="250"/>
      <c r="F660" s="252"/>
      <c r="G660" s="143"/>
      <c r="H660" s="37"/>
      <c r="I660" s="143"/>
      <c r="J660" s="253"/>
      <c r="K660" s="252"/>
    </row>
    <row r="661" ht="22.5" customHeight="1">
      <c r="A661" s="248"/>
      <c r="B661" s="249"/>
      <c r="C661" s="250"/>
      <c r="D661" s="251"/>
      <c r="E661" s="250"/>
      <c r="F661" s="252"/>
      <c r="G661" s="141"/>
      <c r="H661" s="41"/>
      <c r="I661" s="141"/>
      <c r="J661" s="254"/>
      <c r="K661" s="252"/>
    </row>
    <row r="662" ht="22.5" customHeight="1">
      <c r="A662" s="248"/>
      <c r="B662" s="249"/>
      <c r="C662" s="250"/>
      <c r="D662" s="251"/>
      <c r="E662" s="250"/>
      <c r="F662" s="252"/>
      <c r="G662" s="143"/>
      <c r="H662" s="37"/>
      <c r="I662" s="143"/>
      <c r="J662" s="253"/>
      <c r="K662" s="252"/>
    </row>
    <row r="663" ht="22.5" customHeight="1">
      <c r="A663" s="248"/>
      <c r="B663" s="249"/>
      <c r="C663" s="250"/>
      <c r="D663" s="251"/>
      <c r="E663" s="250"/>
      <c r="F663" s="252"/>
      <c r="G663" s="141"/>
      <c r="H663" s="41"/>
      <c r="I663" s="141"/>
      <c r="J663" s="254"/>
      <c r="K663" s="252"/>
    </row>
    <row r="664" ht="22.5" customHeight="1">
      <c r="A664" s="248"/>
      <c r="B664" s="249"/>
      <c r="C664" s="250"/>
      <c r="D664" s="251"/>
      <c r="E664" s="250"/>
      <c r="F664" s="252"/>
      <c r="G664" s="143"/>
      <c r="H664" s="37"/>
      <c r="I664" s="143"/>
      <c r="J664" s="253"/>
      <c r="K664" s="252"/>
    </row>
    <row r="665" ht="22.5" customHeight="1">
      <c r="A665" s="248"/>
      <c r="B665" s="249"/>
      <c r="C665" s="250"/>
      <c r="D665" s="251"/>
      <c r="E665" s="250"/>
      <c r="F665" s="252"/>
      <c r="G665" s="141"/>
      <c r="H665" s="41"/>
      <c r="I665" s="141"/>
      <c r="J665" s="254"/>
      <c r="K665" s="252"/>
    </row>
    <row r="666" ht="22.5" customHeight="1">
      <c r="A666" s="248"/>
      <c r="B666" s="249"/>
      <c r="C666" s="250"/>
      <c r="D666" s="251"/>
      <c r="E666" s="250"/>
      <c r="F666" s="252"/>
      <c r="G666" s="143"/>
      <c r="H666" s="37"/>
      <c r="I666" s="143"/>
      <c r="J666" s="253"/>
      <c r="K666" s="252"/>
    </row>
    <row r="667" ht="22.5" customHeight="1">
      <c r="A667" s="248"/>
      <c r="B667" s="249"/>
      <c r="C667" s="250"/>
      <c r="D667" s="251"/>
      <c r="E667" s="250"/>
      <c r="F667" s="252"/>
      <c r="G667" s="141"/>
      <c r="H667" s="41"/>
      <c r="I667" s="141"/>
      <c r="J667" s="254"/>
      <c r="K667" s="252"/>
    </row>
    <row r="668" ht="22.5" customHeight="1">
      <c r="A668" s="248"/>
      <c r="B668" s="249"/>
      <c r="C668" s="250"/>
      <c r="D668" s="251"/>
      <c r="E668" s="250"/>
      <c r="F668" s="252"/>
      <c r="G668" s="143"/>
      <c r="H668" s="37"/>
      <c r="I668" s="143"/>
      <c r="J668" s="253"/>
      <c r="K668" s="252"/>
    </row>
    <row r="669" ht="22.5" customHeight="1">
      <c r="A669" s="248"/>
      <c r="B669" s="249"/>
      <c r="C669" s="250"/>
      <c r="D669" s="251"/>
      <c r="E669" s="250"/>
      <c r="F669" s="252"/>
      <c r="G669" s="141"/>
      <c r="H669" s="41"/>
      <c r="I669" s="141"/>
      <c r="J669" s="254"/>
      <c r="K669" s="252"/>
    </row>
    <row r="670" ht="22.5" customHeight="1">
      <c r="A670" s="248"/>
      <c r="B670" s="249"/>
      <c r="C670" s="250"/>
      <c r="D670" s="251"/>
      <c r="E670" s="250"/>
      <c r="F670" s="252"/>
      <c r="G670" s="143"/>
      <c r="H670" s="37"/>
      <c r="I670" s="143"/>
      <c r="J670" s="253"/>
      <c r="K670" s="252"/>
    </row>
    <row r="671" ht="22.5" customHeight="1">
      <c r="A671" s="248"/>
      <c r="B671" s="249"/>
      <c r="C671" s="250"/>
      <c r="D671" s="251"/>
      <c r="E671" s="250"/>
      <c r="F671" s="252"/>
      <c r="G671" s="141"/>
      <c r="H671" s="41"/>
      <c r="I671" s="141"/>
      <c r="J671" s="254"/>
      <c r="K671" s="252"/>
    </row>
    <row r="672" ht="22.5" customHeight="1">
      <c r="A672" s="248"/>
      <c r="B672" s="249"/>
      <c r="C672" s="250"/>
      <c r="D672" s="251"/>
      <c r="E672" s="250"/>
      <c r="F672" s="252"/>
      <c r="G672" s="143"/>
      <c r="H672" s="37"/>
      <c r="I672" s="143"/>
      <c r="J672" s="253"/>
      <c r="K672" s="252"/>
    </row>
    <row r="673" ht="22.5" customHeight="1">
      <c r="A673" s="248"/>
      <c r="B673" s="249"/>
      <c r="C673" s="250"/>
      <c r="D673" s="251"/>
      <c r="E673" s="250"/>
      <c r="F673" s="252"/>
      <c r="G673" s="141"/>
      <c r="H673" s="41"/>
      <c r="I673" s="141"/>
      <c r="J673" s="254"/>
      <c r="K673" s="252"/>
    </row>
    <row r="674" ht="22.5" customHeight="1">
      <c r="A674" s="248"/>
      <c r="B674" s="249"/>
      <c r="C674" s="250"/>
      <c r="D674" s="251"/>
      <c r="E674" s="250"/>
      <c r="F674" s="252"/>
      <c r="G674" s="143"/>
      <c r="H674" s="37"/>
      <c r="I674" s="143"/>
      <c r="J674" s="253"/>
      <c r="K674" s="252"/>
    </row>
    <row r="675" ht="22.5" customHeight="1">
      <c r="A675" s="248"/>
      <c r="B675" s="249"/>
      <c r="C675" s="250"/>
      <c r="D675" s="251"/>
      <c r="E675" s="250"/>
      <c r="F675" s="252"/>
      <c r="G675" s="141"/>
      <c r="H675" s="41"/>
      <c r="I675" s="141"/>
      <c r="J675" s="254"/>
      <c r="K675" s="252"/>
    </row>
    <row r="676" ht="22.5" customHeight="1">
      <c r="A676" s="248"/>
      <c r="B676" s="249"/>
      <c r="C676" s="250"/>
      <c r="D676" s="251"/>
      <c r="E676" s="250"/>
      <c r="F676" s="252"/>
      <c r="G676" s="143"/>
      <c r="H676" s="37"/>
      <c r="I676" s="143"/>
      <c r="J676" s="253"/>
      <c r="K676" s="252"/>
    </row>
    <row r="677" ht="22.5" customHeight="1">
      <c r="A677" s="248"/>
      <c r="B677" s="249"/>
      <c r="C677" s="250"/>
      <c r="D677" s="251"/>
      <c r="E677" s="250"/>
      <c r="F677" s="252"/>
      <c r="G677" s="141"/>
      <c r="H677" s="41"/>
      <c r="I677" s="141"/>
      <c r="J677" s="254"/>
      <c r="K677" s="252"/>
    </row>
    <row r="678" ht="22.5" customHeight="1">
      <c r="A678" s="248"/>
      <c r="B678" s="249"/>
      <c r="C678" s="250"/>
      <c r="D678" s="251"/>
      <c r="E678" s="250"/>
      <c r="F678" s="252"/>
      <c r="G678" s="143"/>
      <c r="H678" s="37"/>
      <c r="I678" s="143"/>
      <c r="J678" s="253"/>
      <c r="K678" s="252"/>
    </row>
    <row r="679" ht="22.5" customHeight="1">
      <c r="A679" s="248"/>
      <c r="B679" s="249"/>
      <c r="C679" s="250"/>
      <c r="D679" s="251"/>
      <c r="E679" s="250"/>
      <c r="F679" s="252"/>
      <c r="G679" s="141"/>
      <c r="H679" s="41"/>
      <c r="I679" s="141"/>
      <c r="J679" s="254"/>
      <c r="K679" s="252"/>
    </row>
    <row r="680" ht="22.5" customHeight="1">
      <c r="A680" s="248"/>
      <c r="B680" s="249"/>
      <c r="C680" s="250"/>
      <c r="D680" s="251"/>
      <c r="E680" s="250"/>
      <c r="F680" s="252"/>
      <c r="G680" s="143"/>
      <c r="H680" s="37"/>
      <c r="I680" s="143"/>
      <c r="J680" s="253"/>
      <c r="K680" s="252"/>
    </row>
    <row r="681" ht="22.5" customHeight="1">
      <c r="A681" s="248"/>
      <c r="B681" s="249"/>
      <c r="C681" s="250"/>
      <c r="D681" s="251"/>
      <c r="E681" s="250"/>
      <c r="F681" s="252"/>
      <c r="G681" s="141"/>
      <c r="H681" s="41"/>
      <c r="I681" s="141"/>
      <c r="J681" s="254"/>
      <c r="K681" s="252"/>
    </row>
    <row r="682" ht="22.5" customHeight="1">
      <c r="A682" s="248"/>
      <c r="B682" s="249"/>
      <c r="C682" s="250"/>
      <c r="D682" s="251"/>
      <c r="E682" s="250"/>
      <c r="F682" s="252"/>
      <c r="G682" s="143"/>
      <c r="H682" s="37"/>
      <c r="I682" s="143"/>
      <c r="J682" s="253"/>
      <c r="K682" s="252"/>
    </row>
    <row r="683" ht="22.5" customHeight="1">
      <c r="A683" s="248"/>
      <c r="B683" s="249"/>
      <c r="C683" s="250"/>
      <c r="D683" s="251"/>
      <c r="E683" s="250"/>
      <c r="F683" s="252"/>
      <c r="G683" s="141"/>
      <c r="H683" s="41"/>
      <c r="I683" s="141"/>
      <c r="J683" s="254"/>
      <c r="K683" s="252"/>
    </row>
    <row r="684" ht="22.5" customHeight="1">
      <c r="A684" s="248"/>
      <c r="B684" s="249"/>
      <c r="C684" s="250"/>
      <c r="D684" s="251"/>
      <c r="E684" s="250"/>
      <c r="F684" s="252"/>
      <c r="G684" s="143"/>
      <c r="H684" s="37"/>
      <c r="I684" s="143"/>
      <c r="J684" s="253"/>
      <c r="K684" s="252"/>
    </row>
    <row r="685" ht="22.5" customHeight="1">
      <c r="A685" s="248"/>
      <c r="B685" s="249"/>
      <c r="C685" s="250"/>
      <c r="D685" s="251"/>
      <c r="E685" s="250"/>
      <c r="F685" s="252"/>
      <c r="G685" s="141"/>
      <c r="H685" s="41"/>
      <c r="I685" s="141"/>
      <c r="J685" s="254"/>
      <c r="K685" s="252"/>
    </row>
    <row r="686" ht="22.5" customHeight="1">
      <c r="A686" s="248"/>
      <c r="B686" s="249"/>
      <c r="C686" s="250"/>
      <c r="D686" s="251"/>
      <c r="E686" s="250"/>
      <c r="F686" s="252"/>
      <c r="G686" s="143"/>
      <c r="H686" s="37"/>
      <c r="I686" s="143"/>
      <c r="J686" s="253"/>
      <c r="K686" s="252"/>
    </row>
    <row r="687" ht="22.5" customHeight="1">
      <c r="A687" s="248"/>
      <c r="B687" s="249"/>
      <c r="C687" s="250"/>
      <c r="D687" s="251"/>
      <c r="E687" s="250"/>
      <c r="F687" s="252"/>
      <c r="G687" s="141"/>
      <c r="H687" s="41"/>
      <c r="I687" s="141"/>
      <c r="J687" s="254"/>
      <c r="K687" s="252"/>
    </row>
    <row r="688" ht="22.5" customHeight="1">
      <c r="A688" s="248"/>
      <c r="B688" s="249"/>
      <c r="C688" s="250"/>
      <c r="D688" s="251"/>
      <c r="E688" s="250"/>
      <c r="F688" s="252"/>
      <c r="G688" s="143"/>
      <c r="H688" s="37"/>
      <c r="I688" s="143"/>
      <c r="J688" s="253"/>
      <c r="K688" s="252"/>
    </row>
    <row r="689" ht="22.5" customHeight="1">
      <c r="A689" s="248"/>
      <c r="B689" s="249"/>
      <c r="C689" s="250"/>
      <c r="D689" s="251"/>
      <c r="E689" s="250"/>
      <c r="F689" s="252"/>
      <c r="G689" s="141"/>
      <c r="H689" s="41"/>
      <c r="I689" s="141"/>
      <c r="J689" s="254"/>
      <c r="K689" s="252"/>
    </row>
    <row r="690" ht="22.5" customHeight="1">
      <c r="A690" s="248"/>
      <c r="B690" s="249"/>
      <c r="C690" s="250"/>
      <c r="D690" s="251"/>
      <c r="E690" s="250"/>
      <c r="F690" s="252"/>
      <c r="G690" s="143"/>
      <c r="H690" s="37"/>
      <c r="I690" s="143"/>
      <c r="J690" s="253"/>
      <c r="K690" s="252"/>
    </row>
    <row r="691" ht="22.5" customHeight="1">
      <c r="A691" s="248"/>
      <c r="B691" s="249"/>
      <c r="C691" s="250"/>
      <c r="D691" s="251"/>
      <c r="E691" s="250"/>
      <c r="F691" s="252"/>
      <c r="G691" s="141"/>
      <c r="H691" s="41"/>
      <c r="I691" s="141"/>
      <c r="J691" s="254"/>
      <c r="K691" s="252"/>
    </row>
    <row r="692" ht="22.5" customHeight="1">
      <c r="A692" s="248"/>
      <c r="B692" s="249"/>
      <c r="C692" s="250"/>
      <c r="D692" s="251"/>
      <c r="E692" s="250"/>
      <c r="F692" s="252"/>
      <c r="G692" s="143"/>
      <c r="H692" s="37"/>
      <c r="I692" s="143"/>
      <c r="J692" s="253"/>
      <c r="K692" s="252"/>
    </row>
    <row r="693" ht="22.5" customHeight="1">
      <c r="A693" s="248"/>
      <c r="B693" s="249"/>
      <c r="C693" s="250"/>
      <c r="D693" s="251"/>
      <c r="E693" s="250"/>
      <c r="F693" s="252"/>
      <c r="G693" s="141"/>
      <c r="H693" s="41"/>
      <c r="I693" s="141"/>
      <c r="J693" s="254"/>
      <c r="K693" s="252"/>
    </row>
    <row r="694" ht="22.5" customHeight="1">
      <c r="A694" s="248"/>
      <c r="B694" s="249"/>
      <c r="C694" s="250"/>
      <c r="D694" s="251"/>
      <c r="E694" s="250"/>
      <c r="F694" s="252"/>
      <c r="G694" s="143"/>
      <c r="H694" s="37"/>
      <c r="I694" s="143"/>
      <c r="J694" s="253"/>
      <c r="K694" s="252"/>
    </row>
    <row r="695" ht="22.5" customHeight="1">
      <c r="A695" s="248"/>
      <c r="B695" s="249"/>
      <c r="C695" s="250"/>
      <c r="D695" s="251"/>
      <c r="E695" s="250"/>
      <c r="F695" s="252"/>
      <c r="G695" s="141"/>
      <c r="H695" s="41"/>
      <c r="I695" s="141"/>
      <c r="J695" s="254"/>
      <c r="K695" s="252"/>
    </row>
    <row r="696" ht="22.5" customHeight="1">
      <c r="A696" s="248"/>
      <c r="B696" s="249"/>
      <c r="C696" s="250"/>
      <c r="D696" s="251"/>
      <c r="E696" s="250"/>
      <c r="F696" s="252"/>
      <c r="G696" s="143"/>
      <c r="H696" s="37"/>
      <c r="I696" s="143"/>
      <c r="J696" s="253"/>
      <c r="K696" s="252"/>
    </row>
    <row r="697" ht="22.5" customHeight="1">
      <c r="A697" s="248"/>
      <c r="B697" s="249"/>
      <c r="C697" s="250"/>
      <c r="D697" s="251"/>
      <c r="E697" s="250"/>
      <c r="F697" s="252"/>
      <c r="G697" s="141"/>
      <c r="H697" s="41"/>
      <c r="I697" s="141"/>
      <c r="J697" s="254"/>
      <c r="K697" s="252"/>
    </row>
    <row r="698" ht="22.5" customHeight="1">
      <c r="A698" s="248"/>
      <c r="B698" s="249"/>
      <c r="C698" s="250"/>
      <c r="D698" s="251"/>
      <c r="E698" s="250"/>
      <c r="F698" s="252"/>
      <c r="G698" s="143"/>
      <c r="H698" s="37"/>
      <c r="I698" s="143"/>
      <c r="J698" s="253"/>
      <c r="K698" s="252"/>
    </row>
    <row r="699" ht="22.5" customHeight="1">
      <c r="A699" s="248"/>
      <c r="B699" s="249"/>
      <c r="C699" s="250"/>
      <c r="D699" s="251"/>
      <c r="E699" s="250"/>
      <c r="F699" s="252"/>
      <c r="G699" s="141"/>
      <c r="H699" s="41"/>
      <c r="I699" s="141"/>
      <c r="J699" s="254"/>
      <c r="K699" s="252"/>
    </row>
    <row r="700" ht="22.5" customHeight="1">
      <c r="A700" s="248"/>
      <c r="B700" s="249"/>
      <c r="C700" s="250"/>
      <c r="D700" s="251"/>
      <c r="E700" s="250"/>
      <c r="F700" s="252"/>
      <c r="G700" s="143"/>
      <c r="H700" s="37"/>
      <c r="I700" s="143"/>
      <c r="J700" s="253"/>
      <c r="K700" s="252"/>
    </row>
    <row r="701" ht="22.5" customHeight="1">
      <c r="A701" s="248"/>
      <c r="B701" s="249"/>
      <c r="C701" s="250"/>
      <c r="D701" s="251"/>
      <c r="E701" s="250"/>
      <c r="F701" s="252"/>
      <c r="G701" s="141"/>
      <c r="H701" s="41"/>
      <c r="I701" s="141"/>
      <c r="J701" s="254"/>
      <c r="K701" s="252"/>
    </row>
    <row r="702" ht="22.5" customHeight="1">
      <c r="A702" s="248"/>
      <c r="B702" s="249"/>
      <c r="C702" s="250"/>
      <c r="D702" s="251"/>
      <c r="E702" s="250"/>
      <c r="F702" s="252"/>
      <c r="G702" s="143"/>
      <c r="H702" s="37"/>
      <c r="I702" s="143"/>
      <c r="J702" s="253"/>
      <c r="K702" s="252"/>
    </row>
    <row r="703" ht="22.5" customHeight="1">
      <c r="A703" s="248"/>
      <c r="B703" s="249"/>
      <c r="C703" s="250"/>
      <c r="D703" s="251"/>
      <c r="E703" s="250"/>
      <c r="F703" s="252"/>
      <c r="G703" s="141"/>
      <c r="H703" s="41"/>
      <c r="I703" s="141"/>
      <c r="J703" s="254"/>
      <c r="K703" s="252"/>
    </row>
    <row r="704" ht="22.5" customHeight="1">
      <c r="A704" s="248"/>
      <c r="B704" s="249"/>
      <c r="C704" s="250"/>
      <c r="D704" s="251"/>
      <c r="E704" s="250"/>
      <c r="F704" s="252"/>
      <c r="G704" s="143"/>
      <c r="H704" s="37"/>
      <c r="I704" s="143"/>
      <c r="J704" s="253"/>
      <c r="K704" s="252"/>
    </row>
    <row r="705" ht="22.5" customHeight="1">
      <c r="A705" s="248"/>
      <c r="B705" s="249"/>
      <c r="C705" s="250"/>
      <c r="D705" s="251"/>
      <c r="E705" s="250"/>
      <c r="F705" s="252"/>
      <c r="G705" s="141"/>
      <c r="H705" s="41"/>
      <c r="I705" s="141"/>
      <c r="J705" s="254"/>
      <c r="K705" s="252"/>
    </row>
    <row r="706" ht="22.5" customHeight="1">
      <c r="A706" s="248"/>
      <c r="B706" s="249"/>
      <c r="C706" s="250"/>
      <c r="D706" s="251"/>
      <c r="E706" s="250"/>
      <c r="F706" s="252"/>
      <c r="G706" s="143"/>
      <c r="H706" s="37"/>
      <c r="I706" s="143"/>
      <c r="J706" s="253"/>
      <c r="K706" s="252"/>
    </row>
    <row r="707" ht="22.5" customHeight="1">
      <c r="A707" s="248"/>
      <c r="B707" s="249"/>
      <c r="C707" s="250"/>
      <c r="D707" s="251"/>
      <c r="E707" s="250"/>
      <c r="F707" s="252"/>
      <c r="G707" s="141"/>
      <c r="H707" s="41"/>
      <c r="I707" s="141"/>
      <c r="J707" s="254"/>
      <c r="K707" s="252"/>
    </row>
    <row r="708" ht="22.5" customHeight="1">
      <c r="A708" s="248"/>
      <c r="B708" s="249"/>
      <c r="C708" s="250"/>
      <c r="D708" s="251"/>
      <c r="E708" s="250"/>
      <c r="F708" s="252"/>
      <c r="G708" s="143"/>
      <c r="H708" s="37"/>
      <c r="I708" s="143"/>
      <c r="J708" s="253"/>
      <c r="K708" s="252"/>
    </row>
    <row r="709" ht="22.5" customHeight="1">
      <c r="A709" s="248"/>
      <c r="B709" s="249"/>
      <c r="C709" s="250"/>
      <c r="D709" s="251"/>
      <c r="E709" s="250"/>
      <c r="F709" s="252"/>
      <c r="G709" s="141"/>
      <c r="H709" s="41"/>
      <c r="I709" s="141"/>
      <c r="J709" s="254"/>
      <c r="K709" s="252"/>
    </row>
    <row r="710" ht="22.5" customHeight="1">
      <c r="A710" s="248"/>
      <c r="B710" s="249"/>
      <c r="C710" s="250"/>
      <c r="D710" s="251"/>
      <c r="E710" s="250"/>
      <c r="F710" s="252"/>
      <c r="G710" s="143"/>
      <c r="H710" s="37"/>
      <c r="I710" s="143"/>
      <c r="J710" s="253"/>
      <c r="K710" s="252"/>
    </row>
    <row r="711" ht="22.5" customHeight="1">
      <c r="A711" s="248"/>
      <c r="B711" s="249"/>
      <c r="C711" s="250"/>
      <c r="D711" s="251"/>
      <c r="E711" s="250"/>
      <c r="F711" s="252"/>
      <c r="G711" s="141"/>
      <c r="H711" s="41"/>
      <c r="I711" s="141"/>
      <c r="J711" s="254"/>
      <c r="K711" s="252"/>
    </row>
    <row r="712" ht="22.5" customHeight="1">
      <c r="A712" s="248"/>
      <c r="B712" s="249"/>
      <c r="C712" s="250"/>
      <c r="D712" s="251"/>
      <c r="E712" s="250"/>
      <c r="F712" s="252"/>
      <c r="G712" s="143"/>
      <c r="H712" s="37"/>
      <c r="I712" s="143"/>
      <c r="J712" s="253"/>
      <c r="K712" s="252"/>
    </row>
    <row r="713" ht="22.5" customHeight="1">
      <c r="A713" s="248"/>
      <c r="B713" s="249"/>
      <c r="C713" s="250"/>
      <c r="D713" s="251"/>
      <c r="E713" s="250"/>
      <c r="F713" s="252"/>
      <c r="G713" s="141"/>
      <c r="H713" s="41"/>
      <c r="I713" s="141"/>
      <c r="J713" s="254"/>
      <c r="K713" s="252"/>
    </row>
    <row r="714" ht="22.5" customHeight="1">
      <c r="A714" s="248"/>
      <c r="B714" s="249"/>
      <c r="C714" s="250"/>
      <c r="D714" s="251"/>
      <c r="E714" s="250"/>
      <c r="F714" s="252"/>
      <c r="G714" s="143"/>
      <c r="H714" s="37"/>
      <c r="I714" s="143"/>
      <c r="J714" s="253"/>
      <c r="K714" s="252"/>
    </row>
    <row r="715" ht="22.5" customHeight="1">
      <c r="A715" s="248"/>
      <c r="B715" s="249"/>
      <c r="C715" s="250"/>
      <c r="D715" s="251"/>
      <c r="E715" s="250"/>
      <c r="F715" s="252"/>
      <c r="G715" s="141"/>
      <c r="H715" s="41"/>
      <c r="I715" s="141"/>
      <c r="J715" s="254"/>
      <c r="K715" s="252"/>
    </row>
    <row r="716" ht="22.5" customHeight="1">
      <c r="A716" s="248"/>
      <c r="B716" s="249"/>
      <c r="C716" s="250"/>
      <c r="D716" s="251"/>
      <c r="E716" s="250"/>
      <c r="F716" s="252"/>
      <c r="G716" s="143"/>
      <c r="H716" s="37"/>
      <c r="I716" s="143"/>
      <c r="J716" s="253"/>
      <c r="K716" s="252"/>
    </row>
    <row r="717" ht="22.5" customHeight="1">
      <c r="A717" s="248"/>
      <c r="B717" s="249"/>
      <c r="C717" s="250"/>
      <c r="D717" s="251"/>
      <c r="E717" s="250"/>
      <c r="F717" s="252"/>
      <c r="G717" s="141"/>
      <c r="H717" s="41"/>
      <c r="I717" s="141"/>
      <c r="J717" s="254"/>
      <c r="K717" s="252"/>
    </row>
    <row r="718" ht="22.5" customHeight="1">
      <c r="A718" s="248"/>
      <c r="B718" s="249"/>
      <c r="C718" s="250"/>
      <c r="D718" s="251"/>
      <c r="E718" s="250"/>
      <c r="F718" s="252"/>
      <c r="G718" s="143"/>
      <c r="H718" s="37"/>
      <c r="I718" s="143"/>
      <c r="J718" s="253"/>
      <c r="K718" s="252"/>
    </row>
    <row r="719" ht="22.5" customHeight="1">
      <c r="A719" s="248"/>
      <c r="B719" s="249"/>
      <c r="C719" s="250"/>
      <c r="D719" s="251"/>
      <c r="E719" s="250"/>
      <c r="F719" s="252"/>
      <c r="G719" s="141"/>
      <c r="H719" s="41"/>
      <c r="I719" s="141"/>
      <c r="J719" s="254"/>
      <c r="K719" s="252"/>
    </row>
    <row r="720" ht="22.5" customHeight="1">
      <c r="A720" s="248"/>
      <c r="B720" s="249"/>
      <c r="C720" s="250"/>
      <c r="D720" s="251"/>
      <c r="E720" s="250"/>
      <c r="F720" s="252"/>
      <c r="G720" s="143"/>
      <c r="H720" s="37"/>
      <c r="I720" s="143"/>
      <c r="J720" s="253"/>
      <c r="K720" s="252"/>
    </row>
    <row r="721" ht="22.5" customHeight="1">
      <c r="A721" s="248"/>
      <c r="B721" s="249"/>
      <c r="C721" s="250"/>
      <c r="D721" s="251"/>
      <c r="E721" s="250"/>
      <c r="F721" s="252"/>
      <c r="G721" s="141"/>
      <c r="H721" s="41"/>
      <c r="I721" s="141"/>
      <c r="J721" s="254"/>
      <c r="K721" s="252"/>
    </row>
    <row r="722" ht="22.5" customHeight="1">
      <c r="A722" s="248"/>
      <c r="B722" s="249"/>
      <c r="C722" s="250"/>
      <c r="D722" s="251"/>
      <c r="E722" s="250"/>
      <c r="F722" s="252"/>
      <c r="G722" s="143"/>
      <c r="H722" s="37"/>
      <c r="I722" s="143"/>
      <c r="J722" s="253"/>
      <c r="K722" s="252"/>
    </row>
    <row r="723" ht="22.5" customHeight="1">
      <c r="A723" s="248"/>
      <c r="B723" s="249"/>
      <c r="C723" s="250"/>
      <c r="D723" s="251"/>
      <c r="E723" s="250"/>
      <c r="F723" s="252"/>
      <c r="G723" s="141"/>
      <c r="H723" s="41"/>
      <c r="I723" s="141"/>
      <c r="J723" s="254"/>
      <c r="K723" s="252"/>
    </row>
    <row r="724" ht="22.5" customHeight="1">
      <c r="A724" s="248"/>
      <c r="B724" s="249"/>
      <c r="C724" s="250"/>
      <c r="D724" s="251"/>
      <c r="E724" s="250"/>
      <c r="F724" s="252"/>
      <c r="G724" s="143"/>
      <c r="H724" s="37"/>
      <c r="I724" s="143"/>
      <c r="J724" s="253"/>
      <c r="K724" s="252"/>
    </row>
    <row r="725" ht="22.5" customHeight="1">
      <c r="A725" s="248"/>
      <c r="B725" s="249"/>
      <c r="C725" s="250"/>
      <c r="D725" s="251"/>
      <c r="E725" s="250"/>
      <c r="F725" s="252"/>
      <c r="G725" s="141"/>
      <c r="H725" s="41"/>
      <c r="I725" s="141"/>
      <c r="J725" s="254"/>
      <c r="K725" s="252"/>
    </row>
    <row r="726" ht="22.5" customHeight="1">
      <c r="A726" s="248"/>
      <c r="B726" s="249"/>
      <c r="C726" s="250"/>
      <c r="D726" s="251"/>
      <c r="E726" s="250"/>
      <c r="F726" s="252"/>
      <c r="G726" s="143"/>
      <c r="H726" s="37"/>
      <c r="I726" s="143"/>
      <c r="J726" s="253"/>
      <c r="K726" s="252"/>
    </row>
    <row r="727" ht="22.5" customHeight="1">
      <c r="A727" s="248"/>
      <c r="B727" s="249"/>
      <c r="C727" s="250"/>
      <c r="D727" s="251"/>
      <c r="E727" s="250"/>
      <c r="F727" s="252"/>
      <c r="G727" s="141"/>
      <c r="H727" s="41"/>
      <c r="I727" s="141"/>
      <c r="J727" s="254"/>
      <c r="K727" s="252"/>
    </row>
    <row r="728" ht="22.5" customHeight="1">
      <c r="A728" s="248"/>
      <c r="B728" s="249"/>
      <c r="C728" s="250"/>
      <c r="D728" s="251"/>
      <c r="E728" s="250"/>
      <c r="F728" s="252"/>
      <c r="G728" s="143"/>
      <c r="H728" s="37"/>
      <c r="I728" s="143"/>
      <c r="J728" s="253"/>
      <c r="K728" s="252"/>
    </row>
    <row r="729" ht="22.5" customHeight="1">
      <c r="A729" s="248"/>
      <c r="B729" s="249"/>
      <c r="C729" s="250"/>
      <c r="D729" s="251"/>
      <c r="E729" s="250"/>
      <c r="F729" s="252"/>
      <c r="G729" s="141"/>
      <c r="H729" s="41"/>
      <c r="I729" s="141"/>
      <c r="J729" s="254"/>
      <c r="K729" s="252"/>
    </row>
    <row r="730" ht="22.5" customHeight="1">
      <c r="A730" s="248"/>
      <c r="B730" s="249"/>
      <c r="C730" s="250"/>
      <c r="D730" s="251"/>
      <c r="E730" s="250"/>
      <c r="F730" s="252"/>
      <c r="G730" s="143"/>
      <c r="H730" s="37"/>
      <c r="I730" s="143"/>
      <c r="J730" s="253"/>
      <c r="K730" s="252"/>
    </row>
    <row r="731" ht="22.5" customHeight="1">
      <c r="A731" s="248"/>
      <c r="B731" s="249"/>
      <c r="C731" s="250"/>
      <c r="D731" s="251"/>
      <c r="E731" s="250"/>
      <c r="F731" s="252"/>
      <c r="G731" s="141"/>
      <c r="H731" s="41"/>
      <c r="I731" s="141"/>
      <c r="J731" s="254"/>
      <c r="K731" s="252"/>
    </row>
    <row r="732" ht="22.5" customHeight="1">
      <c r="A732" s="248"/>
      <c r="B732" s="249"/>
      <c r="C732" s="250"/>
      <c r="D732" s="251"/>
      <c r="E732" s="250"/>
      <c r="F732" s="252"/>
      <c r="G732" s="143"/>
      <c r="H732" s="37"/>
      <c r="I732" s="143"/>
      <c r="J732" s="253"/>
      <c r="K732" s="252"/>
    </row>
    <row r="733" ht="22.5" customHeight="1">
      <c r="A733" s="248"/>
      <c r="B733" s="249"/>
      <c r="C733" s="250"/>
      <c r="D733" s="251"/>
      <c r="E733" s="250"/>
      <c r="F733" s="252"/>
      <c r="G733" s="141"/>
      <c r="H733" s="41"/>
      <c r="I733" s="141"/>
      <c r="J733" s="254"/>
      <c r="K733" s="252"/>
    </row>
    <row r="734" ht="22.5" customHeight="1">
      <c r="A734" s="248"/>
      <c r="B734" s="249"/>
      <c r="C734" s="250"/>
      <c r="D734" s="251"/>
      <c r="E734" s="250"/>
      <c r="F734" s="252"/>
      <c r="G734" s="143"/>
      <c r="H734" s="37"/>
      <c r="I734" s="143"/>
      <c r="J734" s="253"/>
      <c r="K734" s="252"/>
    </row>
    <row r="735" ht="22.5" customHeight="1">
      <c r="A735" s="248"/>
      <c r="B735" s="249"/>
      <c r="C735" s="250"/>
      <c r="D735" s="251"/>
      <c r="E735" s="250"/>
      <c r="F735" s="252"/>
      <c r="G735" s="141"/>
      <c r="H735" s="41"/>
      <c r="I735" s="141"/>
      <c r="J735" s="254"/>
      <c r="K735" s="252"/>
    </row>
    <row r="736" ht="22.5" customHeight="1">
      <c r="A736" s="248"/>
      <c r="B736" s="249"/>
      <c r="C736" s="250"/>
      <c r="D736" s="251"/>
      <c r="E736" s="250"/>
      <c r="F736" s="252"/>
      <c r="G736" s="143"/>
      <c r="H736" s="37"/>
      <c r="I736" s="143"/>
      <c r="J736" s="253"/>
      <c r="K736" s="252"/>
    </row>
    <row r="737" ht="22.5" customHeight="1">
      <c r="A737" s="248"/>
      <c r="B737" s="249"/>
      <c r="C737" s="250"/>
      <c r="D737" s="251"/>
      <c r="E737" s="250"/>
      <c r="F737" s="252"/>
      <c r="G737" s="141"/>
      <c r="H737" s="41"/>
      <c r="I737" s="141"/>
      <c r="J737" s="254"/>
      <c r="K737" s="252"/>
    </row>
    <row r="738" ht="22.5" customHeight="1">
      <c r="A738" s="248"/>
      <c r="B738" s="249"/>
      <c r="C738" s="250"/>
      <c r="D738" s="251"/>
      <c r="E738" s="250"/>
      <c r="F738" s="252"/>
      <c r="G738" s="143"/>
      <c r="H738" s="37"/>
      <c r="I738" s="143"/>
      <c r="J738" s="253"/>
      <c r="K738" s="252"/>
    </row>
    <row r="739" ht="22.5" customHeight="1">
      <c r="A739" s="248"/>
      <c r="B739" s="249"/>
      <c r="C739" s="250"/>
      <c r="D739" s="251"/>
      <c r="E739" s="250"/>
      <c r="F739" s="252"/>
      <c r="G739" s="141"/>
      <c r="H739" s="41"/>
      <c r="I739" s="141"/>
      <c r="J739" s="254"/>
      <c r="K739" s="252"/>
    </row>
    <row r="740" ht="22.5" customHeight="1">
      <c r="A740" s="248"/>
      <c r="B740" s="249"/>
      <c r="C740" s="250"/>
      <c r="D740" s="251"/>
      <c r="E740" s="250"/>
      <c r="F740" s="252"/>
      <c r="G740" s="143"/>
      <c r="H740" s="37"/>
      <c r="I740" s="143"/>
      <c r="J740" s="253"/>
      <c r="K740" s="252"/>
    </row>
    <row r="741" ht="22.5" customHeight="1">
      <c r="A741" s="248"/>
      <c r="B741" s="249"/>
      <c r="C741" s="250"/>
      <c r="D741" s="251"/>
      <c r="E741" s="250"/>
      <c r="F741" s="252"/>
      <c r="G741" s="141"/>
      <c r="H741" s="41"/>
      <c r="I741" s="141"/>
      <c r="J741" s="254"/>
      <c r="K741" s="252"/>
    </row>
    <row r="742" ht="22.5" customHeight="1">
      <c r="A742" s="248"/>
      <c r="B742" s="249"/>
      <c r="C742" s="250"/>
      <c r="D742" s="251"/>
      <c r="E742" s="250"/>
      <c r="F742" s="252"/>
      <c r="G742" s="143"/>
      <c r="H742" s="37"/>
      <c r="I742" s="143"/>
      <c r="J742" s="253"/>
      <c r="K742" s="252"/>
    </row>
    <row r="743" ht="22.5" customHeight="1">
      <c r="A743" s="248"/>
      <c r="B743" s="249"/>
      <c r="C743" s="250"/>
      <c r="D743" s="251"/>
      <c r="E743" s="250"/>
      <c r="F743" s="252"/>
      <c r="G743" s="141"/>
      <c r="H743" s="41"/>
      <c r="I743" s="141"/>
      <c r="J743" s="254"/>
      <c r="K743" s="252"/>
    </row>
    <row r="744" ht="22.5" customHeight="1">
      <c r="A744" s="248"/>
      <c r="B744" s="249"/>
      <c r="C744" s="250"/>
      <c r="D744" s="251"/>
      <c r="E744" s="250"/>
      <c r="F744" s="252"/>
      <c r="G744" s="143"/>
      <c r="H744" s="37"/>
      <c r="I744" s="143"/>
      <c r="J744" s="253"/>
      <c r="K744" s="252"/>
    </row>
    <row r="745" ht="22.5" customHeight="1">
      <c r="A745" s="248"/>
      <c r="B745" s="249"/>
      <c r="C745" s="250"/>
      <c r="D745" s="251"/>
      <c r="E745" s="250"/>
      <c r="F745" s="252"/>
      <c r="G745" s="141"/>
      <c r="H745" s="41"/>
      <c r="I745" s="141"/>
      <c r="J745" s="254"/>
      <c r="K745" s="252"/>
    </row>
    <row r="746" ht="22.5" customHeight="1">
      <c r="A746" s="248"/>
      <c r="B746" s="249"/>
      <c r="C746" s="250"/>
      <c r="D746" s="251"/>
      <c r="E746" s="250"/>
      <c r="F746" s="252"/>
      <c r="G746" s="143"/>
      <c r="H746" s="37"/>
      <c r="I746" s="143"/>
      <c r="J746" s="253"/>
      <c r="K746" s="252"/>
    </row>
    <row r="747" ht="22.5" customHeight="1">
      <c r="A747" s="248"/>
      <c r="B747" s="249"/>
      <c r="C747" s="250"/>
      <c r="D747" s="251"/>
      <c r="E747" s="250"/>
      <c r="F747" s="252"/>
      <c r="G747" s="141"/>
      <c r="H747" s="41"/>
      <c r="I747" s="141"/>
      <c r="J747" s="254"/>
      <c r="K747" s="252"/>
    </row>
    <row r="748" ht="22.5" customHeight="1">
      <c r="A748" s="248"/>
      <c r="B748" s="249"/>
      <c r="C748" s="250"/>
      <c r="D748" s="251"/>
      <c r="E748" s="250"/>
      <c r="F748" s="252"/>
      <c r="G748" s="143"/>
      <c r="H748" s="37"/>
      <c r="I748" s="143"/>
      <c r="J748" s="253"/>
      <c r="K748" s="252"/>
    </row>
    <row r="749" ht="22.5" customHeight="1">
      <c r="A749" s="248"/>
      <c r="B749" s="249"/>
      <c r="C749" s="250"/>
      <c r="D749" s="251"/>
      <c r="E749" s="250"/>
      <c r="F749" s="252"/>
      <c r="G749" s="141"/>
      <c r="H749" s="41"/>
      <c r="I749" s="141"/>
      <c r="J749" s="254"/>
      <c r="K749" s="252"/>
    </row>
    <row r="750" ht="22.5" customHeight="1">
      <c r="A750" s="248"/>
      <c r="B750" s="249"/>
      <c r="C750" s="250"/>
      <c r="D750" s="251"/>
      <c r="E750" s="250"/>
      <c r="F750" s="252"/>
      <c r="G750" s="143"/>
      <c r="H750" s="37"/>
      <c r="I750" s="143"/>
      <c r="J750" s="253"/>
      <c r="K750" s="252"/>
    </row>
    <row r="751" ht="22.5" customHeight="1">
      <c r="A751" s="248"/>
      <c r="B751" s="249"/>
      <c r="C751" s="250"/>
      <c r="D751" s="251"/>
      <c r="E751" s="250"/>
      <c r="F751" s="252"/>
      <c r="G751" s="141"/>
      <c r="H751" s="41"/>
      <c r="I751" s="141"/>
      <c r="J751" s="254"/>
      <c r="K751" s="252"/>
    </row>
    <row r="752" ht="22.5" customHeight="1">
      <c r="A752" s="248"/>
      <c r="B752" s="249"/>
      <c r="C752" s="250"/>
      <c r="D752" s="251"/>
      <c r="E752" s="250"/>
      <c r="F752" s="252"/>
      <c r="G752" s="143"/>
      <c r="H752" s="37"/>
      <c r="I752" s="143"/>
      <c r="J752" s="253"/>
      <c r="K752" s="252"/>
    </row>
    <row r="753" ht="22.5" customHeight="1">
      <c r="A753" s="248"/>
      <c r="B753" s="249"/>
      <c r="C753" s="250"/>
      <c r="D753" s="251"/>
      <c r="E753" s="250"/>
      <c r="F753" s="252"/>
      <c r="G753" s="141"/>
      <c r="H753" s="41"/>
      <c r="I753" s="141"/>
      <c r="J753" s="254"/>
      <c r="K753" s="252"/>
    </row>
    <row r="754" ht="22.5" customHeight="1">
      <c r="A754" s="248"/>
      <c r="B754" s="249"/>
      <c r="C754" s="250"/>
      <c r="D754" s="251"/>
      <c r="E754" s="250"/>
      <c r="F754" s="252"/>
      <c r="G754" s="143"/>
      <c r="H754" s="37"/>
      <c r="I754" s="143"/>
      <c r="J754" s="253"/>
      <c r="K754" s="252"/>
    </row>
    <row r="755" ht="22.5" customHeight="1">
      <c r="A755" s="248"/>
      <c r="B755" s="249"/>
      <c r="C755" s="250"/>
      <c r="D755" s="251"/>
      <c r="E755" s="250"/>
      <c r="F755" s="252"/>
      <c r="G755" s="141"/>
      <c r="H755" s="41"/>
      <c r="I755" s="141"/>
      <c r="J755" s="254"/>
      <c r="K755" s="252"/>
    </row>
    <row r="756" ht="22.5" customHeight="1">
      <c r="A756" s="248"/>
      <c r="B756" s="249"/>
      <c r="C756" s="250"/>
      <c r="D756" s="251"/>
      <c r="E756" s="250"/>
      <c r="F756" s="252"/>
      <c r="G756" s="143"/>
      <c r="H756" s="37"/>
      <c r="I756" s="143"/>
      <c r="J756" s="253"/>
      <c r="K756" s="252"/>
    </row>
    <row r="757" ht="22.5" customHeight="1">
      <c r="A757" s="248"/>
      <c r="B757" s="249"/>
      <c r="C757" s="250"/>
      <c r="D757" s="251"/>
      <c r="E757" s="250"/>
      <c r="F757" s="252"/>
      <c r="G757" s="141"/>
      <c r="H757" s="41"/>
      <c r="I757" s="141"/>
      <c r="J757" s="254"/>
      <c r="K757" s="252"/>
    </row>
    <row r="758" ht="22.5" customHeight="1">
      <c r="A758" s="248"/>
      <c r="B758" s="249"/>
      <c r="C758" s="250"/>
      <c r="D758" s="251"/>
      <c r="E758" s="250"/>
      <c r="F758" s="252"/>
      <c r="G758" s="143"/>
      <c r="H758" s="37"/>
      <c r="I758" s="143"/>
      <c r="J758" s="253"/>
      <c r="K758" s="252"/>
    </row>
    <row r="759" ht="22.5" customHeight="1">
      <c r="A759" s="248"/>
      <c r="B759" s="249"/>
      <c r="C759" s="250"/>
      <c r="D759" s="251"/>
      <c r="E759" s="250"/>
      <c r="F759" s="252"/>
      <c r="G759" s="141"/>
      <c r="H759" s="41"/>
      <c r="I759" s="141"/>
      <c r="J759" s="254"/>
      <c r="K759" s="252"/>
    </row>
    <row r="760" ht="22.5" customHeight="1">
      <c r="A760" s="248"/>
      <c r="B760" s="249"/>
      <c r="C760" s="250"/>
      <c r="D760" s="251"/>
      <c r="E760" s="250"/>
      <c r="F760" s="252"/>
      <c r="G760" s="143"/>
      <c r="H760" s="37"/>
      <c r="I760" s="143"/>
      <c r="J760" s="253"/>
      <c r="K760" s="252"/>
    </row>
    <row r="761" ht="22.5" customHeight="1">
      <c r="A761" s="248"/>
      <c r="B761" s="249"/>
      <c r="C761" s="250"/>
      <c r="D761" s="251"/>
      <c r="E761" s="250"/>
      <c r="F761" s="252"/>
      <c r="G761" s="141"/>
      <c r="H761" s="41"/>
      <c r="I761" s="141"/>
      <c r="J761" s="254"/>
      <c r="K761" s="252"/>
    </row>
    <row r="762" ht="22.5" customHeight="1">
      <c r="A762" s="248"/>
      <c r="B762" s="249"/>
      <c r="C762" s="250"/>
      <c r="D762" s="251"/>
      <c r="E762" s="250"/>
      <c r="F762" s="252"/>
      <c r="G762" s="143"/>
      <c r="H762" s="37"/>
      <c r="I762" s="143"/>
      <c r="J762" s="253"/>
      <c r="K762" s="252"/>
    </row>
    <row r="763" ht="22.5" customHeight="1">
      <c r="A763" s="248"/>
      <c r="B763" s="249"/>
      <c r="C763" s="250"/>
      <c r="D763" s="251"/>
      <c r="E763" s="250"/>
      <c r="F763" s="252"/>
      <c r="G763" s="141"/>
      <c r="H763" s="41"/>
      <c r="I763" s="141"/>
      <c r="J763" s="254"/>
      <c r="K763" s="252"/>
    </row>
    <row r="764" ht="22.5" customHeight="1">
      <c r="A764" s="248"/>
      <c r="B764" s="249"/>
      <c r="C764" s="250"/>
      <c r="D764" s="251"/>
      <c r="E764" s="250"/>
      <c r="F764" s="252"/>
      <c r="G764" s="143"/>
      <c r="H764" s="37"/>
      <c r="I764" s="143"/>
      <c r="J764" s="253"/>
      <c r="K764" s="252"/>
    </row>
    <row r="765" ht="22.5" customHeight="1">
      <c r="A765" s="248"/>
      <c r="B765" s="249"/>
      <c r="C765" s="250"/>
      <c r="D765" s="251"/>
      <c r="E765" s="250"/>
      <c r="F765" s="252"/>
      <c r="G765" s="141"/>
      <c r="H765" s="41"/>
      <c r="I765" s="141"/>
      <c r="J765" s="254"/>
      <c r="K765" s="252"/>
    </row>
    <row r="766" ht="22.5" customHeight="1">
      <c r="A766" s="248"/>
      <c r="B766" s="249"/>
      <c r="C766" s="250"/>
      <c r="D766" s="251"/>
      <c r="E766" s="250"/>
      <c r="F766" s="252"/>
      <c r="G766" s="143"/>
      <c r="H766" s="37"/>
      <c r="I766" s="143"/>
      <c r="J766" s="253"/>
      <c r="K766" s="252"/>
    </row>
    <row r="767" ht="22.5" customHeight="1">
      <c r="A767" s="248"/>
      <c r="B767" s="249"/>
      <c r="C767" s="250"/>
      <c r="D767" s="251"/>
      <c r="E767" s="250"/>
      <c r="F767" s="252"/>
      <c r="G767" s="141"/>
      <c r="H767" s="41"/>
      <c r="I767" s="141"/>
      <c r="J767" s="254"/>
      <c r="K767" s="252"/>
    </row>
    <row r="768" ht="22.5" customHeight="1">
      <c r="A768" s="248"/>
      <c r="B768" s="249"/>
      <c r="C768" s="250"/>
      <c r="D768" s="251"/>
      <c r="E768" s="250"/>
      <c r="F768" s="252"/>
      <c r="G768" s="143"/>
      <c r="H768" s="37"/>
      <c r="I768" s="143"/>
      <c r="J768" s="253"/>
      <c r="K768" s="252"/>
    </row>
    <row r="769" ht="22.5" customHeight="1">
      <c r="A769" s="248"/>
      <c r="B769" s="249"/>
      <c r="C769" s="250"/>
      <c r="D769" s="251"/>
      <c r="E769" s="250"/>
      <c r="F769" s="252"/>
      <c r="G769" s="141"/>
      <c r="H769" s="41"/>
      <c r="I769" s="141"/>
      <c r="J769" s="254"/>
      <c r="K769" s="252"/>
    </row>
    <row r="770" ht="22.5" customHeight="1">
      <c r="A770" s="248"/>
      <c r="B770" s="249"/>
      <c r="C770" s="250"/>
      <c r="D770" s="251"/>
      <c r="E770" s="250"/>
      <c r="F770" s="252"/>
      <c r="G770" s="143"/>
      <c r="H770" s="37"/>
      <c r="I770" s="143"/>
      <c r="J770" s="253"/>
      <c r="K770" s="252"/>
    </row>
    <row r="771" ht="22.5" customHeight="1">
      <c r="A771" s="248"/>
      <c r="B771" s="249"/>
      <c r="C771" s="250"/>
      <c r="D771" s="251"/>
      <c r="E771" s="250"/>
      <c r="F771" s="252"/>
      <c r="G771" s="141"/>
      <c r="H771" s="41"/>
      <c r="I771" s="141"/>
      <c r="J771" s="254"/>
      <c r="K771" s="252"/>
    </row>
    <row r="772" ht="22.5" customHeight="1">
      <c r="A772" s="248"/>
      <c r="B772" s="249"/>
      <c r="C772" s="250"/>
      <c r="D772" s="251"/>
      <c r="E772" s="250"/>
      <c r="F772" s="252"/>
      <c r="G772" s="143"/>
      <c r="H772" s="37"/>
      <c r="I772" s="143"/>
      <c r="J772" s="253"/>
      <c r="K772" s="252"/>
    </row>
    <row r="773" ht="22.5" customHeight="1">
      <c r="A773" s="248"/>
      <c r="B773" s="249"/>
      <c r="C773" s="250"/>
      <c r="D773" s="251"/>
      <c r="E773" s="250"/>
      <c r="F773" s="252"/>
      <c r="G773" s="141"/>
      <c r="H773" s="41"/>
      <c r="I773" s="141"/>
      <c r="J773" s="254"/>
      <c r="K773" s="252"/>
    </row>
    <row r="774" ht="22.5" customHeight="1">
      <c r="A774" s="248"/>
      <c r="B774" s="249"/>
      <c r="C774" s="250"/>
      <c r="D774" s="251"/>
      <c r="E774" s="250"/>
      <c r="F774" s="252"/>
      <c r="G774" s="143"/>
      <c r="H774" s="37"/>
      <c r="I774" s="143"/>
      <c r="J774" s="253"/>
      <c r="K774" s="252"/>
    </row>
    <row r="775" ht="22.5" customHeight="1">
      <c r="A775" s="248"/>
      <c r="B775" s="249"/>
      <c r="C775" s="250"/>
      <c r="D775" s="251"/>
      <c r="E775" s="250"/>
      <c r="F775" s="252"/>
      <c r="G775" s="141"/>
      <c r="H775" s="41"/>
      <c r="I775" s="141"/>
      <c r="J775" s="254"/>
      <c r="K775" s="252"/>
    </row>
    <row r="776" ht="22.5" customHeight="1">
      <c r="A776" s="248"/>
      <c r="B776" s="249"/>
      <c r="C776" s="250"/>
      <c r="D776" s="251"/>
      <c r="E776" s="250"/>
      <c r="F776" s="252"/>
      <c r="G776" s="143"/>
      <c r="H776" s="37"/>
      <c r="I776" s="143"/>
      <c r="J776" s="253"/>
      <c r="K776" s="252"/>
    </row>
    <row r="777" ht="22.5" customHeight="1">
      <c r="A777" s="248"/>
      <c r="B777" s="249"/>
      <c r="C777" s="250"/>
      <c r="D777" s="251"/>
      <c r="E777" s="250"/>
      <c r="F777" s="252"/>
      <c r="G777" s="141"/>
      <c r="H777" s="41"/>
      <c r="I777" s="141"/>
      <c r="J777" s="254"/>
      <c r="K777" s="252"/>
    </row>
    <row r="778" ht="22.5" customHeight="1">
      <c r="A778" s="248"/>
      <c r="B778" s="249"/>
      <c r="C778" s="250"/>
      <c r="D778" s="251"/>
      <c r="E778" s="250"/>
      <c r="F778" s="252"/>
      <c r="G778" s="143"/>
      <c r="H778" s="37"/>
      <c r="I778" s="143"/>
      <c r="J778" s="253"/>
      <c r="K778" s="252"/>
    </row>
    <row r="779" ht="22.5" customHeight="1">
      <c r="A779" s="248"/>
      <c r="B779" s="249"/>
      <c r="C779" s="250"/>
      <c r="D779" s="251"/>
      <c r="E779" s="250"/>
      <c r="F779" s="252"/>
      <c r="G779" s="141"/>
      <c r="H779" s="41"/>
      <c r="I779" s="141"/>
      <c r="J779" s="254"/>
      <c r="K779" s="252"/>
    </row>
    <row r="780" ht="22.5" customHeight="1">
      <c r="A780" s="248"/>
      <c r="B780" s="249"/>
      <c r="C780" s="250"/>
      <c r="D780" s="251"/>
      <c r="E780" s="250"/>
      <c r="F780" s="252"/>
      <c r="G780" s="143"/>
      <c r="H780" s="37"/>
      <c r="I780" s="143"/>
      <c r="J780" s="253"/>
      <c r="K780" s="252"/>
    </row>
    <row r="781" ht="22.5" customHeight="1">
      <c r="A781" s="248"/>
      <c r="B781" s="249"/>
      <c r="C781" s="250"/>
      <c r="D781" s="251"/>
      <c r="E781" s="250"/>
      <c r="F781" s="252"/>
      <c r="G781" s="141"/>
      <c r="H781" s="41"/>
      <c r="I781" s="141"/>
      <c r="J781" s="254"/>
      <c r="K781" s="252"/>
    </row>
    <row r="782" ht="22.5" customHeight="1">
      <c r="A782" s="248"/>
      <c r="B782" s="249"/>
      <c r="C782" s="250"/>
      <c r="D782" s="251"/>
      <c r="E782" s="250"/>
      <c r="F782" s="252"/>
      <c r="G782" s="143"/>
      <c r="H782" s="37"/>
      <c r="I782" s="143"/>
      <c r="J782" s="253"/>
      <c r="K782" s="252"/>
    </row>
    <row r="783" ht="22.5" customHeight="1">
      <c r="A783" s="248"/>
      <c r="B783" s="249"/>
      <c r="C783" s="250"/>
      <c r="D783" s="251"/>
      <c r="E783" s="250"/>
      <c r="F783" s="252"/>
      <c r="G783" s="141"/>
      <c r="H783" s="41"/>
      <c r="I783" s="141"/>
      <c r="J783" s="254"/>
      <c r="K783" s="252"/>
    </row>
    <row r="784" ht="22.5" customHeight="1">
      <c r="A784" s="248"/>
      <c r="B784" s="249"/>
      <c r="C784" s="250"/>
      <c r="D784" s="251"/>
      <c r="E784" s="250"/>
      <c r="F784" s="252"/>
      <c r="G784" s="143"/>
      <c r="H784" s="37"/>
      <c r="I784" s="143"/>
      <c r="J784" s="253"/>
      <c r="K784" s="252"/>
    </row>
    <row r="785" ht="22.5" customHeight="1">
      <c r="A785" s="248"/>
      <c r="B785" s="249"/>
      <c r="C785" s="250"/>
      <c r="D785" s="251"/>
      <c r="E785" s="250"/>
      <c r="F785" s="252"/>
      <c r="G785" s="141"/>
      <c r="H785" s="41"/>
      <c r="I785" s="141"/>
      <c r="J785" s="254"/>
      <c r="K785" s="252"/>
    </row>
    <row r="786" ht="22.5" customHeight="1">
      <c r="A786" s="248"/>
      <c r="B786" s="249"/>
      <c r="C786" s="250"/>
      <c r="D786" s="251"/>
      <c r="E786" s="250"/>
      <c r="F786" s="252"/>
      <c r="G786" s="143"/>
      <c r="H786" s="37"/>
      <c r="I786" s="143"/>
      <c r="J786" s="253"/>
      <c r="K786" s="252"/>
    </row>
    <row r="787" ht="22.5" customHeight="1">
      <c r="A787" s="248"/>
      <c r="B787" s="249"/>
      <c r="C787" s="250"/>
      <c r="D787" s="251"/>
      <c r="E787" s="250"/>
      <c r="F787" s="252"/>
      <c r="G787" s="141"/>
      <c r="H787" s="41"/>
      <c r="I787" s="141"/>
      <c r="J787" s="254"/>
      <c r="K787" s="252"/>
    </row>
    <row r="788" ht="22.5" customHeight="1">
      <c r="A788" s="248"/>
      <c r="B788" s="249"/>
      <c r="C788" s="250"/>
      <c r="D788" s="251"/>
      <c r="E788" s="250"/>
      <c r="F788" s="252"/>
      <c r="G788" s="143"/>
      <c r="H788" s="37"/>
      <c r="I788" s="143"/>
      <c r="J788" s="253"/>
      <c r="K788" s="252"/>
    </row>
    <row r="789" ht="22.5" customHeight="1">
      <c r="A789" s="248"/>
      <c r="B789" s="249"/>
      <c r="C789" s="250"/>
      <c r="D789" s="251"/>
      <c r="E789" s="250"/>
      <c r="F789" s="252"/>
      <c r="G789" s="141"/>
      <c r="H789" s="41"/>
      <c r="I789" s="141"/>
      <c r="J789" s="254"/>
      <c r="K789" s="252"/>
    </row>
    <row r="790" ht="22.5" customHeight="1">
      <c r="A790" s="248"/>
      <c r="B790" s="249"/>
      <c r="C790" s="250"/>
      <c r="D790" s="251"/>
      <c r="E790" s="250"/>
      <c r="F790" s="252"/>
      <c r="G790" s="143"/>
      <c r="H790" s="37"/>
      <c r="I790" s="143"/>
      <c r="J790" s="253"/>
      <c r="K790" s="252"/>
    </row>
    <row r="791" ht="22.5" customHeight="1">
      <c r="A791" s="248"/>
      <c r="B791" s="249"/>
      <c r="C791" s="250"/>
      <c r="D791" s="251"/>
      <c r="E791" s="250"/>
      <c r="F791" s="252"/>
      <c r="G791" s="141"/>
      <c r="H791" s="41"/>
      <c r="I791" s="141"/>
      <c r="J791" s="254"/>
      <c r="K791" s="252"/>
    </row>
    <row r="792" ht="22.5" customHeight="1">
      <c r="A792" s="248"/>
      <c r="B792" s="249"/>
      <c r="C792" s="250"/>
      <c r="D792" s="251"/>
      <c r="E792" s="250"/>
      <c r="F792" s="252"/>
      <c r="G792" s="143"/>
      <c r="H792" s="37"/>
      <c r="I792" s="143"/>
      <c r="J792" s="253"/>
      <c r="K792" s="252"/>
    </row>
    <row r="793" ht="22.5" customHeight="1">
      <c r="A793" s="248"/>
      <c r="B793" s="249"/>
      <c r="C793" s="250"/>
      <c r="D793" s="251"/>
      <c r="E793" s="250"/>
      <c r="F793" s="252"/>
      <c r="G793" s="141"/>
      <c r="H793" s="41"/>
      <c r="I793" s="141"/>
      <c r="J793" s="254"/>
      <c r="K793" s="252"/>
    </row>
    <row r="794" ht="22.5" customHeight="1">
      <c r="A794" s="248"/>
      <c r="B794" s="249"/>
      <c r="C794" s="250"/>
      <c r="D794" s="251"/>
      <c r="E794" s="250"/>
      <c r="F794" s="252"/>
      <c r="G794" s="143"/>
      <c r="H794" s="37"/>
      <c r="I794" s="143"/>
      <c r="J794" s="253"/>
      <c r="K794" s="252"/>
    </row>
    <row r="795" ht="22.5" customHeight="1">
      <c r="A795" s="248"/>
      <c r="B795" s="249"/>
      <c r="C795" s="250"/>
      <c r="D795" s="251"/>
      <c r="E795" s="250"/>
      <c r="F795" s="252"/>
      <c r="G795" s="141"/>
      <c r="H795" s="41"/>
      <c r="I795" s="141"/>
      <c r="J795" s="254"/>
      <c r="K795" s="252"/>
    </row>
    <row r="796" ht="22.5" customHeight="1">
      <c r="A796" s="248"/>
      <c r="B796" s="249"/>
      <c r="C796" s="250"/>
      <c r="D796" s="251"/>
      <c r="E796" s="250"/>
      <c r="F796" s="252"/>
      <c r="G796" s="143"/>
      <c r="H796" s="37"/>
      <c r="I796" s="143"/>
      <c r="J796" s="253"/>
      <c r="K796" s="252"/>
    </row>
    <row r="797" ht="22.5" customHeight="1">
      <c r="A797" s="248"/>
      <c r="B797" s="249"/>
      <c r="C797" s="250"/>
      <c r="D797" s="251"/>
      <c r="E797" s="250"/>
      <c r="F797" s="252"/>
      <c r="G797" s="141"/>
      <c r="H797" s="41"/>
      <c r="I797" s="141"/>
      <c r="J797" s="254"/>
      <c r="K797" s="252"/>
    </row>
    <row r="798" ht="22.5" customHeight="1">
      <c r="A798" s="248"/>
      <c r="B798" s="249"/>
      <c r="C798" s="250"/>
      <c r="D798" s="251"/>
      <c r="E798" s="250"/>
      <c r="F798" s="252"/>
      <c r="G798" s="143"/>
      <c r="H798" s="37"/>
      <c r="I798" s="143"/>
      <c r="J798" s="253"/>
      <c r="K798" s="252"/>
    </row>
    <row r="799" ht="22.5" customHeight="1">
      <c r="A799" s="248"/>
      <c r="B799" s="249"/>
      <c r="C799" s="250"/>
      <c r="D799" s="251"/>
      <c r="E799" s="250"/>
      <c r="F799" s="252"/>
      <c r="G799" s="141"/>
      <c r="H799" s="41"/>
      <c r="I799" s="141"/>
      <c r="J799" s="254"/>
      <c r="K799" s="252"/>
    </row>
    <row r="800" ht="22.5" customHeight="1">
      <c r="A800" s="248"/>
      <c r="B800" s="249"/>
      <c r="C800" s="250"/>
      <c r="D800" s="251"/>
      <c r="E800" s="250"/>
      <c r="F800" s="252"/>
      <c r="G800" s="143"/>
      <c r="H800" s="37"/>
      <c r="I800" s="143"/>
      <c r="J800" s="253"/>
      <c r="K800" s="252"/>
    </row>
    <row r="801" ht="22.5" customHeight="1">
      <c r="A801" s="248"/>
      <c r="B801" s="249"/>
      <c r="C801" s="250"/>
      <c r="D801" s="251"/>
      <c r="E801" s="250"/>
      <c r="F801" s="252"/>
      <c r="G801" s="141"/>
      <c r="H801" s="41"/>
      <c r="I801" s="141"/>
      <c r="J801" s="254"/>
      <c r="K801" s="252"/>
    </row>
    <row r="802" ht="22.5" customHeight="1">
      <c r="A802" s="248"/>
      <c r="B802" s="249"/>
      <c r="C802" s="250"/>
      <c r="D802" s="251"/>
      <c r="E802" s="250"/>
      <c r="F802" s="252"/>
      <c r="G802" s="143"/>
      <c r="H802" s="37"/>
      <c r="I802" s="143"/>
      <c r="J802" s="253"/>
      <c r="K802" s="252"/>
    </row>
    <row r="803" ht="22.5" customHeight="1">
      <c r="A803" s="248"/>
      <c r="B803" s="249"/>
      <c r="C803" s="250"/>
      <c r="D803" s="251"/>
      <c r="E803" s="250"/>
      <c r="F803" s="252"/>
      <c r="G803" s="141"/>
      <c r="H803" s="41"/>
      <c r="I803" s="141"/>
      <c r="J803" s="254"/>
      <c r="K803" s="252"/>
    </row>
    <row r="804" ht="22.5" customHeight="1">
      <c r="A804" s="248"/>
      <c r="B804" s="249"/>
      <c r="C804" s="250"/>
      <c r="D804" s="251"/>
      <c r="E804" s="250"/>
      <c r="F804" s="252"/>
      <c r="G804" s="143"/>
      <c r="H804" s="37"/>
      <c r="I804" s="143"/>
      <c r="J804" s="253"/>
      <c r="K804" s="252"/>
    </row>
    <row r="805" ht="22.5" customHeight="1">
      <c r="A805" s="248"/>
      <c r="B805" s="249"/>
      <c r="C805" s="250"/>
      <c r="D805" s="251"/>
      <c r="E805" s="250"/>
      <c r="F805" s="252"/>
      <c r="G805" s="141"/>
      <c r="H805" s="41"/>
      <c r="I805" s="141"/>
      <c r="J805" s="254"/>
      <c r="K805" s="252"/>
    </row>
    <row r="806" ht="22.5" customHeight="1">
      <c r="A806" s="248"/>
      <c r="B806" s="249"/>
      <c r="C806" s="250"/>
      <c r="D806" s="251"/>
      <c r="E806" s="250"/>
      <c r="F806" s="252"/>
      <c r="G806" s="143"/>
      <c r="H806" s="37"/>
      <c r="I806" s="143"/>
      <c r="J806" s="253"/>
      <c r="K806" s="252"/>
    </row>
    <row r="807" ht="22.5" customHeight="1">
      <c r="A807" s="248"/>
      <c r="B807" s="249"/>
      <c r="C807" s="250"/>
      <c r="D807" s="251"/>
      <c r="E807" s="250"/>
      <c r="F807" s="252"/>
      <c r="G807" s="141"/>
      <c r="H807" s="41"/>
      <c r="I807" s="141"/>
      <c r="J807" s="254"/>
      <c r="K807" s="252"/>
    </row>
    <row r="808" ht="22.5" customHeight="1">
      <c r="A808" s="248"/>
      <c r="B808" s="249"/>
      <c r="C808" s="250"/>
      <c r="D808" s="251"/>
      <c r="E808" s="250"/>
      <c r="F808" s="252"/>
      <c r="G808" s="143"/>
      <c r="H808" s="37"/>
      <c r="I808" s="143"/>
      <c r="J808" s="253"/>
      <c r="K808" s="252"/>
    </row>
    <row r="809" ht="22.5" customHeight="1">
      <c r="A809" s="248"/>
      <c r="B809" s="249"/>
      <c r="C809" s="250"/>
      <c r="D809" s="251"/>
      <c r="E809" s="250"/>
      <c r="F809" s="252"/>
      <c r="G809" s="141"/>
      <c r="H809" s="41"/>
      <c r="I809" s="141"/>
      <c r="J809" s="254"/>
      <c r="K809" s="252"/>
    </row>
    <row r="810" ht="22.5" customHeight="1">
      <c r="A810" s="248"/>
      <c r="B810" s="249"/>
      <c r="C810" s="250"/>
      <c r="D810" s="251"/>
      <c r="E810" s="250"/>
      <c r="F810" s="252"/>
      <c r="G810" s="143"/>
      <c r="H810" s="37"/>
      <c r="I810" s="143"/>
      <c r="J810" s="253"/>
      <c r="K810" s="252"/>
    </row>
    <row r="811" ht="22.5" customHeight="1">
      <c r="A811" s="248"/>
      <c r="B811" s="249"/>
      <c r="C811" s="250"/>
      <c r="D811" s="251"/>
      <c r="E811" s="250"/>
      <c r="F811" s="252"/>
      <c r="G811" s="141"/>
      <c r="H811" s="41"/>
      <c r="I811" s="141"/>
      <c r="J811" s="254"/>
      <c r="K811" s="252"/>
    </row>
    <row r="812" ht="22.5" customHeight="1">
      <c r="A812" s="248"/>
      <c r="B812" s="249"/>
      <c r="C812" s="250"/>
      <c r="D812" s="251"/>
      <c r="E812" s="250"/>
      <c r="F812" s="252"/>
      <c r="G812" s="143"/>
      <c r="H812" s="37"/>
      <c r="I812" s="143"/>
      <c r="J812" s="253"/>
      <c r="K812" s="252"/>
    </row>
    <row r="813" ht="22.5" customHeight="1">
      <c r="A813" s="248"/>
      <c r="B813" s="249"/>
      <c r="C813" s="250"/>
      <c r="D813" s="251"/>
      <c r="E813" s="250"/>
      <c r="F813" s="252"/>
      <c r="G813" s="141"/>
      <c r="H813" s="41"/>
      <c r="I813" s="141"/>
      <c r="J813" s="254"/>
      <c r="K813" s="252"/>
    </row>
    <row r="814" ht="22.5" customHeight="1">
      <c r="A814" s="248"/>
      <c r="B814" s="249"/>
      <c r="C814" s="250"/>
      <c r="D814" s="251"/>
      <c r="E814" s="250"/>
      <c r="F814" s="252"/>
      <c r="G814" s="143"/>
      <c r="H814" s="37"/>
      <c r="I814" s="143"/>
      <c r="J814" s="253"/>
      <c r="K814" s="252"/>
    </row>
    <row r="815" ht="22.5" customHeight="1">
      <c r="A815" s="248"/>
      <c r="B815" s="249"/>
      <c r="C815" s="250"/>
      <c r="D815" s="251"/>
      <c r="E815" s="250"/>
      <c r="F815" s="252"/>
      <c r="G815" s="141"/>
      <c r="H815" s="41"/>
      <c r="I815" s="141"/>
      <c r="J815" s="254"/>
      <c r="K815" s="252"/>
    </row>
    <row r="816" ht="22.5" customHeight="1">
      <c r="A816" s="248"/>
      <c r="B816" s="249"/>
      <c r="C816" s="250"/>
      <c r="D816" s="251"/>
      <c r="E816" s="250"/>
      <c r="F816" s="252"/>
      <c r="G816" s="143"/>
      <c r="H816" s="37"/>
      <c r="I816" s="143"/>
      <c r="J816" s="253"/>
      <c r="K816" s="252"/>
    </row>
    <row r="817" ht="22.5" customHeight="1">
      <c r="A817" s="248"/>
      <c r="B817" s="249"/>
      <c r="C817" s="250"/>
      <c r="D817" s="251"/>
      <c r="E817" s="250"/>
      <c r="F817" s="252"/>
      <c r="G817" s="141"/>
      <c r="H817" s="41"/>
      <c r="I817" s="141"/>
      <c r="J817" s="254"/>
      <c r="K817" s="252"/>
    </row>
    <row r="818" ht="22.5" customHeight="1">
      <c r="A818" s="248"/>
      <c r="B818" s="249"/>
      <c r="C818" s="250"/>
      <c r="D818" s="251"/>
      <c r="E818" s="250"/>
      <c r="F818" s="252"/>
      <c r="G818" s="143"/>
      <c r="H818" s="37"/>
      <c r="I818" s="143"/>
      <c r="J818" s="253"/>
      <c r="K818" s="252"/>
    </row>
    <row r="819" ht="22.5" customHeight="1">
      <c r="A819" s="248"/>
      <c r="B819" s="249"/>
      <c r="C819" s="250"/>
      <c r="D819" s="251"/>
      <c r="E819" s="250"/>
      <c r="F819" s="252"/>
      <c r="G819" s="141"/>
      <c r="H819" s="41"/>
      <c r="I819" s="141"/>
      <c r="J819" s="254"/>
      <c r="K819" s="252"/>
    </row>
    <row r="820" ht="22.5" customHeight="1">
      <c r="A820" s="248"/>
      <c r="B820" s="249"/>
      <c r="C820" s="250"/>
      <c r="D820" s="251"/>
      <c r="E820" s="250"/>
      <c r="F820" s="252"/>
      <c r="G820" s="143"/>
      <c r="H820" s="37"/>
      <c r="I820" s="143"/>
      <c r="J820" s="253"/>
      <c r="K820" s="252"/>
    </row>
    <row r="821" ht="22.5" customHeight="1">
      <c r="A821" s="248"/>
      <c r="B821" s="249"/>
      <c r="C821" s="250"/>
      <c r="D821" s="251"/>
      <c r="E821" s="250"/>
      <c r="F821" s="252"/>
      <c r="G821" s="141"/>
      <c r="H821" s="41"/>
      <c r="I821" s="141"/>
      <c r="J821" s="254"/>
      <c r="K821" s="252"/>
    </row>
    <row r="822" ht="22.5" customHeight="1">
      <c r="A822" s="248"/>
      <c r="B822" s="249"/>
      <c r="C822" s="250"/>
      <c r="D822" s="251"/>
      <c r="E822" s="250"/>
      <c r="F822" s="252"/>
      <c r="G822" s="143"/>
      <c r="H822" s="37"/>
      <c r="I822" s="143"/>
      <c r="J822" s="253"/>
      <c r="K822" s="252"/>
    </row>
    <row r="823" ht="22.5" customHeight="1">
      <c r="A823" s="248"/>
      <c r="B823" s="249"/>
      <c r="C823" s="250"/>
      <c r="D823" s="251"/>
      <c r="E823" s="250"/>
      <c r="F823" s="252"/>
      <c r="G823" s="141"/>
      <c r="H823" s="41"/>
      <c r="I823" s="141"/>
      <c r="J823" s="254"/>
      <c r="K823" s="252"/>
    </row>
    <row r="824" ht="22.5" customHeight="1">
      <c r="A824" s="248"/>
      <c r="B824" s="249"/>
      <c r="C824" s="250"/>
      <c r="D824" s="251"/>
      <c r="E824" s="250"/>
      <c r="F824" s="252"/>
      <c r="G824" s="143"/>
      <c r="H824" s="37"/>
      <c r="I824" s="143"/>
      <c r="J824" s="253"/>
      <c r="K824" s="252"/>
    </row>
    <row r="825" ht="22.5" customHeight="1">
      <c r="A825" s="248"/>
      <c r="B825" s="249"/>
      <c r="C825" s="250"/>
      <c r="D825" s="251"/>
      <c r="E825" s="250"/>
      <c r="F825" s="252"/>
      <c r="G825" s="141"/>
      <c r="H825" s="41"/>
      <c r="I825" s="141"/>
      <c r="J825" s="254"/>
      <c r="K825" s="252"/>
    </row>
    <row r="826" ht="22.5" customHeight="1">
      <c r="A826" s="248"/>
      <c r="B826" s="249"/>
      <c r="C826" s="250"/>
      <c r="D826" s="251"/>
      <c r="E826" s="250"/>
      <c r="F826" s="252"/>
      <c r="G826" s="143"/>
      <c r="H826" s="37"/>
      <c r="I826" s="143"/>
      <c r="J826" s="253"/>
      <c r="K826" s="252"/>
    </row>
    <row r="827" ht="22.5" customHeight="1">
      <c r="A827" s="248"/>
      <c r="B827" s="249"/>
      <c r="C827" s="250"/>
      <c r="D827" s="251"/>
      <c r="E827" s="250"/>
      <c r="F827" s="252"/>
      <c r="G827" s="141"/>
      <c r="H827" s="41"/>
      <c r="I827" s="141"/>
      <c r="J827" s="254"/>
      <c r="K827" s="252"/>
    </row>
    <row r="828" ht="22.5" customHeight="1">
      <c r="A828" s="248"/>
      <c r="B828" s="249"/>
      <c r="C828" s="250"/>
      <c r="D828" s="251"/>
      <c r="E828" s="250"/>
      <c r="F828" s="252"/>
      <c r="G828" s="143"/>
      <c r="H828" s="37"/>
      <c r="I828" s="143"/>
      <c r="J828" s="253"/>
      <c r="K828" s="252"/>
    </row>
    <row r="829" ht="22.5" customHeight="1">
      <c r="A829" s="248"/>
      <c r="B829" s="249"/>
      <c r="C829" s="250"/>
      <c r="D829" s="251"/>
      <c r="E829" s="250"/>
      <c r="F829" s="252"/>
      <c r="G829" s="141"/>
      <c r="H829" s="41"/>
      <c r="I829" s="141"/>
      <c r="J829" s="254"/>
      <c r="K829" s="252"/>
    </row>
    <row r="830" ht="22.5" customHeight="1">
      <c r="A830" s="248"/>
      <c r="B830" s="249"/>
      <c r="C830" s="250"/>
      <c r="D830" s="251"/>
      <c r="E830" s="250"/>
      <c r="F830" s="252"/>
      <c r="G830" s="143"/>
      <c r="H830" s="37"/>
      <c r="I830" s="143"/>
      <c r="J830" s="253"/>
      <c r="K830" s="252"/>
    </row>
    <row r="831" ht="22.5" customHeight="1">
      <c r="A831" s="248"/>
      <c r="B831" s="249"/>
      <c r="C831" s="250"/>
      <c r="D831" s="251"/>
      <c r="E831" s="250"/>
      <c r="F831" s="252"/>
      <c r="G831" s="141"/>
      <c r="H831" s="41"/>
      <c r="I831" s="141"/>
      <c r="J831" s="254"/>
      <c r="K831" s="252"/>
    </row>
    <row r="832" ht="22.5" customHeight="1">
      <c r="A832" s="248"/>
      <c r="B832" s="249"/>
      <c r="C832" s="250"/>
      <c r="D832" s="251"/>
      <c r="E832" s="250"/>
      <c r="F832" s="252"/>
      <c r="G832" s="143"/>
      <c r="H832" s="37"/>
      <c r="I832" s="143"/>
      <c r="J832" s="253"/>
      <c r="K832" s="252"/>
    </row>
    <row r="833" ht="22.5" customHeight="1">
      <c r="A833" s="248"/>
      <c r="B833" s="249"/>
      <c r="C833" s="250"/>
      <c r="D833" s="251"/>
      <c r="E833" s="250"/>
      <c r="F833" s="252"/>
      <c r="G833" s="141"/>
      <c r="H833" s="41"/>
      <c r="I833" s="141"/>
      <c r="J833" s="254"/>
      <c r="K833" s="252"/>
    </row>
    <row r="834" ht="22.5" customHeight="1">
      <c r="A834" s="248"/>
      <c r="B834" s="249"/>
      <c r="C834" s="250"/>
      <c r="D834" s="251"/>
      <c r="E834" s="250"/>
      <c r="F834" s="252"/>
      <c r="G834" s="143"/>
      <c r="H834" s="37"/>
      <c r="I834" s="143"/>
      <c r="J834" s="253"/>
      <c r="K834" s="252"/>
    </row>
    <row r="835" ht="22.5" customHeight="1">
      <c r="A835" s="248"/>
      <c r="B835" s="249"/>
      <c r="C835" s="250"/>
      <c r="D835" s="251"/>
      <c r="E835" s="250"/>
      <c r="F835" s="252"/>
      <c r="G835" s="141"/>
      <c r="H835" s="41"/>
      <c r="I835" s="141"/>
      <c r="J835" s="254"/>
      <c r="K835" s="252"/>
    </row>
    <row r="836" ht="22.5" customHeight="1">
      <c r="A836" s="248"/>
      <c r="B836" s="249"/>
      <c r="C836" s="250"/>
      <c r="D836" s="251"/>
      <c r="E836" s="250"/>
      <c r="F836" s="252"/>
      <c r="G836" s="143"/>
      <c r="H836" s="37"/>
      <c r="I836" s="143"/>
      <c r="J836" s="253"/>
      <c r="K836" s="252"/>
    </row>
    <row r="837" ht="22.5" customHeight="1">
      <c r="A837" s="248"/>
      <c r="B837" s="249"/>
      <c r="C837" s="250"/>
      <c r="D837" s="251"/>
      <c r="E837" s="250"/>
      <c r="F837" s="252"/>
      <c r="G837" s="141"/>
      <c r="H837" s="41"/>
      <c r="I837" s="141"/>
      <c r="J837" s="254"/>
      <c r="K837" s="252"/>
    </row>
    <row r="838" ht="22.5" customHeight="1">
      <c r="A838" s="248"/>
      <c r="B838" s="249"/>
      <c r="C838" s="250"/>
      <c r="D838" s="251"/>
      <c r="E838" s="250"/>
      <c r="F838" s="252"/>
      <c r="G838" s="143"/>
      <c r="H838" s="37"/>
      <c r="I838" s="143"/>
      <c r="J838" s="253"/>
      <c r="K838" s="252"/>
    </row>
    <row r="839" ht="22.5" customHeight="1">
      <c r="A839" s="248"/>
      <c r="B839" s="249"/>
      <c r="C839" s="250"/>
      <c r="D839" s="251"/>
      <c r="E839" s="250"/>
      <c r="F839" s="252"/>
      <c r="G839" s="141"/>
      <c r="H839" s="41"/>
      <c r="I839" s="141"/>
      <c r="J839" s="254"/>
      <c r="K839" s="252"/>
    </row>
    <row r="840" ht="22.5" customHeight="1">
      <c r="A840" s="248"/>
      <c r="B840" s="249"/>
      <c r="C840" s="250"/>
      <c r="D840" s="251"/>
      <c r="E840" s="250"/>
      <c r="F840" s="252"/>
      <c r="G840" s="143"/>
      <c r="H840" s="37"/>
      <c r="I840" s="143"/>
      <c r="J840" s="253"/>
      <c r="K840" s="252"/>
    </row>
    <row r="841" ht="22.5" customHeight="1">
      <c r="A841" s="248"/>
      <c r="B841" s="249"/>
      <c r="C841" s="250"/>
      <c r="D841" s="251"/>
      <c r="E841" s="250"/>
      <c r="F841" s="252"/>
      <c r="G841" s="141"/>
      <c r="H841" s="41"/>
      <c r="I841" s="141"/>
      <c r="J841" s="254"/>
      <c r="K841" s="252"/>
    </row>
    <row r="842" ht="22.5" customHeight="1">
      <c r="A842" s="248"/>
      <c r="B842" s="249"/>
      <c r="C842" s="250"/>
      <c r="D842" s="251"/>
      <c r="E842" s="250"/>
      <c r="F842" s="252"/>
      <c r="G842" s="143"/>
      <c r="H842" s="37"/>
      <c r="I842" s="143"/>
      <c r="J842" s="253"/>
      <c r="K842" s="252"/>
    </row>
    <row r="843" ht="22.5" customHeight="1">
      <c r="A843" s="248"/>
      <c r="B843" s="249"/>
      <c r="C843" s="250"/>
      <c r="D843" s="251"/>
      <c r="E843" s="250"/>
      <c r="F843" s="252"/>
      <c r="G843" s="141"/>
      <c r="H843" s="41"/>
      <c r="I843" s="141"/>
      <c r="J843" s="254"/>
      <c r="K843" s="252"/>
    </row>
    <row r="844" ht="22.5" customHeight="1">
      <c r="A844" s="248"/>
      <c r="B844" s="249"/>
      <c r="C844" s="250"/>
      <c r="D844" s="251"/>
      <c r="E844" s="250"/>
      <c r="F844" s="252"/>
      <c r="G844" s="143"/>
      <c r="H844" s="37"/>
      <c r="I844" s="143"/>
      <c r="J844" s="253"/>
      <c r="K844" s="252"/>
    </row>
    <row r="845" ht="22.5" customHeight="1">
      <c r="A845" s="248"/>
      <c r="B845" s="249"/>
      <c r="C845" s="250"/>
      <c r="D845" s="251"/>
      <c r="E845" s="250"/>
      <c r="F845" s="252"/>
      <c r="G845" s="141"/>
      <c r="H845" s="41"/>
      <c r="I845" s="141"/>
      <c r="J845" s="254"/>
      <c r="K845" s="252"/>
    </row>
    <row r="846" ht="22.5" customHeight="1">
      <c r="A846" s="248"/>
      <c r="B846" s="249"/>
      <c r="C846" s="250"/>
      <c r="D846" s="251"/>
      <c r="E846" s="250"/>
      <c r="F846" s="252"/>
      <c r="G846" s="143"/>
      <c r="H846" s="37"/>
      <c r="I846" s="143"/>
      <c r="J846" s="253"/>
      <c r="K846" s="252"/>
    </row>
    <row r="847" ht="22.5" customHeight="1">
      <c r="A847" s="248"/>
      <c r="B847" s="249"/>
      <c r="C847" s="250"/>
      <c r="D847" s="251"/>
      <c r="E847" s="250"/>
      <c r="F847" s="252"/>
      <c r="G847" s="141"/>
      <c r="H847" s="41"/>
      <c r="I847" s="141"/>
      <c r="J847" s="254"/>
      <c r="K847" s="252"/>
    </row>
    <row r="848" ht="22.5" customHeight="1">
      <c r="A848" s="248"/>
      <c r="B848" s="249"/>
      <c r="C848" s="250"/>
      <c r="D848" s="251"/>
      <c r="E848" s="250"/>
      <c r="F848" s="252"/>
      <c r="G848" s="143"/>
      <c r="H848" s="37"/>
      <c r="I848" s="143"/>
      <c r="J848" s="253"/>
      <c r="K848" s="252"/>
    </row>
    <row r="849" ht="22.5" customHeight="1">
      <c r="A849" s="248"/>
      <c r="B849" s="249"/>
      <c r="C849" s="250"/>
      <c r="D849" s="251"/>
      <c r="E849" s="250"/>
      <c r="F849" s="252"/>
      <c r="G849" s="141"/>
      <c r="H849" s="41"/>
      <c r="I849" s="141"/>
      <c r="J849" s="254"/>
      <c r="K849" s="252"/>
    </row>
    <row r="850" ht="22.5" customHeight="1">
      <c r="A850" s="248"/>
      <c r="B850" s="249"/>
      <c r="C850" s="250"/>
      <c r="D850" s="251"/>
      <c r="E850" s="250"/>
      <c r="F850" s="252"/>
      <c r="G850" s="143"/>
      <c r="H850" s="37"/>
      <c r="I850" s="143"/>
      <c r="J850" s="253"/>
      <c r="K850" s="252"/>
    </row>
    <row r="851" ht="22.5" customHeight="1">
      <c r="A851" s="248"/>
      <c r="B851" s="249"/>
      <c r="C851" s="250"/>
      <c r="D851" s="251"/>
      <c r="E851" s="250"/>
      <c r="F851" s="252"/>
      <c r="G851" s="141"/>
      <c r="H851" s="41"/>
      <c r="I851" s="141"/>
      <c r="J851" s="254"/>
      <c r="K851" s="252"/>
    </row>
    <row r="852" ht="22.5" customHeight="1">
      <c r="A852" s="248"/>
      <c r="B852" s="249"/>
      <c r="C852" s="250"/>
      <c r="D852" s="251"/>
      <c r="E852" s="250"/>
      <c r="F852" s="252"/>
      <c r="G852" s="143"/>
      <c r="H852" s="37"/>
      <c r="I852" s="143"/>
      <c r="J852" s="253"/>
      <c r="K852" s="252"/>
    </row>
    <row r="853" ht="22.5" customHeight="1">
      <c r="A853" s="248"/>
      <c r="B853" s="249"/>
      <c r="C853" s="250"/>
      <c r="D853" s="251"/>
      <c r="E853" s="250"/>
      <c r="F853" s="252"/>
      <c r="G853" s="141"/>
      <c r="H853" s="41"/>
      <c r="I853" s="141"/>
      <c r="J853" s="254"/>
      <c r="K853" s="252"/>
    </row>
    <row r="854" ht="22.5" customHeight="1">
      <c r="A854" s="248"/>
      <c r="B854" s="249"/>
      <c r="C854" s="250"/>
      <c r="D854" s="251"/>
      <c r="E854" s="250"/>
      <c r="F854" s="252"/>
      <c r="G854" s="143"/>
      <c r="H854" s="37"/>
      <c r="I854" s="143"/>
      <c r="J854" s="253"/>
      <c r="K854" s="252"/>
    </row>
    <row r="855" ht="22.5" customHeight="1">
      <c r="A855" s="248"/>
      <c r="B855" s="249"/>
      <c r="C855" s="250"/>
      <c r="D855" s="251"/>
      <c r="E855" s="250"/>
      <c r="F855" s="252"/>
      <c r="G855" s="141"/>
      <c r="H855" s="41"/>
      <c r="I855" s="141"/>
      <c r="J855" s="254"/>
      <c r="K855" s="252"/>
    </row>
    <row r="856" ht="22.5" customHeight="1">
      <c r="A856" s="248"/>
      <c r="B856" s="249"/>
      <c r="C856" s="250"/>
      <c r="D856" s="251"/>
      <c r="E856" s="250"/>
      <c r="F856" s="252"/>
      <c r="G856" s="143"/>
      <c r="H856" s="37"/>
      <c r="I856" s="143"/>
      <c r="J856" s="253"/>
      <c r="K856" s="252"/>
    </row>
    <row r="857" ht="22.5" customHeight="1">
      <c r="A857" s="248"/>
      <c r="B857" s="249"/>
      <c r="C857" s="250"/>
      <c r="D857" s="251"/>
      <c r="E857" s="250"/>
      <c r="F857" s="252"/>
      <c r="G857" s="141"/>
      <c r="H857" s="41"/>
      <c r="I857" s="141"/>
      <c r="J857" s="254"/>
      <c r="K857" s="252"/>
    </row>
    <row r="858" ht="22.5" customHeight="1">
      <c r="A858" s="248"/>
      <c r="B858" s="249"/>
      <c r="C858" s="250"/>
      <c r="D858" s="251"/>
      <c r="E858" s="250"/>
      <c r="F858" s="252"/>
      <c r="G858" s="143"/>
      <c r="H858" s="37"/>
      <c r="I858" s="143"/>
      <c r="J858" s="253"/>
      <c r="K858" s="252"/>
    </row>
    <row r="859" ht="22.5" customHeight="1">
      <c r="A859" s="248"/>
      <c r="B859" s="249"/>
      <c r="C859" s="250"/>
      <c r="D859" s="251"/>
      <c r="E859" s="250"/>
      <c r="F859" s="252"/>
      <c r="G859" s="141"/>
      <c r="H859" s="41"/>
      <c r="I859" s="141"/>
      <c r="J859" s="254"/>
      <c r="K859" s="252"/>
    </row>
    <row r="860" ht="22.5" customHeight="1">
      <c r="A860" s="248"/>
      <c r="B860" s="249"/>
      <c r="C860" s="250"/>
      <c r="D860" s="251"/>
      <c r="E860" s="250"/>
      <c r="F860" s="252"/>
      <c r="G860" s="143"/>
      <c r="H860" s="37"/>
      <c r="I860" s="143"/>
      <c r="J860" s="253"/>
      <c r="K860" s="252"/>
    </row>
    <row r="861" ht="22.5" customHeight="1">
      <c r="A861" s="248"/>
      <c r="B861" s="249"/>
      <c r="C861" s="250"/>
      <c r="D861" s="251"/>
      <c r="E861" s="250"/>
      <c r="F861" s="252"/>
      <c r="G861" s="141"/>
      <c r="H861" s="41"/>
      <c r="I861" s="141"/>
      <c r="J861" s="254"/>
      <c r="K861" s="252"/>
    </row>
    <row r="862" ht="22.5" customHeight="1">
      <c r="A862" s="248"/>
      <c r="B862" s="249"/>
      <c r="C862" s="250"/>
      <c r="D862" s="251"/>
      <c r="E862" s="250"/>
      <c r="F862" s="252"/>
      <c r="G862" s="143"/>
      <c r="H862" s="37"/>
      <c r="I862" s="143"/>
      <c r="J862" s="253"/>
      <c r="K862" s="252"/>
    </row>
    <row r="863" ht="22.5" customHeight="1">
      <c r="A863" s="248"/>
      <c r="B863" s="249"/>
      <c r="C863" s="250"/>
      <c r="D863" s="251"/>
      <c r="E863" s="250"/>
      <c r="F863" s="252"/>
      <c r="G863" s="141"/>
      <c r="H863" s="41"/>
      <c r="I863" s="141"/>
      <c r="J863" s="254"/>
      <c r="K863" s="252"/>
    </row>
    <row r="864" ht="22.5" customHeight="1">
      <c r="A864" s="248"/>
      <c r="B864" s="249"/>
      <c r="C864" s="250"/>
      <c r="D864" s="251"/>
      <c r="E864" s="250"/>
      <c r="F864" s="252"/>
      <c r="G864" s="143"/>
      <c r="H864" s="37"/>
      <c r="I864" s="143"/>
      <c r="J864" s="253"/>
      <c r="K864" s="252"/>
    </row>
    <row r="865" ht="22.5" customHeight="1">
      <c r="A865" s="248"/>
      <c r="B865" s="249"/>
      <c r="C865" s="250"/>
      <c r="D865" s="251"/>
      <c r="E865" s="250"/>
      <c r="F865" s="252"/>
      <c r="G865" s="141"/>
      <c r="H865" s="41"/>
      <c r="I865" s="141"/>
      <c r="J865" s="254"/>
      <c r="K865" s="252"/>
    </row>
    <row r="866" ht="22.5" customHeight="1">
      <c r="A866" s="248"/>
      <c r="B866" s="249"/>
      <c r="C866" s="250"/>
      <c r="D866" s="251"/>
      <c r="E866" s="250"/>
      <c r="F866" s="252"/>
      <c r="G866" s="143"/>
      <c r="H866" s="37"/>
      <c r="I866" s="143"/>
      <c r="J866" s="253"/>
      <c r="K866" s="252"/>
    </row>
    <row r="867" ht="22.5" customHeight="1">
      <c r="A867" s="248"/>
      <c r="B867" s="249"/>
      <c r="C867" s="250"/>
      <c r="D867" s="251"/>
      <c r="E867" s="250"/>
      <c r="F867" s="252"/>
      <c r="G867" s="141"/>
      <c r="H867" s="41"/>
      <c r="I867" s="141"/>
      <c r="J867" s="254"/>
      <c r="K867" s="252"/>
    </row>
    <row r="868" ht="22.5" customHeight="1">
      <c r="A868" s="248"/>
      <c r="B868" s="249"/>
      <c r="C868" s="250"/>
      <c r="D868" s="251"/>
      <c r="E868" s="250"/>
      <c r="F868" s="252"/>
      <c r="G868" s="143"/>
      <c r="H868" s="37"/>
      <c r="I868" s="143"/>
      <c r="J868" s="253"/>
      <c r="K868" s="252"/>
    </row>
    <row r="869" ht="22.5" customHeight="1">
      <c r="A869" s="248"/>
      <c r="B869" s="249"/>
      <c r="C869" s="250"/>
      <c r="D869" s="251"/>
      <c r="E869" s="250"/>
      <c r="F869" s="252"/>
      <c r="G869" s="141"/>
      <c r="H869" s="41"/>
      <c r="I869" s="141"/>
      <c r="J869" s="254"/>
      <c r="K869" s="252"/>
    </row>
    <row r="870" ht="22.5" customHeight="1">
      <c r="A870" s="248"/>
      <c r="B870" s="249"/>
      <c r="C870" s="250"/>
      <c r="D870" s="251"/>
      <c r="E870" s="250"/>
      <c r="F870" s="252"/>
      <c r="G870" s="143"/>
      <c r="H870" s="37"/>
      <c r="I870" s="143"/>
      <c r="J870" s="253"/>
      <c r="K870" s="252"/>
    </row>
    <row r="871" ht="22.5" customHeight="1">
      <c r="A871" s="248"/>
      <c r="B871" s="249"/>
      <c r="C871" s="250"/>
      <c r="D871" s="251"/>
      <c r="E871" s="250"/>
      <c r="F871" s="252"/>
      <c r="G871" s="141"/>
      <c r="H871" s="41"/>
      <c r="I871" s="141"/>
      <c r="J871" s="254"/>
      <c r="K871" s="252"/>
    </row>
    <row r="872" ht="22.5" customHeight="1">
      <c r="A872" s="248"/>
      <c r="B872" s="249"/>
      <c r="C872" s="250"/>
      <c r="D872" s="251"/>
      <c r="E872" s="250"/>
      <c r="F872" s="252"/>
      <c r="G872" s="143"/>
      <c r="H872" s="37"/>
      <c r="I872" s="143"/>
      <c r="J872" s="253"/>
      <c r="K872" s="252"/>
    </row>
    <row r="873" ht="22.5" customHeight="1">
      <c r="A873" s="248"/>
      <c r="B873" s="249"/>
      <c r="C873" s="250"/>
      <c r="D873" s="251"/>
      <c r="E873" s="250"/>
      <c r="F873" s="252"/>
      <c r="G873" s="141"/>
      <c r="H873" s="41"/>
      <c r="I873" s="141"/>
      <c r="J873" s="254"/>
      <c r="K873" s="252"/>
    </row>
    <row r="874" ht="22.5" customHeight="1">
      <c r="A874" s="248"/>
      <c r="B874" s="249"/>
      <c r="C874" s="250"/>
      <c r="D874" s="251"/>
      <c r="E874" s="250"/>
      <c r="F874" s="252"/>
      <c r="G874" s="143"/>
      <c r="H874" s="37"/>
      <c r="I874" s="143"/>
      <c r="J874" s="253"/>
      <c r="K874" s="252"/>
    </row>
    <row r="875" ht="22.5" customHeight="1">
      <c r="A875" s="248"/>
      <c r="B875" s="249"/>
      <c r="C875" s="250"/>
      <c r="D875" s="251"/>
      <c r="E875" s="250"/>
      <c r="F875" s="252"/>
      <c r="G875" s="141"/>
      <c r="H875" s="41"/>
      <c r="I875" s="141"/>
      <c r="J875" s="254"/>
      <c r="K875" s="252"/>
    </row>
    <row r="876" ht="22.5" customHeight="1">
      <c r="A876" s="248"/>
      <c r="B876" s="249"/>
      <c r="C876" s="250"/>
      <c r="D876" s="251"/>
      <c r="E876" s="250"/>
      <c r="F876" s="252"/>
      <c r="G876" s="143"/>
      <c r="H876" s="37"/>
      <c r="I876" s="143"/>
      <c r="J876" s="253"/>
      <c r="K876" s="252"/>
    </row>
    <row r="877" ht="22.5" customHeight="1">
      <c r="A877" s="248"/>
      <c r="B877" s="249"/>
      <c r="C877" s="250"/>
      <c r="D877" s="251"/>
      <c r="E877" s="250"/>
      <c r="F877" s="252"/>
      <c r="G877" s="141"/>
      <c r="H877" s="41"/>
      <c r="I877" s="141"/>
      <c r="J877" s="254"/>
      <c r="K877" s="252"/>
    </row>
    <row r="878" ht="22.5" customHeight="1">
      <c r="A878" s="248"/>
      <c r="B878" s="249"/>
      <c r="C878" s="250"/>
      <c r="D878" s="251"/>
      <c r="E878" s="250"/>
      <c r="F878" s="252"/>
      <c r="G878" s="143"/>
      <c r="H878" s="37"/>
      <c r="I878" s="143"/>
      <c r="J878" s="253"/>
      <c r="K878" s="252"/>
    </row>
    <row r="879" ht="22.5" customHeight="1">
      <c r="A879" s="248"/>
      <c r="B879" s="249"/>
      <c r="C879" s="250"/>
      <c r="D879" s="251"/>
      <c r="E879" s="250"/>
      <c r="F879" s="252"/>
      <c r="G879" s="141"/>
      <c r="H879" s="41"/>
      <c r="I879" s="141"/>
      <c r="J879" s="254"/>
      <c r="K879" s="252"/>
    </row>
    <row r="880" ht="22.5" customHeight="1">
      <c r="A880" s="248"/>
      <c r="B880" s="249"/>
      <c r="C880" s="250"/>
      <c r="D880" s="251"/>
      <c r="E880" s="250"/>
      <c r="F880" s="252"/>
      <c r="G880" s="143"/>
      <c r="H880" s="37"/>
      <c r="I880" s="143"/>
      <c r="J880" s="253"/>
      <c r="K880" s="252"/>
    </row>
    <row r="881" ht="22.5" customHeight="1">
      <c r="A881" s="248"/>
      <c r="B881" s="249"/>
      <c r="C881" s="250"/>
      <c r="D881" s="251"/>
      <c r="E881" s="250"/>
      <c r="F881" s="252"/>
      <c r="G881" s="141"/>
      <c r="H881" s="41"/>
      <c r="I881" s="141"/>
      <c r="J881" s="254"/>
      <c r="K881" s="252"/>
    </row>
    <row r="882" ht="22.5" customHeight="1">
      <c r="A882" s="248"/>
      <c r="B882" s="249"/>
      <c r="C882" s="250"/>
      <c r="D882" s="251"/>
      <c r="E882" s="250"/>
      <c r="F882" s="252"/>
      <c r="G882" s="143"/>
      <c r="H882" s="37"/>
      <c r="I882" s="143"/>
      <c r="J882" s="253"/>
      <c r="K882" s="252"/>
    </row>
    <row r="883" ht="22.5" customHeight="1">
      <c r="A883" s="248"/>
      <c r="B883" s="249"/>
      <c r="C883" s="250"/>
      <c r="D883" s="251"/>
      <c r="E883" s="250"/>
      <c r="F883" s="252"/>
      <c r="G883" s="141"/>
      <c r="H883" s="41"/>
      <c r="I883" s="141"/>
      <c r="J883" s="254"/>
      <c r="K883" s="252"/>
    </row>
    <row r="884" ht="22.5" customHeight="1">
      <c r="A884" s="248"/>
      <c r="B884" s="249"/>
      <c r="C884" s="250"/>
      <c r="D884" s="251"/>
      <c r="E884" s="250"/>
      <c r="F884" s="252"/>
      <c r="G884" s="143"/>
      <c r="H884" s="37"/>
      <c r="I884" s="143"/>
      <c r="J884" s="253"/>
      <c r="K884" s="252"/>
    </row>
    <row r="885" ht="22.5" customHeight="1">
      <c r="A885" s="248"/>
      <c r="B885" s="249"/>
      <c r="C885" s="250"/>
      <c r="D885" s="251"/>
      <c r="E885" s="250"/>
      <c r="F885" s="252"/>
      <c r="G885" s="141"/>
      <c r="H885" s="41"/>
      <c r="I885" s="141"/>
      <c r="J885" s="254"/>
      <c r="K885" s="252"/>
    </row>
    <row r="886" ht="22.5" customHeight="1">
      <c r="A886" s="248"/>
      <c r="B886" s="249"/>
      <c r="C886" s="250"/>
      <c r="D886" s="251"/>
      <c r="E886" s="250"/>
      <c r="F886" s="252"/>
      <c r="G886" s="143"/>
      <c r="H886" s="37"/>
      <c r="I886" s="143"/>
      <c r="J886" s="253"/>
      <c r="K886" s="252"/>
    </row>
    <row r="887" ht="22.5" customHeight="1">
      <c r="A887" s="248"/>
      <c r="B887" s="249"/>
      <c r="C887" s="250"/>
      <c r="D887" s="251"/>
      <c r="E887" s="250"/>
      <c r="F887" s="252"/>
      <c r="G887" s="141"/>
      <c r="H887" s="41"/>
      <c r="I887" s="141"/>
      <c r="J887" s="254"/>
      <c r="K887" s="252"/>
    </row>
    <row r="888" ht="22.5" customHeight="1">
      <c r="A888" s="248"/>
      <c r="B888" s="249"/>
      <c r="C888" s="250"/>
      <c r="D888" s="251"/>
      <c r="E888" s="250"/>
      <c r="F888" s="252"/>
      <c r="G888" s="143"/>
      <c r="H888" s="37"/>
      <c r="I888" s="143"/>
      <c r="J888" s="253"/>
      <c r="K888" s="252"/>
    </row>
    <row r="889" ht="22.5" customHeight="1">
      <c r="A889" s="248"/>
      <c r="B889" s="249"/>
      <c r="C889" s="250"/>
      <c r="D889" s="251"/>
      <c r="E889" s="250"/>
      <c r="F889" s="252"/>
      <c r="G889" s="141"/>
      <c r="H889" s="41"/>
      <c r="I889" s="141"/>
      <c r="J889" s="254"/>
      <c r="K889" s="252"/>
    </row>
    <row r="890" ht="22.5" customHeight="1">
      <c r="A890" s="248"/>
      <c r="B890" s="249"/>
      <c r="C890" s="250"/>
      <c r="D890" s="251"/>
      <c r="E890" s="250"/>
      <c r="F890" s="252"/>
      <c r="G890" s="143"/>
      <c r="H890" s="37"/>
      <c r="I890" s="143"/>
      <c r="J890" s="253"/>
      <c r="K890" s="252"/>
    </row>
    <row r="891" ht="22.5" customHeight="1">
      <c r="A891" s="248"/>
      <c r="B891" s="249"/>
      <c r="C891" s="250"/>
      <c r="D891" s="251"/>
      <c r="E891" s="250"/>
      <c r="F891" s="252"/>
      <c r="G891" s="141"/>
      <c r="H891" s="41"/>
      <c r="I891" s="141"/>
      <c r="J891" s="254"/>
      <c r="K891" s="252"/>
    </row>
    <row r="892" ht="22.5" customHeight="1">
      <c r="A892" s="248"/>
      <c r="B892" s="249"/>
      <c r="C892" s="250"/>
      <c r="D892" s="251"/>
      <c r="E892" s="250"/>
      <c r="F892" s="252"/>
      <c r="G892" s="143"/>
      <c r="H892" s="37"/>
      <c r="I892" s="143"/>
      <c r="J892" s="253"/>
      <c r="K892" s="252"/>
    </row>
    <row r="893" ht="22.5" customHeight="1">
      <c r="A893" s="248"/>
      <c r="B893" s="249"/>
      <c r="C893" s="250"/>
      <c r="D893" s="251"/>
      <c r="E893" s="250"/>
      <c r="F893" s="252"/>
      <c r="G893" s="141"/>
      <c r="H893" s="41"/>
      <c r="I893" s="141"/>
      <c r="J893" s="254"/>
      <c r="K893" s="252"/>
    </row>
    <row r="894" ht="22.5" customHeight="1">
      <c r="A894" s="248"/>
      <c r="B894" s="249"/>
      <c r="C894" s="250"/>
      <c r="D894" s="251"/>
      <c r="E894" s="250"/>
      <c r="F894" s="252"/>
      <c r="G894" s="143"/>
      <c r="H894" s="37"/>
      <c r="I894" s="143"/>
      <c r="J894" s="253"/>
      <c r="K894" s="252"/>
    </row>
    <row r="895" ht="22.5" customHeight="1">
      <c r="A895" s="248"/>
      <c r="B895" s="249"/>
      <c r="C895" s="250"/>
      <c r="D895" s="251"/>
      <c r="E895" s="250"/>
      <c r="F895" s="252"/>
      <c r="G895" s="141"/>
      <c r="H895" s="41"/>
      <c r="I895" s="141"/>
      <c r="J895" s="254"/>
      <c r="K895" s="252"/>
    </row>
    <row r="896" ht="22.5" customHeight="1">
      <c r="A896" s="248"/>
      <c r="B896" s="249"/>
      <c r="C896" s="250"/>
      <c r="D896" s="251"/>
      <c r="E896" s="250"/>
      <c r="F896" s="252"/>
      <c r="G896" s="143"/>
      <c r="H896" s="37"/>
      <c r="I896" s="143"/>
      <c r="J896" s="253"/>
      <c r="K896" s="252"/>
    </row>
    <row r="897" ht="22.5" customHeight="1">
      <c r="A897" s="248"/>
      <c r="B897" s="249"/>
      <c r="C897" s="250"/>
      <c r="D897" s="251"/>
      <c r="E897" s="250"/>
      <c r="F897" s="252"/>
      <c r="G897" s="141"/>
      <c r="H897" s="41"/>
      <c r="I897" s="141"/>
      <c r="J897" s="254"/>
      <c r="K897" s="252"/>
    </row>
    <row r="898" ht="22.5" customHeight="1">
      <c r="A898" s="248"/>
      <c r="B898" s="249"/>
      <c r="C898" s="250"/>
      <c r="D898" s="251"/>
      <c r="E898" s="250"/>
      <c r="F898" s="252"/>
      <c r="G898" s="143"/>
      <c r="H898" s="37"/>
      <c r="I898" s="143"/>
      <c r="J898" s="253"/>
      <c r="K898" s="252"/>
    </row>
    <row r="899" ht="22.5" customHeight="1">
      <c r="A899" s="248"/>
      <c r="B899" s="249"/>
      <c r="C899" s="250"/>
      <c r="D899" s="251"/>
      <c r="E899" s="250"/>
      <c r="F899" s="252"/>
      <c r="G899" s="141"/>
      <c r="H899" s="41"/>
      <c r="I899" s="141"/>
      <c r="J899" s="254"/>
      <c r="K899" s="252"/>
    </row>
    <row r="900" ht="22.5" customHeight="1">
      <c r="A900" s="248"/>
      <c r="B900" s="249"/>
      <c r="C900" s="250"/>
      <c r="D900" s="251"/>
      <c r="E900" s="250"/>
      <c r="F900" s="252"/>
      <c r="G900" s="143"/>
      <c r="H900" s="37"/>
      <c r="I900" s="143"/>
      <c r="J900" s="253"/>
      <c r="K900" s="252"/>
    </row>
    <row r="901" ht="22.5" customHeight="1">
      <c r="A901" s="248"/>
      <c r="B901" s="249"/>
      <c r="C901" s="250"/>
      <c r="D901" s="251"/>
      <c r="E901" s="250"/>
      <c r="F901" s="252"/>
      <c r="G901" s="141"/>
      <c r="H901" s="41"/>
      <c r="I901" s="141"/>
      <c r="J901" s="254"/>
      <c r="K901" s="252"/>
    </row>
    <row r="902" ht="22.5" customHeight="1">
      <c r="A902" s="248"/>
      <c r="B902" s="249"/>
      <c r="C902" s="250"/>
      <c r="D902" s="251"/>
      <c r="E902" s="250"/>
      <c r="F902" s="252"/>
      <c r="G902" s="143"/>
      <c r="H902" s="37"/>
      <c r="I902" s="143"/>
      <c r="J902" s="253"/>
      <c r="K902" s="252"/>
    </row>
    <row r="903" ht="22.5" customHeight="1">
      <c r="A903" s="248"/>
      <c r="B903" s="249"/>
      <c r="C903" s="250"/>
      <c r="D903" s="251"/>
      <c r="E903" s="250"/>
      <c r="F903" s="252"/>
      <c r="G903" s="141"/>
      <c r="H903" s="41"/>
      <c r="I903" s="141"/>
      <c r="J903" s="254"/>
      <c r="K903" s="252"/>
    </row>
    <row r="904" ht="22.5" customHeight="1">
      <c r="A904" s="248"/>
      <c r="B904" s="249"/>
      <c r="C904" s="250"/>
      <c r="D904" s="251"/>
      <c r="E904" s="250"/>
      <c r="F904" s="252"/>
      <c r="G904" s="143"/>
      <c r="H904" s="37"/>
      <c r="I904" s="143"/>
      <c r="J904" s="253"/>
      <c r="K904" s="252"/>
    </row>
    <row r="905" ht="22.5" customHeight="1">
      <c r="A905" s="248"/>
      <c r="B905" s="249"/>
      <c r="C905" s="250"/>
      <c r="D905" s="251"/>
      <c r="E905" s="250"/>
      <c r="F905" s="252"/>
      <c r="G905" s="141"/>
      <c r="H905" s="41"/>
      <c r="I905" s="141"/>
      <c r="J905" s="254"/>
      <c r="K905" s="252"/>
    </row>
    <row r="906" ht="22.5" customHeight="1">
      <c r="A906" s="248"/>
      <c r="B906" s="249"/>
      <c r="C906" s="250"/>
      <c r="D906" s="251"/>
      <c r="E906" s="250"/>
      <c r="F906" s="252"/>
      <c r="G906" s="143"/>
      <c r="H906" s="37"/>
      <c r="I906" s="143"/>
      <c r="J906" s="253"/>
      <c r="K906" s="252"/>
    </row>
    <row r="907" ht="22.5" customHeight="1">
      <c r="A907" s="248"/>
      <c r="B907" s="249"/>
      <c r="C907" s="250"/>
      <c r="D907" s="251"/>
      <c r="E907" s="250"/>
      <c r="F907" s="252"/>
      <c r="G907" s="141"/>
      <c r="H907" s="41"/>
      <c r="I907" s="141"/>
      <c r="J907" s="254"/>
      <c r="K907" s="252"/>
    </row>
    <row r="908" ht="22.5" customHeight="1">
      <c r="A908" s="248"/>
      <c r="B908" s="249"/>
      <c r="C908" s="250"/>
      <c r="D908" s="251"/>
      <c r="E908" s="250"/>
      <c r="F908" s="252"/>
      <c r="G908" s="143"/>
      <c r="H908" s="37"/>
      <c r="I908" s="143"/>
      <c r="J908" s="253"/>
      <c r="K908" s="252"/>
    </row>
    <row r="909" ht="22.5" customHeight="1">
      <c r="A909" s="248"/>
      <c r="B909" s="249"/>
      <c r="C909" s="250"/>
      <c r="D909" s="251"/>
      <c r="E909" s="250"/>
      <c r="F909" s="252"/>
      <c r="G909" s="141"/>
      <c r="H909" s="41"/>
      <c r="I909" s="141"/>
      <c r="J909" s="254"/>
      <c r="K909" s="252"/>
    </row>
    <row r="910" ht="22.5" customHeight="1">
      <c r="A910" s="248"/>
      <c r="B910" s="249"/>
      <c r="C910" s="250"/>
      <c r="D910" s="251"/>
      <c r="E910" s="250"/>
      <c r="F910" s="252"/>
      <c r="G910" s="143"/>
      <c r="H910" s="37"/>
      <c r="I910" s="143"/>
      <c r="J910" s="253"/>
      <c r="K910" s="252"/>
    </row>
    <row r="911" ht="22.5" customHeight="1">
      <c r="A911" s="248"/>
      <c r="B911" s="249"/>
      <c r="C911" s="250"/>
      <c r="D911" s="251"/>
      <c r="E911" s="250"/>
      <c r="F911" s="252"/>
      <c r="G911" s="141"/>
      <c r="H911" s="41"/>
      <c r="I911" s="141"/>
      <c r="J911" s="254"/>
      <c r="K911" s="252"/>
    </row>
    <row r="912" ht="22.5" customHeight="1">
      <c r="A912" s="248"/>
      <c r="B912" s="249"/>
      <c r="C912" s="250"/>
      <c r="D912" s="251"/>
      <c r="E912" s="250"/>
      <c r="F912" s="252"/>
      <c r="G912" s="143"/>
      <c r="H912" s="37"/>
      <c r="I912" s="143"/>
      <c r="J912" s="253"/>
      <c r="K912" s="252"/>
    </row>
    <row r="913" ht="22.5" customHeight="1">
      <c r="A913" s="248"/>
      <c r="B913" s="249"/>
      <c r="C913" s="250"/>
      <c r="D913" s="251"/>
      <c r="E913" s="250"/>
      <c r="F913" s="252"/>
      <c r="G913" s="141"/>
      <c r="H913" s="41"/>
      <c r="I913" s="141"/>
      <c r="J913" s="254"/>
      <c r="K913" s="252"/>
    </row>
    <row r="914" ht="22.5" customHeight="1">
      <c r="A914" s="248"/>
      <c r="B914" s="249"/>
      <c r="C914" s="250"/>
      <c r="D914" s="251"/>
      <c r="E914" s="250"/>
      <c r="F914" s="252"/>
      <c r="G914" s="143"/>
      <c r="H914" s="37"/>
      <c r="I914" s="143"/>
      <c r="J914" s="253"/>
      <c r="K914" s="252"/>
    </row>
    <row r="915" ht="22.5" customHeight="1">
      <c r="A915" s="248"/>
      <c r="B915" s="249"/>
      <c r="C915" s="250"/>
      <c r="D915" s="251"/>
      <c r="E915" s="250"/>
      <c r="F915" s="252"/>
      <c r="G915" s="141"/>
      <c r="H915" s="41"/>
      <c r="I915" s="141"/>
      <c r="J915" s="254"/>
      <c r="K915" s="252"/>
    </row>
    <row r="916" ht="22.5" customHeight="1">
      <c r="A916" s="248"/>
      <c r="B916" s="249"/>
      <c r="C916" s="250"/>
      <c r="D916" s="251"/>
      <c r="E916" s="250"/>
      <c r="F916" s="252"/>
      <c r="G916" s="143"/>
      <c r="H916" s="37"/>
      <c r="I916" s="143"/>
      <c r="J916" s="253"/>
      <c r="K916" s="252"/>
    </row>
    <row r="917" ht="22.5" customHeight="1">
      <c r="A917" s="248"/>
      <c r="B917" s="249"/>
      <c r="C917" s="250"/>
      <c r="D917" s="251"/>
      <c r="E917" s="250"/>
      <c r="F917" s="252"/>
      <c r="G917" s="141"/>
      <c r="H917" s="41"/>
      <c r="I917" s="141"/>
      <c r="J917" s="254"/>
      <c r="K917" s="252"/>
    </row>
    <row r="918" ht="22.5" customHeight="1">
      <c r="A918" s="248"/>
      <c r="B918" s="249"/>
      <c r="C918" s="250"/>
      <c r="D918" s="251"/>
      <c r="E918" s="250"/>
      <c r="F918" s="252"/>
      <c r="G918" s="143"/>
      <c r="H918" s="37"/>
      <c r="I918" s="143"/>
      <c r="J918" s="253"/>
      <c r="K918" s="252"/>
    </row>
    <row r="919" ht="22.5" customHeight="1">
      <c r="A919" s="248"/>
      <c r="B919" s="249"/>
      <c r="C919" s="250"/>
      <c r="D919" s="251"/>
      <c r="E919" s="250"/>
      <c r="F919" s="252"/>
      <c r="G919" s="141"/>
      <c r="H919" s="41"/>
      <c r="I919" s="141"/>
      <c r="J919" s="254"/>
      <c r="K919" s="252"/>
    </row>
    <row r="920" ht="22.5" customHeight="1">
      <c r="A920" s="248"/>
      <c r="B920" s="249"/>
      <c r="C920" s="250"/>
      <c r="D920" s="251"/>
      <c r="E920" s="250"/>
      <c r="F920" s="252"/>
      <c r="G920" s="143"/>
      <c r="H920" s="37"/>
      <c r="I920" s="143"/>
      <c r="J920" s="253"/>
      <c r="K920" s="252"/>
    </row>
    <row r="921" ht="22.5" customHeight="1">
      <c r="A921" s="248"/>
      <c r="B921" s="249"/>
      <c r="C921" s="250"/>
      <c r="D921" s="251"/>
      <c r="E921" s="250"/>
      <c r="F921" s="252"/>
      <c r="G921" s="141"/>
      <c r="H921" s="41"/>
      <c r="I921" s="141"/>
      <c r="J921" s="254"/>
      <c r="K921" s="252"/>
    </row>
    <row r="922" ht="22.5" customHeight="1">
      <c r="A922" s="248"/>
      <c r="B922" s="249"/>
      <c r="C922" s="250"/>
      <c r="D922" s="251"/>
      <c r="E922" s="250"/>
      <c r="F922" s="252"/>
      <c r="G922" s="143"/>
      <c r="H922" s="37"/>
      <c r="I922" s="143"/>
      <c r="J922" s="253"/>
      <c r="K922" s="252"/>
    </row>
    <row r="923" ht="22.5" customHeight="1">
      <c r="A923" s="248"/>
      <c r="B923" s="249"/>
      <c r="C923" s="250"/>
      <c r="D923" s="251"/>
      <c r="E923" s="250"/>
      <c r="F923" s="252"/>
      <c r="G923" s="141"/>
      <c r="H923" s="41"/>
      <c r="I923" s="141"/>
      <c r="J923" s="254"/>
      <c r="K923" s="252"/>
    </row>
    <row r="924" ht="22.5" customHeight="1">
      <c r="A924" s="248"/>
      <c r="B924" s="249"/>
      <c r="C924" s="250"/>
      <c r="D924" s="251"/>
      <c r="E924" s="250"/>
      <c r="F924" s="252"/>
      <c r="G924" s="143"/>
      <c r="H924" s="37"/>
      <c r="I924" s="143"/>
      <c r="J924" s="253"/>
      <c r="K924" s="252"/>
    </row>
    <row r="925" ht="22.5" customHeight="1">
      <c r="A925" s="248"/>
      <c r="B925" s="249"/>
      <c r="C925" s="250"/>
      <c r="D925" s="251"/>
      <c r="E925" s="250"/>
      <c r="F925" s="252"/>
      <c r="G925" s="141"/>
      <c r="H925" s="41"/>
      <c r="I925" s="141"/>
      <c r="J925" s="254"/>
      <c r="K925" s="252"/>
    </row>
    <row r="926" ht="22.5" customHeight="1">
      <c r="A926" s="248"/>
      <c r="B926" s="249"/>
      <c r="C926" s="250"/>
      <c r="D926" s="251"/>
      <c r="E926" s="250"/>
      <c r="F926" s="252"/>
      <c r="G926" s="143"/>
      <c r="H926" s="37"/>
      <c r="I926" s="143"/>
      <c r="J926" s="253"/>
      <c r="K926" s="252"/>
    </row>
    <row r="927" ht="22.5" customHeight="1">
      <c r="A927" s="248"/>
      <c r="B927" s="249"/>
      <c r="C927" s="250"/>
      <c r="D927" s="251"/>
      <c r="E927" s="250"/>
      <c r="F927" s="252"/>
      <c r="G927" s="141"/>
      <c r="H927" s="41"/>
      <c r="I927" s="141"/>
      <c r="J927" s="254"/>
      <c r="K927" s="252"/>
    </row>
    <row r="928" ht="22.5" customHeight="1">
      <c r="A928" s="248"/>
      <c r="B928" s="249"/>
      <c r="C928" s="250"/>
      <c r="D928" s="251"/>
      <c r="E928" s="250"/>
      <c r="F928" s="252"/>
      <c r="G928" s="143"/>
      <c r="H928" s="37"/>
      <c r="I928" s="143"/>
      <c r="J928" s="253"/>
      <c r="K928" s="252"/>
    </row>
    <row r="929" ht="22.5" customHeight="1">
      <c r="A929" s="248"/>
      <c r="B929" s="249"/>
      <c r="C929" s="250"/>
      <c r="D929" s="251"/>
      <c r="E929" s="250"/>
      <c r="F929" s="252"/>
      <c r="G929" s="141"/>
      <c r="H929" s="41"/>
      <c r="I929" s="141"/>
      <c r="J929" s="254"/>
      <c r="K929" s="252"/>
    </row>
    <row r="930" ht="22.5" customHeight="1">
      <c r="A930" s="248"/>
      <c r="B930" s="249"/>
      <c r="C930" s="250"/>
      <c r="D930" s="251"/>
      <c r="E930" s="250"/>
      <c r="F930" s="252"/>
      <c r="G930" s="143"/>
      <c r="H930" s="37"/>
      <c r="I930" s="143"/>
      <c r="J930" s="253"/>
      <c r="K930" s="252"/>
    </row>
    <row r="931" ht="22.5" customHeight="1">
      <c r="A931" s="248"/>
      <c r="B931" s="249"/>
      <c r="C931" s="250"/>
      <c r="D931" s="251"/>
      <c r="E931" s="250"/>
      <c r="F931" s="252"/>
      <c r="G931" s="141"/>
      <c r="H931" s="41"/>
      <c r="I931" s="141"/>
      <c r="J931" s="254"/>
      <c r="K931" s="252"/>
    </row>
    <row r="932" ht="22.5" customHeight="1">
      <c r="A932" s="248"/>
      <c r="B932" s="249"/>
      <c r="C932" s="250"/>
      <c r="D932" s="251"/>
      <c r="E932" s="250"/>
      <c r="F932" s="252"/>
      <c r="G932" s="143"/>
      <c r="H932" s="37"/>
      <c r="I932" s="143"/>
      <c r="J932" s="253"/>
      <c r="K932" s="252"/>
    </row>
    <row r="933" ht="22.5" customHeight="1">
      <c r="A933" s="248"/>
      <c r="B933" s="249"/>
      <c r="C933" s="250"/>
      <c r="D933" s="251"/>
      <c r="E933" s="250"/>
      <c r="F933" s="252"/>
      <c r="G933" s="141"/>
      <c r="H933" s="41"/>
      <c r="I933" s="141"/>
      <c r="J933" s="254"/>
      <c r="K933" s="252"/>
    </row>
    <row r="934" ht="22.5" customHeight="1">
      <c r="A934" s="248"/>
      <c r="B934" s="249"/>
      <c r="C934" s="250"/>
      <c r="D934" s="251"/>
      <c r="E934" s="250"/>
      <c r="F934" s="252"/>
      <c r="G934" s="143"/>
      <c r="H934" s="37"/>
      <c r="I934" s="143"/>
      <c r="J934" s="253"/>
      <c r="K934" s="252"/>
    </row>
    <row r="935" ht="22.5" customHeight="1">
      <c r="A935" s="248"/>
      <c r="B935" s="249"/>
      <c r="C935" s="250"/>
      <c r="D935" s="251"/>
      <c r="E935" s="250"/>
      <c r="F935" s="252"/>
      <c r="G935" s="141"/>
      <c r="H935" s="41"/>
      <c r="I935" s="141"/>
      <c r="J935" s="254"/>
      <c r="K935" s="252"/>
    </row>
    <row r="936" ht="22.5" customHeight="1">
      <c r="A936" s="248"/>
      <c r="B936" s="249"/>
      <c r="C936" s="250"/>
      <c r="D936" s="251"/>
      <c r="E936" s="250"/>
      <c r="F936" s="252"/>
      <c r="G936" s="143"/>
      <c r="H936" s="37"/>
      <c r="I936" s="143"/>
      <c r="J936" s="253"/>
      <c r="K936" s="252"/>
    </row>
    <row r="937" ht="22.5" customHeight="1">
      <c r="A937" s="248"/>
      <c r="B937" s="249"/>
      <c r="C937" s="250"/>
      <c r="D937" s="251"/>
      <c r="E937" s="250"/>
      <c r="F937" s="252"/>
      <c r="G937" s="141"/>
      <c r="H937" s="41"/>
      <c r="I937" s="141"/>
      <c r="J937" s="254"/>
      <c r="K937" s="252"/>
    </row>
    <row r="938" ht="22.5" customHeight="1">
      <c r="A938" s="248"/>
      <c r="B938" s="249"/>
      <c r="C938" s="250"/>
      <c r="D938" s="251"/>
      <c r="E938" s="250"/>
      <c r="F938" s="252"/>
      <c r="G938" s="143"/>
      <c r="H938" s="37"/>
      <c r="I938" s="143"/>
      <c r="J938" s="253"/>
      <c r="K938" s="252"/>
    </row>
    <row r="939" ht="22.5" customHeight="1">
      <c r="A939" s="248"/>
      <c r="B939" s="249"/>
      <c r="C939" s="250"/>
      <c r="D939" s="251"/>
      <c r="E939" s="250"/>
      <c r="F939" s="252"/>
      <c r="G939" s="141"/>
      <c r="H939" s="41"/>
      <c r="I939" s="141"/>
      <c r="J939" s="254"/>
      <c r="K939" s="252"/>
    </row>
    <row r="940" ht="22.5" customHeight="1">
      <c r="A940" s="248"/>
      <c r="B940" s="249"/>
      <c r="C940" s="250"/>
      <c r="D940" s="251"/>
      <c r="E940" s="250"/>
      <c r="F940" s="252"/>
      <c r="G940" s="143"/>
      <c r="H940" s="37"/>
      <c r="I940" s="143"/>
      <c r="J940" s="253"/>
      <c r="K940" s="252"/>
    </row>
    <row r="941" ht="22.5" customHeight="1">
      <c r="A941" s="248"/>
      <c r="B941" s="249"/>
      <c r="C941" s="250"/>
      <c r="D941" s="251"/>
      <c r="E941" s="250"/>
      <c r="F941" s="252"/>
      <c r="G941" s="141"/>
      <c r="H941" s="41"/>
      <c r="I941" s="141"/>
      <c r="J941" s="254"/>
      <c r="K941" s="252"/>
    </row>
    <row r="942" ht="22.5" customHeight="1">
      <c r="A942" s="248"/>
      <c r="B942" s="249"/>
      <c r="C942" s="250"/>
      <c r="D942" s="251"/>
      <c r="E942" s="250"/>
      <c r="F942" s="252"/>
      <c r="G942" s="143"/>
      <c r="H942" s="37"/>
      <c r="I942" s="143"/>
      <c r="J942" s="253"/>
      <c r="K942" s="252"/>
    </row>
    <row r="943" ht="22.5" customHeight="1">
      <c r="A943" s="248"/>
      <c r="B943" s="249"/>
      <c r="C943" s="250"/>
      <c r="D943" s="251"/>
      <c r="E943" s="250"/>
      <c r="F943" s="252"/>
      <c r="G943" s="141"/>
      <c r="H943" s="41"/>
      <c r="I943" s="141"/>
      <c r="J943" s="254"/>
      <c r="K943" s="252"/>
    </row>
    <row r="944" ht="22.5" customHeight="1">
      <c r="A944" s="248"/>
      <c r="B944" s="249"/>
      <c r="C944" s="250"/>
      <c r="D944" s="251"/>
      <c r="E944" s="250"/>
      <c r="F944" s="252"/>
      <c r="G944" s="143"/>
      <c r="H944" s="37"/>
      <c r="I944" s="143"/>
      <c r="J944" s="253"/>
      <c r="K944" s="252"/>
    </row>
    <row r="945" ht="22.5" customHeight="1">
      <c r="A945" s="248"/>
      <c r="B945" s="249"/>
      <c r="C945" s="250"/>
      <c r="D945" s="251"/>
      <c r="E945" s="250"/>
      <c r="F945" s="252"/>
      <c r="G945" s="141"/>
      <c r="H945" s="41"/>
      <c r="I945" s="141"/>
      <c r="J945" s="254"/>
      <c r="K945" s="252"/>
    </row>
    <row r="946" ht="22.5" customHeight="1">
      <c r="A946" s="248"/>
      <c r="B946" s="249"/>
      <c r="C946" s="250"/>
      <c r="D946" s="251"/>
      <c r="E946" s="250"/>
      <c r="F946" s="252"/>
      <c r="G946" s="143"/>
      <c r="H946" s="37"/>
      <c r="I946" s="143"/>
      <c r="J946" s="253"/>
      <c r="K946" s="252"/>
    </row>
    <row r="947" ht="22.5" customHeight="1">
      <c r="A947" s="248"/>
      <c r="B947" s="249"/>
      <c r="C947" s="250"/>
      <c r="D947" s="251"/>
      <c r="E947" s="250"/>
      <c r="F947" s="252"/>
      <c r="G947" s="141"/>
      <c r="H947" s="41"/>
      <c r="I947" s="141"/>
      <c r="J947" s="254"/>
      <c r="K947" s="252"/>
    </row>
    <row r="948" ht="22.5" customHeight="1">
      <c r="A948" s="248"/>
      <c r="B948" s="249"/>
      <c r="C948" s="250"/>
      <c r="D948" s="251"/>
      <c r="E948" s="250"/>
      <c r="F948" s="252"/>
      <c r="G948" s="143"/>
      <c r="H948" s="37"/>
      <c r="I948" s="143"/>
      <c r="J948" s="253"/>
      <c r="K948" s="252"/>
    </row>
    <row r="949" ht="22.5" customHeight="1">
      <c r="A949" s="248"/>
      <c r="B949" s="249"/>
      <c r="C949" s="250"/>
      <c r="D949" s="251"/>
      <c r="E949" s="250"/>
      <c r="F949" s="252"/>
      <c r="G949" s="141"/>
      <c r="H949" s="41"/>
      <c r="I949" s="141"/>
      <c r="J949" s="254"/>
      <c r="K949" s="252"/>
    </row>
    <row r="950" ht="22.5" customHeight="1">
      <c r="A950" s="248"/>
      <c r="B950" s="249"/>
      <c r="C950" s="250"/>
      <c r="D950" s="251"/>
      <c r="E950" s="250"/>
      <c r="F950" s="252"/>
      <c r="G950" s="143"/>
      <c r="H950" s="37"/>
      <c r="I950" s="143"/>
      <c r="J950" s="253"/>
      <c r="K950" s="252"/>
    </row>
    <row r="951" ht="22.5" customHeight="1">
      <c r="A951" s="248"/>
      <c r="B951" s="249"/>
      <c r="C951" s="250"/>
      <c r="D951" s="251"/>
      <c r="E951" s="250"/>
      <c r="F951" s="252"/>
      <c r="G951" s="141"/>
      <c r="H951" s="41"/>
      <c r="I951" s="141"/>
      <c r="J951" s="254"/>
      <c r="K951" s="252"/>
    </row>
    <row r="952" ht="22.5" customHeight="1">
      <c r="A952" s="248"/>
      <c r="B952" s="249"/>
      <c r="C952" s="250"/>
      <c r="D952" s="251"/>
      <c r="E952" s="250"/>
      <c r="F952" s="252"/>
      <c r="G952" s="143"/>
      <c r="H952" s="37"/>
      <c r="I952" s="143"/>
      <c r="J952" s="253"/>
      <c r="K952" s="252"/>
    </row>
    <row r="953" ht="22.5" customHeight="1">
      <c r="A953" s="248"/>
      <c r="B953" s="249"/>
      <c r="C953" s="250"/>
      <c r="D953" s="251"/>
      <c r="E953" s="250"/>
      <c r="F953" s="252"/>
      <c r="G953" s="141"/>
      <c r="H953" s="41"/>
      <c r="I953" s="141"/>
      <c r="J953" s="254"/>
      <c r="K953" s="252"/>
    </row>
    <row r="954" ht="22.5" customHeight="1">
      <c r="A954" s="248"/>
      <c r="B954" s="249"/>
      <c r="C954" s="250"/>
      <c r="D954" s="251"/>
      <c r="E954" s="250"/>
      <c r="F954" s="252"/>
      <c r="G954" s="143"/>
      <c r="H954" s="37"/>
      <c r="I954" s="143"/>
      <c r="J954" s="253"/>
      <c r="K954" s="252"/>
    </row>
    <row r="955" ht="22.5" customHeight="1">
      <c r="A955" s="248"/>
      <c r="B955" s="249"/>
      <c r="C955" s="250"/>
      <c r="D955" s="251"/>
      <c r="E955" s="250"/>
      <c r="F955" s="252"/>
      <c r="G955" s="141"/>
      <c r="H955" s="41"/>
      <c r="I955" s="141"/>
      <c r="J955" s="254"/>
      <c r="K955" s="252"/>
    </row>
    <row r="956" ht="22.5" customHeight="1">
      <c r="A956" s="248"/>
      <c r="B956" s="249"/>
      <c r="C956" s="250"/>
      <c r="D956" s="251"/>
      <c r="E956" s="250"/>
      <c r="F956" s="252"/>
      <c r="G956" s="143"/>
      <c r="H956" s="37"/>
      <c r="I956" s="143"/>
      <c r="J956" s="253"/>
      <c r="K956" s="252"/>
    </row>
    <row r="957" ht="22.5" customHeight="1">
      <c r="A957" s="248"/>
      <c r="B957" s="249"/>
      <c r="C957" s="250"/>
      <c r="D957" s="251"/>
      <c r="E957" s="250"/>
      <c r="F957" s="252"/>
      <c r="G957" s="141"/>
      <c r="H957" s="41"/>
      <c r="I957" s="141"/>
      <c r="J957" s="254"/>
      <c r="K957" s="252"/>
    </row>
    <row r="958" ht="22.5" customHeight="1">
      <c r="A958" s="248"/>
      <c r="B958" s="249"/>
      <c r="C958" s="250"/>
      <c r="D958" s="251"/>
      <c r="E958" s="250"/>
      <c r="F958" s="252"/>
      <c r="G958" s="143"/>
      <c r="H958" s="37"/>
      <c r="I958" s="143"/>
      <c r="J958" s="253"/>
      <c r="K958" s="252"/>
    </row>
    <row r="959" ht="22.5" customHeight="1">
      <c r="A959" s="248"/>
      <c r="B959" s="249"/>
      <c r="C959" s="250"/>
      <c r="D959" s="251"/>
      <c r="E959" s="250"/>
      <c r="F959" s="252"/>
      <c r="G959" s="141"/>
      <c r="H959" s="41"/>
      <c r="I959" s="141"/>
      <c r="J959" s="254"/>
      <c r="K959" s="252"/>
    </row>
    <row r="960" ht="22.5" customHeight="1">
      <c r="A960" s="248"/>
      <c r="B960" s="249"/>
      <c r="C960" s="250"/>
      <c r="D960" s="251"/>
      <c r="E960" s="250"/>
      <c r="F960" s="252"/>
      <c r="G960" s="143"/>
      <c r="H960" s="37"/>
      <c r="I960" s="143"/>
      <c r="J960" s="253"/>
      <c r="K960" s="252"/>
    </row>
    <row r="961" ht="22.5" customHeight="1">
      <c r="A961" s="248"/>
      <c r="B961" s="249"/>
      <c r="C961" s="250"/>
      <c r="D961" s="251"/>
      <c r="E961" s="250"/>
      <c r="F961" s="252"/>
      <c r="G961" s="141"/>
      <c r="H961" s="41"/>
      <c r="I961" s="141"/>
      <c r="J961" s="254"/>
      <c r="K961" s="252"/>
    </row>
    <row r="962" ht="22.5" customHeight="1">
      <c r="A962" s="248"/>
      <c r="B962" s="249"/>
      <c r="C962" s="250"/>
      <c r="D962" s="251"/>
      <c r="E962" s="250"/>
      <c r="F962" s="252"/>
      <c r="G962" s="143"/>
      <c r="H962" s="37"/>
      <c r="I962" s="143"/>
      <c r="J962" s="253"/>
      <c r="K962" s="252"/>
    </row>
    <row r="963" ht="22.5" customHeight="1">
      <c r="A963" s="248"/>
      <c r="B963" s="249"/>
      <c r="C963" s="250"/>
      <c r="D963" s="251"/>
      <c r="E963" s="250"/>
      <c r="F963" s="252"/>
      <c r="G963" s="141"/>
      <c r="H963" s="41"/>
      <c r="I963" s="141"/>
      <c r="J963" s="254"/>
      <c r="K963" s="252"/>
    </row>
    <row r="964" ht="22.5" customHeight="1">
      <c r="A964" s="248"/>
      <c r="B964" s="249"/>
      <c r="C964" s="250"/>
      <c r="D964" s="251"/>
      <c r="E964" s="250"/>
      <c r="F964" s="252"/>
      <c r="G964" s="143"/>
      <c r="H964" s="37"/>
      <c r="I964" s="143"/>
      <c r="J964" s="253"/>
      <c r="K964" s="252"/>
    </row>
    <row r="965" ht="22.5" customHeight="1">
      <c r="A965" s="248"/>
      <c r="B965" s="249"/>
      <c r="C965" s="250"/>
      <c r="D965" s="251"/>
      <c r="E965" s="250"/>
      <c r="F965" s="252"/>
      <c r="G965" s="141"/>
      <c r="H965" s="41"/>
      <c r="I965" s="141"/>
      <c r="J965" s="254"/>
      <c r="K965" s="252"/>
    </row>
    <row r="966" ht="22.5" customHeight="1">
      <c r="A966" s="248"/>
      <c r="B966" s="249"/>
      <c r="C966" s="250"/>
      <c r="D966" s="251"/>
      <c r="E966" s="250"/>
      <c r="F966" s="252"/>
      <c r="G966" s="143"/>
      <c r="H966" s="37"/>
      <c r="I966" s="143"/>
      <c r="J966" s="253"/>
      <c r="K966" s="252"/>
    </row>
    <row r="967" ht="22.5" customHeight="1">
      <c r="A967" s="248"/>
      <c r="B967" s="249"/>
      <c r="C967" s="250"/>
      <c r="D967" s="251"/>
      <c r="E967" s="250"/>
      <c r="F967" s="252"/>
      <c r="G967" s="141"/>
      <c r="H967" s="41"/>
      <c r="I967" s="141"/>
      <c r="J967" s="254"/>
      <c r="K967" s="252"/>
    </row>
    <row r="968" ht="22.5" customHeight="1">
      <c r="A968" s="248"/>
      <c r="B968" s="249"/>
      <c r="C968" s="250"/>
      <c r="D968" s="251"/>
      <c r="E968" s="250"/>
      <c r="F968" s="252"/>
      <c r="G968" s="143"/>
      <c r="H968" s="37"/>
      <c r="I968" s="143"/>
      <c r="J968" s="253"/>
      <c r="K968" s="252"/>
    </row>
    <row r="969" ht="22.5" customHeight="1">
      <c r="A969" s="248"/>
      <c r="B969" s="249"/>
      <c r="C969" s="250"/>
      <c r="D969" s="251"/>
      <c r="E969" s="250"/>
      <c r="F969" s="252"/>
      <c r="G969" s="141"/>
      <c r="H969" s="41"/>
      <c r="I969" s="141"/>
      <c r="J969" s="254"/>
      <c r="K969" s="252"/>
    </row>
    <row r="970" ht="22.5" customHeight="1">
      <c r="A970" s="248"/>
      <c r="B970" s="249"/>
      <c r="C970" s="250"/>
      <c r="D970" s="251"/>
      <c r="E970" s="250"/>
      <c r="F970" s="252"/>
      <c r="G970" s="143"/>
      <c r="H970" s="37"/>
      <c r="I970" s="143"/>
      <c r="J970" s="253"/>
      <c r="K970" s="252"/>
    </row>
    <row r="971" ht="22.5" customHeight="1">
      <c r="A971" s="248"/>
      <c r="B971" s="249"/>
      <c r="C971" s="250"/>
      <c r="D971" s="251"/>
      <c r="E971" s="250"/>
      <c r="F971" s="252"/>
      <c r="G971" s="141"/>
      <c r="H971" s="41"/>
      <c r="I971" s="141"/>
      <c r="J971" s="254"/>
      <c r="K971" s="252"/>
    </row>
    <row r="972" ht="22.5" customHeight="1">
      <c r="A972" s="248"/>
      <c r="B972" s="249"/>
      <c r="C972" s="250"/>
      <c r="D972" s="251"/>
      <c r="E972" s="250"/>
      <c r="F972" s="252"/>
      <c r="G972" s="143"/>
      <c r="H972" s="37"/>
      <c r="I972" s="143"/>
      <c r="J972" s="253"/>
      <c r="K972" s="252"/>
    </row>
    <row r="973" ht="22.5" customHeight="1">
      <c r="A973" s="248"/>
      <c r="B973" s="249"/>
      <c r="C973" s="250"/>
      <c r="D973" s="251"/>
      <c r="E973" s="250"/>
      <c r="F973" s="252"/>
      <c r="G973" s="141"/>
      <c r="H973" s="41"/>
      <c r="I973" s="141"/>
      <c r="J973" s="254"/>
      <c r="K973" s="252"/>
    </row>
    <row r="974" ht="22.5" customHeight="1">
      <c r="A974" s="248"/>
      <c r="B974" s="249"/>
      <c r="C974" s="250"/>
      <c r="D974" s="251"/>
      <c r="E974" s="250"/>
      <c r="F974" s="252"/>
      <c r="G974" s="143"/>
      <c r="H974" s="37"/>
      <c r="I974" s="143"/>
      <c r="J974" s="253"/>
      <c r="K974" s="252"/>
    </row>
    <row r="975" ht="22.5" customHeight="1">
      <c r="A975" s="248"/>
      <c r="B975" s="249"/>
      <c r="C975" s="250"/>
      <c r="D975" s="251"/>
      <c r="E975" s="250"/>
      <c r="F975" s="252"/>
      <c r="G975" s="141"/>
      <c r="H975" s="41"/>
      <c r="I975" s="141"/>
      <c r="J975" s="254"/>
      <c r="K975" s="252"/>
    </row>
    <row r="976" ht="22.5" customHeight="1">
      <c r="A976" s="248"/>
      <c r="B976" s="249"/>
      <c r="C976" s="250"/>
      <c r="D976" s="251"/>
      <c r="E976" s="250"/>
      <c r="F976" s="252"/>
      <c r="G976" s="143"/>
      <c r="H976" s="37"/>
      <c r="I976" s="143"/>
      <c r="J976" s="253"/>
      <c r="K976" s="252"/>
    </row>
    <row r="977" ht="22.5" customHeight="1">
      <c r="A977" s="248"/>
      <c r="B977" s="249"/>
      <c r="C977" s="250"/>
      <c r="D977" s="251"/>
      <c r="E977" s="250"/>
      <c r="F977" s="252"/>
      <c r="G977" s="141"/>
      <c r="H977" s="41"/>
      <c r="I977" s="141"/>
      <c r="J977" s="254"/>
      <c r="K977" s="252"/>
    </row>
    <row r="978" ht="22.5" customHeight="1">
      <c r="A978" s="248"/>
      <c r="B978" s="249"/>
      <c r="C978" s="250"/>
      <c r="D978" s="251"/>
      <c r="E978" s="250"/>
      <c r="F978" s="252"/>
      <c r="G978" s="143"/>
      <c r="H978" s="37"/>
      <c r="I978" s="143"/>
      <c r="J978" s="253"/>
      <c r="K978" s="252"/>
    </row>
    <row r="979" ht="22.5" customHeight="1">
      <c r="A979" s="248"/>
      <c r="B979" s="249"/>
      <c r="C979" s="250"/>
      <c r="D979" s="251"/>
      <c r="E979" s="250"/>
      <c r="F979" s="252"/>
      <c r="G979" s="141"/>
      <c r="H979" s="41"/>
      <c r="I979" s="141"/>
      <c r="J979" s="254"/>
      <c r="K979" s="252"/>
    </row>
    <row r="980" ht="22.5" customHeight="1">
      <c r="A980" s="248"/>
      <c r="B980" s="249"/>
      <c r="C980" s="250"/>
      <c r="D980" s="251"/>
      <c r="E980" s="250"/>
      <c r="F980" s="252"/>
      <c r="G980" s="143"/>
      <c r="H980" s="37"/>
      <c r="I980" s="143"/>
      <c r="J980" s="253"/>
      <c r="K980" s="252"/>
    </row>
    <row r="981" ht="22.5" customHeight="1">
      <c r="A981" s="248"/>
      <c r="B981" s="249"/>
      <c r="C981" s="250"/>
      <c r="D981" s="251"/>
      <c r="E981" s="250"/>
      <c r="F981" s="252"/>
      <c r="G981" s="141"/>
      <c r="H981" s="41"/>
      <c r="I981" s="141"/>
      <c r="J981" s="254"/>
      <c r="K981" s="252"/>
    </row>
    <row r="982" ht="22.5" customHeight="1">
      <c r="A982" s="248"/>
      <c r="B982" s="249"/>
      <c r="C982" s="250"/>
      <c r="D982" s="251"/>
      <c r="E982" s="250"/>
      <c r="F982" s="252"/>
      <c r="G982" s="143"/>
      <c r="H982" s="37"/>
      <c r="I982" s="143"/>
      <c r="J982" s="253"/>
      <c r="K982" s="252"/>
    </row>
    <row r="983" ht="22.5" customHeight="1">
      <c r="A983" s="248"/>
      <c r="B983" s="249"/>
      <c r="C983" s="250"/>
      <c r="D983" s="251"/>
      <c r="E983" s="250"/>
      <c r="F983" s="252"/>
      <c r="G983" s="141"/>
      <c r="H983" s="41"/>
      <c r="I983" s="141"/>
      <c r="J983" s="254"/>
      <c r="K983" s="252"/>
    </row>
    <row r="984" ht="22.5" customHeight="1">
      <c r="A984" s="248"/>
      <c r="B984" s="249"/>
      <c r="C984" s="250"/>
      <c r="D984" s="251"/>
      <c r="E984" s="250"/>
      <c r="F984" s="252"/>
      <c r="G984" s="143"/>
      <c r="H984" s="37"/>
      <c r="I984" s="143"/>
      <c r="J984" s="253"/>
      <c r="K984" s="252"/>
    </row>
    <row r="985" ht="22.5" customHeight="1">
      <c r="A985" s="248"/>
      <c r="B985" s="249"/>
      <c r="C985" s="250"/>
      <c r="D985" s="251"/>
      <c r="E985" s="250"/>
      <c r="F985" s="252"/>
      <c r="G985" s="141"/>
      <c r="H985" s="41"/>
      <c r="I985" s="141"/>
      <c r="J985" s="254"/>
      <c r="K985" s="252"/>
    </row>
    <row r="986" ht="22.5" customHeight="1">
      <c r="A986" s="248"/>
      <c r="B986" s="249"/>
      <c r="C986" s="250"/>
      <c r="D986" s="251"/>
      <c r="E986" s="250"/>
      <c r="F986" s="252"/>
      <c r="G986" s="143"/>
      <c r="H986" s="37"/>
      <c r="I986" s="143"/>
      <c r="J986" s="253"/>
      <c r="K986" s="252"/>
    </row>
    <row r="987" ht="22.5" customHeight="1">
      <c r="A987" s="248"/>
      <c r="B987" s="249"/>
      <c r="C987" s="250"/>
      <c r="D987" s="251"/>
      <c r="E987" s="250"/>
      <c r="F987" s="252"/>
      <c r="G987" s="141"/>
      <c r="H987" s="41"/>
      <c r="I987" s="141"/>
      <c r="J987" s="254"/>
      <c r="K987" s="252"/>
    </row>
    <row r="988" ht="22.5" customHeight="1">
      <c r="A988" s="248"/>
      <c r="B988" s="249"/>
      <c r="C988" s="250"/>
      <c r="D988" s="251"/>
      <c r="E988" s="250"/>
      <c r="F988" s="252"/>
      <c r="G988" s="143"/>
      <c r="H988" s="37"/>
      <c r="I988" s="143"/>
      <c r="J988" s="253"/>
      <c r="K988" s="252"/>
    </row>
    <row r="989" ht="22.5" customHeight="1">
      <c r="A989" s="248"/>
      <c r="B989" s="249"/>
      <c r="C989" s="250"/>
      <c r="D989" s="251"/>
      <c r="E989" s="250"/>
      <c r="F989" s="252"/>
      <c r="G989" s="141"/>
      <c r="H989" s="41"/>
      <c r="I989" s="141"/>
      <c r="J989" s="254"/>
      <c r="K989" s="252"/>
    </row>
    <row r="990" ht="22.5" customHeight="1">
      <c r="A990" s="248"/>
      <c r="B990" s="249"/>
      <c r="C990" s="250"/>
      <c r="D990" s="251"/>
      <c r="E990" s="250"/>
      <c r="F990" s="252"/>
      <c r="G990" s="143"/>
      <c r="H990" s="37"/>
      <c r="I990" s="143"/>
      <c r="J990" s="253"/>
      <c r="K990" s="252"/>
    </row>
    <row r="991" ht="22.5" customHeight="1">
      <c r="A991" s="248"/>
      <c r="B991" s="249"/>
      <c r="C991" s="250"/>
      <c r="D991" s="251"/>
      <c r="E991" s="250"/>
      <c r="F991" s="252"/>
      <c r="G991" s="141"/>
      <c r="H991" s="41"/>
      <c r="I991" s="141"/>
      <c r="J991" s="254"/>
      <c r="K991" s="252"/>
    </row>
    <row r="992" ht="22.5" customHeight="1">
      <c r="A992" s="248"/>
      <c r="B992" s="249"/>
      <c r="C992" s="250"/>
      <c r="D992" s="251"/>
      <c r="E992" s="250"/>
      <c r="F992" s="252"/>
      <c r="G992" s="143"/>
      <c r="H992" s="37"/>
      <c r="I992" s="143"/>
      <c r="J992" s="253"/>
      <c r="K992" s="252"/>
    </row>
    <row r="993" ht="22.5" customHeight="1">
      <c r="A993" s="248"/>
      <c r="B993" s="249"/>
      <c r="C993" s="250"/>
      <c r="D993" s="251"/>
      <c r="E993" s="250"/>
      <c r="F993" s="252"/>
      <c r="G993" s="141"/>
      <c r="H993" s="41"/>
      <c r="I993" s="141"/>
      <c r="J993" s="254"/>
      <c r="K993" s="252"/>
    </row>
    <row r="994" ht="22.5" customHeight="1">
      <c r="A994" s="248"/>
      <c r="B994" s="249"/>
      <c r="C994" s="250"/>
      <c r="D994" s="251"/>
      <c r="E994" s="250"/>
      <c r="F994" s="252"/>
      <c r="G994" s="143"/>
      <c r="H994" s="37"/>
      <c r="I994" s="143"/>
      <c r="J994" s="253"/>
      <c r="K994" s="252"/>
    </row>
    <row r="995" ht="22.5" customHeight="1">
      <c r="A995" s="248"/>
      <c r="B995" s="249"/>
      <c r="C995" s="250"/>
      <c r="D995" s="251"/>
      <c r="E995" s="250"/>
      <c r="F995" s="252"/>
      <c r="G995" s="141"/>
      <c r="H995" s="41"/>
      <c r="I995" s="141"/>
      <c r="J995" s="254"/>
      <c r="K995" s="252"/>
    </row>
    <row r="996" ht="22.5" customHeight="1">
      <c r="A996" s="248"/>
      <c r="B996" s="249"/>
      <c r="C996" s="250"/>
      <c r="D996" s="251"/>
      <c r="E996" s="250"/>
      <c r="F996" s="252"/>
      <c r="G996" s="143"/>
      <c r="H996" s="37"/>
      <c r="I996" s="143"/>
      <c r="J996" s="253"/>
      <c r="K996" s="252"/>
    </row>
    <row r="997" ht="22.5" customHeight="1">
      <c r="A997" s="248"/>
      <c r="B997" s="249"/>
      <c r="C997" s="250"/>
      <c r="D997" s="251"/>
      <c r="E997" s="250"/>
      <c r="F997" s="252"/>
      <c r="G997" s="141"/>
      <c r="H997" s="41"/>
      <c r="I997" s="141"/>
      <c r="J997" s="254"/>
      <c r="K997" s="252"/>
    </row>
    <row r="998" ht="22.5" customHeight="1">
      <c r="A998" s="248"/>
      <c r="B998" s="249"/>
      <c r="C998" s="250"/>
      <c r="D998" s="251"/>
      <c r="E998" s="250"/>
      <c r="F998" s="252"/>
      <c r="G998" s="143"/>
      <c r="H998" s="37"/>
      <c r="I998" s="143"/>
      <c r="J998" s="253"/>
      <c r="K998" s="252"/>
    </row>
    <row r="999" ht="22.5" customHeight="1">
      <c r="A999" s="248"/>
      <c r="B999" s="249"/>
      <c r="C999" s="250"/>
      <c r="D999" s="251"/>
      <c r="E999" s="250"/>
      <c r="F999" s="252"/>
      <c r="G999" s="141"/>
      <c r="H999" s="41"/>
      <c r="I999" s="141"/>
      <c r="J999" s="254"/>
      <c r="K999" s="252"/>
    </row>
    <row r="1000" ht="22.5" customHeight="1">
      <c r="A1000" s="248"/>
      <c r="B1000" s="249"/>
      <c r="C1000" s="250"/>
      <c r="D1000" s="251"/>
      <c r="E1000" s="250"/>
      <c r="F1000" s="252"/>
      <c r="G1000" s="146"/>
      <c r="H1000" s="43"/>
      <c r="I1000" s="146"/>
      <c r="J1000" s="255"/>
      <c r="K1000" s="252"/>
    </row>
  </sheetData>
  <dataValidations>
    <dataValidation type="list" allowBlank="1" sqref="H2:H1000">
      <formula1>"Ground Truth,Tagging,Video Annotations,Data Collection,Preset,Segmentation,BBOX,Keypoints,Data Cleaning,Others"</formula1>
    </dataValidation>
    <dataValidation type="custom" allowBlank="1" showDropDown="1" showErrorMessage="1" sqref="A2:A1000">
      <formula1>OR(NOT(ISERROR(DATEVALUE(A2))), AND(ISNUMBER(A2), LEFT(CELL("format", A2))="D"))</formula1>
    </dataValidation>
    <dataValidation type="list" allowBlank="1" sqref="E2:E1000">
      <formula1>"Done,In Progress,Leave"</formula1>
    </dataValidation>
    <dataValidation type="list" allowBlank="1" sqref="D2:D1000">
      <formula1>"Ground Truth,Tagging,Video Annotations,Data Collection,Preset,Segmentation,BBOX,Keypoints,Data Cleaning,other"</formula1>
    </dataValidation>
    <dataValidation type="list" allowBlank="1" sqref="G2:G105">
      <formula1>"nephroplus,Adult RD,Netra,ICU Automation,vSitter,Airways,VRASS,CPOT,Respiratory Distress,Others"</formula1>
    </dataValidation>
    <dataValidation type="list" allowBlank="1" sqref="I2:I105">
      <formula1>"Done,In Progress,Leave"</formula1>
    </dataValidation>
    <dataValidation type="list" allowBlank="1" sqref="B2:B1000">
      <formula1>"Deekshith,Chandrashekar,Nagaharinadh,Suman Kanoj,Sagar Hiremath,Saraswathi,Prerana,Mouli Prakash,Manovya,Pranav,Raghavan,Rohit,Abusaad"</formula1>
    </dataValidation>
    <dataValidation type="list" allowBlank="1" sqref="C2:C1000">
      <formula1>"nephroplus,Adult RD,Netra,ICU Automation,vSitter,Airways,VRASS,CPOT,Respiratory Distress,Others"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27.0"/>
    <col customWidth="1" min="3" max="3" width="26.25"/>
    <col customWidth="1" min="4" max="7" width="26.13"/>
    <col customWidth="1" min="8" max="8" width="37.13"/>
    <col customWidth="1" min="9" max="9" width="51.38"/>
    <col customWidth="1" min="10" max="29" width="19.25"/>
  </cols>
  <sheetData>
    <row r="1" ht="22.5" customHeight="1">
      <c r="A1" s="256" t="s">
        <v>27</v>
      </c>
      <c r="B1" s="256" t="s">
        <v>1</v>
      </c>
      <c r="C1" s="256" t="s">
        <v>2</v>
      </c>
      <c r="D1" s="256" t="s">
        <v>55</v>
      </c>
      <c r="E1" s="257" t="s">
        <v>7</v>
      </c>
      <c r="F1" s="257" t="s">
        <v>56</v>
      </c>
      <c r="G1" s="257" t="s">
        <v>8</v>
      </c>
      <c r="H1" s="256" t="s">
        <v>5</v>
      </c>
      <c r="I1" s="256" t="s">
        <v>10</v>
      </c>
    </row>
    <row r="2" ht="22.5" customHeight="1">
      <c r="A2" s="258">
        <v>45992.0</v>
      </c>
      <c r="B2" s="259" t="s">
        <v>284</v>
      </c>
      <c r="C2" s="260"/>
      <c r="D2" s="260"/>
      <c r="E2" s="260"/>
      <c r="F2" s="261"/>
      <c r="G2" s="260"/>
      <c r="H2" s="16"/>
      <c r="I2" s="262" t="s">
        <v>285</v>
      </c>
    </row>
    <row r="3" ht="22.5" customHeight="1">
      <c r="A3" s="258">
        <v>45993.0</v>
      </c>
      <c r="B3" s="259" t="s">
        <v>284</v>
      </c>
      <c r="C3" s="260"/>
      <c r="D3" s="260"/>
      <c r="E3" s="260"/>
      <c r="F3" s="261"/>
      <c r="G3" s="260"/>
      <c r="H3" s="16"/>
      <c r="I3" s="262" t="s">
        <v>286</v>
      </c>
    </row>
    <row r="4" ht="22.5" customHeight="1">
      <c r="A4" s="258">
        <v>45994.0</v>
      </c>
      <c r="B4" s="259" t="s">
        <v>284</v>
      </c>
      <c r="C4" s="260"/>
      <c r="D4" s="260"/>
      <c r="E4" s="260"/>
      <c r="F4" s="261"/>
      <c r="G4" s="260"/>
      <c r="H4" s="16"/>
      <c r="I4" s="262" t="s">
        <v>287</v>
      </c>
    </row>
    <row r="5" ht="22.5" customHeight="1">
      <c r="A5" s="258">
        <v>45995.0</v>
      </c>
      <c r="B5" s="259" t="s">
        <v>284</v>
      </c>
      <c r="C5" s="259" t="s">
        <v>70</v>
      </c>
      <c r="D5" s="259" t="s">
        <v>145</v>
      </c>
      <c r="E5" s="260"/>
      <c r="F5" s="263" t="s">
        <v>20</v>
      </c>
      <c r="G5" s="260"/>
      <c r="H5" s="16">
        <f>1808+614</f>
        <v>2422</v>
      </c>
      <c r="I5" s="264" t="s">
        <v>288</v>
      </c>
    </row>
    <row r="6" ht="22.5" customHeight="1">
      <c r="A6" s="258">
        <v>45996.0</v>
      </c>
      <c r="B6" s="259" t="s">
        <v>284</v>
      </c>
      <c r="C6" s="259" t="s">
        <v>70</v>
      </c>
      <c r="D6" s="259" t="s">
        <v>145</v>
      </c>
      <c r="E6" s="260"/>
      <c r="F6" s="263" t="s">
        <v>20</v>
      </c>
      <c r="G6" s="260"/>
      <c r="H6" s="16">
        <f>1878+963+1228</f>
        <v>4069</v>
      </c>
      <c r="I6" s="264" t="s">
        <v>289</v>
      </c>
    </row>
    <row r="7" ht="22.5" customHeight="1">
      <c r="A7" s="258">
        <v>45997.0</v>
      </c>
      <c r="B7" s="259" t="s">
        <v>284</v>
      </c>
      <c r="C7" s="260"/>
      <c r="D7" s="260"/>
      <c r="E7" s="260"/>
      <c r="F7" s="263"/>
      <c r="G7" s="260"/>
      <c r="H7" s="16"/>
      <c r="I7" s="16"/>
      <c r="Q7" s="265" t="s">
        <v>290</v>
      </c>
    </row>
    <row r="8" ht="22.5" customHeight="1">
      <c r="A8" s="258">
        <v>45998.0</v>
      </c>
      <c r="B8" s="259" t="s">
        <v>284</v>
      </c>
      <c r="C8" s="260"/>
      <c r="D8" s="260"/>
      <c r="E8" s="260"/>
      <c r="F8" s="263"/>
      <c r="G8" s="260"/>
      <c r="H8" s="16"/>
      <c r="I8" s="16"/>
      <c r="Q8" s="265" t="s">
        <v>291</v>
      </c>
    </row>
    <row r="9" ht="22.5" customHeight="1">
      <c r="A9" s="258">
        <v>45999.0</v>
      </c>
      <c r="B9" s="259" t="s">
        <v>284</v>
      </c>
      <c r="C9" s="259" t="s">
        <v>70</v>
      </c>
      <c r="D9" s="259" t="s">
        <v>145</v>
      </c>
      <c r="E9" s="260"/>
      <c r="F9" s="263" t="s">
        <v>20</v>
      </c>
      <c r="G9" s="260"/>
      <c r="H9" s="16"/>
      <c r="I9" s="264" t="s">
        <v>292</v>
      </c>
      <c r="Q9" s="265" t="s">
        <v>84</v>
      </c>
    </row>
    <row r="10" ht="22.5" customHeight="1">
      <c r="A10" s="258">
        <v>46000.0</v>
      </c>
      <c r="B10" s="259" t="s">
        <v>284</v>
      </c>
      <c r="C10" s="259" t="s">
        <v>70</v>
      </c>
      <c r="D10" s="259" t="s">
        <v>84</v>
      </c>
      <c r="E10" s="260"/>
      <c r="F10" s="263" t="s">
        <v>53</v>
      </c>
      <c r="G10" s="260"/>
      <c r="H10" s="16">
        <v>20.0</v>
      </c>
      <c r="I10" s="264" t="s">
        <v>293</v>
      </c>
      <c r="Q10" s="265" t="s">
        <v>145</v>
      </c>
    </row>
    <row r="11" ht="22.5" customHeight="1">
      <c r="A11" s="258">
        <v>46001.0</v>
      </c>
      <c r="B11" s="259" t="s">
        <v>284</v>
      </c>
      <c r="C11" s="259" t="s">
        <v>70</v>
      </c>
      <c r="D11" s="259" t="s">
        <v>84</v>
      </c>
      <c r="E11" s="260"/>
      <c r="F11" s="263" t="s">
        <v>53</v>
      </c>
      <c r="G11" s="260"/>
      <c r="H11" s="16">
        <v>19.0</v>
      </c>
      <c r="I11" s="264" t="s">
        <v>294</v>
      </c>
      <c r="Q11" s="265" t="s">
        <v>98</v>
      </c>
    </row>
    <row r="12" ht="22.5" customHeight="1">
      <c r="A12" s="258">
        <v>46002.0</v>
      </c>
      <c r="B12" s="260"/>
      <c r="C12" s="260"/>
      <c r="D12" s="260"/>
      <c r="E12" s="260"/>
      <c r="F12" s="261"/>
      <c r="G12" s="260"/>
      <c r="H12" s="16"/>
      <c r="I12" s="264"/>
      <c r="Q12" s="265" t="s">
        <v>42</v>
      </c>
    </row>
    <row r="13" ht="22.5" customHeight="1">
      <c r="A13" s="258">
        <v>46003.0</v>
      </c>
      <c r="B13" s="259" t="s">
        <v>284</v>
      </c>
      <c r="C13" s="259" t="s">
        <v>70</v>
      </c>
      <c r="D13" s="259" t="s">
        <v>84</v>
      </c>
      <c r="E13" s="260"/>
      <c r="F13" s="263" t="s">
        <v>53</v>
      </c>
      <c r="G13" s="260"/>
      <c r="H13" s="16">
        <v>9.0</v>
      </c>
      <c r="I13" s="264" t="s">
        <v>295</v>
      </c>
      <c r="Q13" s="265" t="s">
        <v>31</v>
      </c>
    </row>
    <row r="14" ht="22.5" customHeight="1">
      <c r="A14" s="258">
        <v>46004.0</v>
      </c>
      <c r="B14" s="260"/>
      <c r="C14" s="260"/>
      <c r="D14" s="260"/>
      <c r="E14" s="260"/>
      <c r="F14" s="263"/>
      <c r="G14" s="260"/>
      <c r="H14" s="16"/>
      <c r="I14" s="264"/>
      <c r="Q14" s="265" t="s">
        <v>47</v>
      </c>
    </row>
    <row r="15" ht="22.5" customHeight="1">
      <c r="A15" s="258">
        <v>46005.0</v>
      </c>
      <c r="B15" s="260"/>
      <c r="C15" s="260"/>
      <c r="D15" s="260"/>
      <c r="E15" s="260"/>
      <c r="F15" s="263"/>
      <c r="G15" s="260"/>
      <c r="H15" s="16"/>
      <c r="I15" s="16"/>
      <c r="Q15" s="265" t="s">
        <v>142</v>
      </c>
    </row>
    <row r="16" ht="22.5" customHeight="1">
      <c r="A16" s="258">
        <v>46006.0</v>
      </c>
      <c r="B16" s="259" t="s">
        <v>284</v>
      </c>
      <c r="C16" s="259" t="s">
        <v>70</v>
      </c>
      <c r="D16" s="259" t="s">
        <v>84</v>
      </c>
      <c r="E16" s="260"/>
      <c r="F16" s="263" t="s">
        <v>53</v>
      </c>
      <c r="G16" s="260"/>
      <c r="H16" s="16">
        <v>21.0</v>
      </c>
      <c r="I16" s="264" t="s">
        <v>296</v>
      </c>
      <c r="Q16" s="265" t="s">
        <v>50</v>
      </c>
    </row>
    <row r="17" ht="22.5" customHeight="1">
      <c r="A17" s="258">
        <v>46007.0</v>
      </c>
      <c r="B17" s="259" t="s">
        <v>284</v>
      </c>
      <c r="C17" s="259" t="s">
        <v>70</v>
      </c>
      <c r="D17" s="259" t="s">
        <v>84</v>
      </c>
      <c r="E17" s="260"/>
      <c r="F17" s="263" t="s">
        <v>20</v>
      </c>
      <c r="G17" s="260"/>
      <c r="H17" s="16">
        <v>21.0</v>
      </c>
      <c r="I17" s="262" t="s">
        <v>297</v>
      </c>
    </row>
    <row r="18" ht="22.5" customHeight="1">
      <c r="A18" s="258">
        <v>46008.0</v>
      </c>
      <c r="B18" s="259" t="s">
        <v>284</v>
      </c>
      <c r="C18" s="259" t="s">
        <v>70</v>
      </c>
      <c r="D18" s="259" t="s">
        <v>145</v>
      </c>
      <c r="E18" s="260"/>
      <c r="F18" s="263" t="s">
        <v>53</v>
      </c>
      <c r="G18" s="260"/>
      <c r="H18" s="16">
        <v>2719.0</v>
      </c>
      <c r="I18" s="262" t="s">
        <v>298</v>
      </c>
    </row>
    <row r="19" ht="22.5" customHeight="1">
      <c r="A19" s="258">
        <v>46009.0</v>
      </c>
      <c r="B19" s="259" t="s">
        <v>284</v>
      </c>
      <c r="C19" s="259" t="s">
        <v>70</v>
      </c>
      <c r="D19" s="259" t="s">
        <v>145</v>
      </c>
      <c r="E19" s="260"/>
      <c r="F19" s="263" t="s">
        <v>20</v>
      </c>
      <c r="G19" s="260"/>
      <c r="H19" s="16">
        <f>2215+2634+267</f>
        <v>5116</v>
      </c>
      <c r="I19" s="262" t="s">
        <v>299</v>
      </c>
    </row>
    <row r="20" ht="22.5" customHeight="1">
      <c r="A20" s="258">
        <v>46010.0</v>
      </c>
      <c r="B20" s="259" t="s">
        <v>284</v>
      </c>
      <c r="C20" s="259" t="s">
        <v>70</v>
      </c>
      <c r="D20" s="259" t="s">
        <v>145</v>
      </c>
      <c r="E20" s="260"/>
      <c r="F20" s="263" t="s">
        <v>20</v>
      </c>
      <c r="G20" s="260"/>
      <c r="H20" s="16">
        <v>1500.0</v>
      </c>
      <c r="I20" s="264" t="s">
        <v>300</v>
      </c>
    </row>
    <row r="21" ht="22.5" customHeight="1">
      <c r="A21" s="258">
        <v>46011.0</v>
      </c>
      <c r="B21" s="266"/>
      <c r="C21" s="266"/>
      <c r="D21" s="266"/>
      <c r="E21" s="260"/>
      <c r="F21" s="266"/>
      <c r="G21" s="260"/>
      <c r="H21" s="74"/>
      <c r="I21" s="74"/>
    </row>
    <row r="22" ht="22.5" customHeight="1">
      <c r="A22" s="258">
        <v>46012.0</v>
      </c>
      <c r="B22" s="260"/>
      <c r="C22" s="260"/>
      <c r="D22" s="260"/>
      <c r="E22" s="260"/>
      <c r="F22" s="261"/>
      <c r="G22" s="260"/>
      <c r="H22" s="16"/>
      <c r="I22" s="16"/>
    </row>
    <row r="23" ht="22.5" customHeight="1">
      <c r="A23" s="258">
        <v>46013.0</v>
      </c>
      <c r="B23" s="259" t="s">
        <v>284</v>
      </c>
      <c r="C23" s="259" t="s">
        <v>70</v>
      </c>
      <c r="D23" s="259" t="s">
        <v>145</v>
      </c>
      <c r="E23" s="260"/>
      <c r="F23" s="263" t="s">
        <v>20</v>
      </c>
      <c r="G23" s="260"/>
      <c r="H23" s="264">
        <v>6407.0</v>
      </c>
      <c r="I23" s="262" t="s">
        <v>301</v>
      </c>
    </row>
    <row r="24" ht="22.5" customHeight="1">
      <c r="A24" s="258">
        <v>46014.0</v>
      </c>
      <c r="B24" s="259" t="s">
        <v>284</v>
      </c>
      <c r="C24" s="259" t="s">
        <v>70</v>
      </c>
      <c r="D24" s="259" t="s">
        <v>145</v>
      </c>
      <c r="E24" s="260"/>
      <c r="F24" s="263" t="s">
        <v>20</v>
      </c>
      <c r="G24" s="260"/>
      <c r="H24" s="264">
        <v>4252.0</v>
      </c>
      <c r="I24" s="262" t="s">
        <v>302</v>
      </c>
    </row>
    <row r="25" ht="22.5" customHeight="1">
      <c r="A25" s="258">
        <v>46015.0</v>
      </c>
      <c r="B25" s="259" t="s">
        <v>284</v>
      </c>
      <c r="C25" s="259" t="s">
        <v>70</v>
      </c>
      <c r="D25" s="259" t="s">
        <v>145</v>
      </c>
      <c r="E25" s="260"/>
      <c r="F25" s="263" t="s">
        <v>20</v>
      </c>
      <c r="G25" s="260"/>
      <c r="H25" s="264">
        <v>5318.0</v>
      </c>
      <c r="I25" s="262" t="s">
        <v>303</v>
      </c>
    </row>
    <row r="26" ht="22.5" customHeight="1">
      <c r="A26" s="258">
        <v>46016.0</v>
      </c>
      <c r="B26" s="259" t="s">
        <v>284</v>
      </c>
      <c r="C26" s="260"/>
      <c r="D26" s="260"/>
      <c r="E26" s="260"/>
      <c r="F26" s="263" t="s">
        <v>29</v>
      </c>
      <c r="G26" s="260"/>
      <c r="H26" s="16"/>
      <c r="I26" s="16"/>
    </row>
    <row r="27" ht="22.5" customHeight="1">
      <c r="A27" s="258">
        <v>46017.0</v>
      </c>
      <c r="B27" s="259" t="s">
        <v>284</v>
      </c>
      <c r="C27" s="259" t="s">
        <v>70</v>
      </c>
      <c r="D27" s="259" t="s">
        <v>145</v>
      </c>
      <c r="E27" s="260"/>
      <c r="F27" s="263" t="s">
        <v>53</v>
      </c>
      <c r="G27" s="260"/>
      <c r="H27" s="264">
        <v>4476.0</v>
      </c>
      <c r="I27" s="262" t="s">
        <v>304</v>
      </c>
    </row>
    <row r="28" ht="22.5" customHeight="1">
      <c r="A28" s="258">
        <v>46018.0</v>
      </c>
      <c r="B28" s="259" t="s">
        <v>284</v>
      </c>
      <c r="C28" s="259" t="s">
        <v>70</v>
      </c>
      <c r="D28" s="259" t="s">
        <v>145</v>
      </c>
      <c r="E28" s="260"/>
      <c r="F28" s="263" t="s">
        <v>20</v>
      </c>
      <c r="G28" s="260"/>
      <c r="H28" s="267">
        <v>5056.0</v>
      </c>
      <c r="I28" s="268" t="s">
        <v>305</v>
      </c>
    </row>
    <row r="29" ht="22.5" customHeight="1">
      <c r="A29" s="258">
        <v>46019.0</v>
      </c>
      <c r="B29" s="259" t="s">
        <v>284</v>
      </c>
      <c r="C29" s="259" t="s">
        <v>70</v>
      </c>
      <c r="D29" s="259" t="s">
        <v>145</v>
      </c>
      <c r="E29" s="260"/>
      <c r="F29" s="263" t="s">
        <v>53</v>
      </c>
      <c r="G29" s="260"/>
      <c r="H29" s="269">
        <f>975+527+1000</f>
        <v>2502</v>
      </c>
      <c r="I29" s="268" t="s">
        <v>306</v>
      </c>
    </row>
    <row r="30" ht="22.5" customHeight="1">
      <c r="A30" s="258">
        <v>46020.0</v>
      </c>
      <c r="B30" s="259" t="s">
        <v>284</v>
      </c>
      <c r="C30" s="259" t="s">
        <v>70</v>
      </c>
      <c r="D30" s="259" t="s">
        <v>145</v>
      </c>
      <c r="E30" s="260"/>
      <c r="F30" s="263" t="s">
        <v>53</v>
      </c>
      <c r="G30" s="260"/>
      <c r="H30" s="16">
        <v>1000.0</v>
      </c>
      <c r="I30" s="16" t="s">
        <v>307</v>
      </c>
    </row>
    <row r="31" ht="22.5" customHeight="1">
      <c r="A31" s="258">
        <v>46021.0</v>
      </c>
      <c r="B31" s="259" t="s">
        <v>284</v>
      </c>
      <c r="C31" s="260"/>
      <c r="D31" s="260"/>
      <c r="E31" s="260"/>
      <c r="F31" s="261"/>
      <c r="G31" s="260"/>
      <c r="H31" s="16"/>
      <c r="I31" s="16"/>
    </row>
    <row r="32" ht="22.5" customHeight="1">
      <c r="A32" s="258">
        <v>46022.0</v>
      </c>
      <c r="B32" s="259" t="s">
        <v>284</v>
      </c>
      <c r="C32" s="270"/>
      <c r="D32" s="270"/>
      <c r="E32" s="260"/>
      <c r="F32" s="271"/>
      <c r="G32" s="260"/>
      <c r="H32" s="272"/>
      <c r="I32" s="16"/>
    </row>
    <row r="33" ht="22.5" customHeight="1">
      <c r="A33" s="273">
        <v>46023.0</v>
      </c>
      <c r="B33" s="259" t="s">
        <v>284</v>
      </c>
      <c r="C33" s="260"/>
      <c r="D33" s="259" t="s">
        <v>29</v>
      </c>
      <c r="E33" s="260"/>
      <c r="F33" s="263" t="s">
        <v>29</v>
      </c>
      <c r="G33" s="260"/>
      <c r="H33" s="16"/>
      <c r="I33" s="16"/>
    </row>
    <row r="34" ht="22.5" customHeight="1">
      <c r="A34" s="273">
        <v>46024.0</v>
      </c>
      <c r="B34" s="259" t="s">
        <v>284</v>
      </c>
      <c r="C34" s="259" t="s">
        <v>44</v>
      </c>
      <c r="D34" s="259" t="s">
        <v>290</v>
      </c>
      <c r="E34" s="260"/>
      <c r="F34" s="263" t="s">
        <v>20</v>
      </c>
      <c r="G34" s="260"/>
      <c r="H34" s="16">
        <v>1051.0</v>
      </c>
      <c r="I34" s="16"/>
    </row>
    <row r="35" ht="22.5" customHeight="1">
      <c r="A35" s="274">
        <v>46027.0</v>
      </c>
      <c r="B35" s="259" t="s">
        <v>284</v>
      </c>
      <c r="C35" s="259" t="s">
        <v>44</v>
      </c>
      <c r="D35" s="259" t="s">
        <v>145</v>
      </c>
      <c r="E35" s="260"/>
      <c r="F35" s="263" t="s">
        <v>53</v>
      </c>
      <c r="G35" s="260"/>
      <c r="H35" s="272">
        <f>2500-915</f>
        <v>1585</v>
      </c>
      <c r="I35" s="16"/>
    </row>
    <row r="36" ht="22.5" customHeight="1">
      <c r="A36" s="274">
        <v>46028.0</v>
      </c>
      <c r="B36" s="259" t="s">
        <v>284</v>
      </c>
      <c r="C36" s="259" t="s">
        <v>44</v>
      </c>
      <c r="D36" s="259" t="s">
        <v>145</v>
      </c>
      <c r="E36" s="260"/>
      <c r="F36" s="263" t="s">
        <v>20</v>
      </c>
      <c r="G36" s="260"/>
      <c r="H36" s="272">
        <f>2500-1585+1465</f>
        <v>2380</v>
      </c>
      <c r="I36" s="16" t="s">
        <v>308</v>
      </c>
    </row>
    <row r="37" ht="22.5" customHeight="1">
      <c r="A37" s="274">
        <v>46029.0</v>
      </c>
      <c r="B37" s="259" t="s">
        <v>284</v>
      </c>
      <c r="C37" s="259" t="s">
        <v>30</v>
      </c>
      <c r="D37" s="259" t="s">
        <v>42</v>
      </c>
      <c r="E37" s="260"/>
      <c r="F37" s="263" t="s">
        <v>53</v>
      </c>
      <c r="G37" s="260"/>
      <c r="H37" s="16">
        <v>50.0</v>
      </c>
      <c r="I37" s="16"/>
    </row>
    <row r="38" ht="22.5" customHeight="1">
      <c r="A38" s="274">
        <v>46030.0</v>
      </c>
      <c r="B38" s="259" t="s">
        <v>284</v>
      </c>
      <c r="C38" s="259" t="s">
        <v>30</v>
      </c>
      <c r="D38" s="259" t="s">
        <v>42</v>
      </c>
      <c r="E38" s="260"/>
      <c r="F38" s="263" t="s">
        <v>53</v>
      </c>
      <c r="G38" s="260"/>
      <c r="H38" s="16">
        <v>90.0</v>
      </c>
      <c r="I38" s="16" t="s">
        <v>309</v>
      </c>
    </row>
    <row r="39" ht="22.5" customHeight="1">
      <c r="A39" s="274">
        <v>46031.0</v>
      </c>
      <c r="B39" s="259" t="s">
        <v>284</v>
      </c>
      <c r="C39" s="259" t="s">
        <v>30</v>
      </c>
      <c r="D39" s="259" t="s">
        <v>42</v>
      </c>
      <c r="E39" s="260"/>
      <c r="F39" s="263" t="s">
        <v>53</v>
      </c>
      <c r="G39" s="260"/>
      <c r="H39" s="16">
        <v>30.0</v>
      </c>
      <c r="I39" s="16"/>
    </row>
    <row r="40" ht="22.5" customHeight="1">
      <c r="A40" s="273"/>
      <c r="B40" s="260"/>
      <c r="C40" s="260"/>
      <c r="D40" s="260"/>
      <c r="E40" s="260"/>
      <c r="F40" s="261"/>
      <c r="G40" s="260"/>
      <c r="H40" s="16"/>
      <c r="I40" s="16"/>
    </row>
    <row r="41" ht="22.5" customHeight="1">
      <c r="A41" s="273"/>
      <c r="B41" s="260"/>
      <c r="C41" s="260"/>
      <c r="D41" s="260"/>
      <c r="E41" s="260"/>
      <c r="F41" s="261"/>
      <c r="G41" s="260"/>
      <c r="H41" s="16"/>
      <c r="I41" s="16"/>
    </row>
    <row r="42" ht="22.5" customHeight="1">
      <c r="A42" s="273"/>
      <c r="B42" s="260"/>
      <c r="C42" s="260"/>
      <c r="D42" s="260"/>
      <c r="E42" s="260"/>
      <c r="F42" s="261"/>
      <c r="G42" s="260"/>
      <c r="H42" s="16"/>
      <c r="I42" s="16"/>
    </row>
    <row r="43">
      <c r="A43" s="275"/>
    </row>
    <row r="44">
      <c r="A44" s="275"/>
    </row>
    <row r="45">
      <c r="A45" s="275"/>
    </row>
    <row r="46">
      <c r="A46" s="275"/>
    </row>
    <row r="47">
      <c r="A47" s="275"/>
    </row>
    <row r="48">
      <c r="A48" s="275"/>
    </row>
    <row r="49">
      <c r="A49" s="275"/>
    </row>
    <row r="50">
      <c r="A50" s="275"/>
    </row>
    <row r="51">
      <c r="A51" s="275"/>
    </row>
    <row r="52">
      <c r="A52" s="275"/>
    </row>
    <row r="53">
      <c r="A53" s="275"/>
    </row>
    <row r="54">
      <c r="A54" s="275"/>
    </row>
    <row r="55">
      <c r="A55" s="275"/>
    </row>
    <row r="56">
      <c r="A56" s="275"/>
    </row>
    <row r="57">
      <c r="A57" s="275"/>
    </row>
    <row r="58">
      <c r="A58" s="275"/>
    </row>
    <row r="59">
      <c r="A59" s="275"/>
    </row>
    <row r="60">
      <c r="A60" s="275"/>
    </row>
    <row r="61">
      <c r="A61" s="275"/>
    </row>
    <row r="62">
      <c r="A62" s="275"/>
    </row>
    <row r="63">
      <c r="A63" s="275"/>
    </row>
    <row r="64">
      <c r="A64" s="275"/>
    </row>
    <row r="65">
      <c r="A65" s="275"/>
    </row>
    <row r="66">
      <c r="A66" s="275"/>
    </row>
    <row r="67">
      <c r="A67" s="275"/>
    </row>
    <row r="68">
      <c r="A68" s="275"/>
    </row>
    <row r="69">
      <c r="A69" s="275"/>
    </row>
    <row r="70">
      <c r="A70" s="275"/>
    </row>
    <row r="71">
      <c r="A71" s="275"/>
    </row>
    <row r="72">
      <c r="A72" s="275"/>
    </row>
    <row r="73">
      <c r="A73" s="275"/>
    </row>
    <row r="74">
      <c r="A74" s="275"/>
    </row>
    <row r="75">
      <c r="A75" s="275"/>
    </row>
    <row r="76">
      <c r="A76" s="275"/>
    </row>
    <row r="77">
      <c r="A77" s="275"/>
    </row>
    <row r="78">
      <c r="A78" s="275"/>
    </row>
    <row r="79">
      <c r="A79" s="275"/>
    </row>
    <row r="80">
      <c r="A80" s="275"/>
    </row>
    <row r="81">
      <c r="A81" s="275"/>
    </row>
    <row r="82">
      <c r="A82" s="275"/>
    </row>
    <row r="83">
      <c r="A83" s="275"/>
    </row>
    <row r="84">
      <c r="A84" s="275"/>
    </row>
    <row r="85">
      <c r="A85" s="275"/>
    </row>
    <row r="86">
      <c r="A86" s="275"/>
    </row>
    <row r="87">
      <c r="A87" s="275"/>
    </row>
    <row r="88">
      <c r="A88" s="275"/>
    </row>
    <row r="89">
      <c r="A89" s="275"/>
    </row>
    <row r="90">
      <c r="A90" s="275"/>
    </row>
    <row r="91">
      <c r="A91" s="275"/>
    </row>
    <row r="92">
      <c r="A92" s="275"/>
    </row>
    <row r="93">
      <c r="A93" s="275"/>
    </row>
    <row r="94">
      <c r="A94" s="275"/>
    </row>
    <row r="95">
      <c r="A95" s="275"/>
    </row>
    <row r="96">
      <c r="A96" s="275"/>
    </row>
    <row r="97">
      <c r="A97" s="275"/>
    </row>
    <row r="98">
      <c r="A98" s="275"/>
    </row>
    <row r="99">
      <c r="A99" s="275"/>
    </row>
    <row r="100">
      <c r="A100" s="275"/>
    </row>
    <row r="101">
      <c r="A101" s="275"/>
    </row>
    <row r="102">
      <c r="A102" s="275"/>
    </row>
    <row r="103">
      <c r="A103" s="275"/>
    </row>
    <row r="104">
      <c r="A104" s="275"/>
    </row>
    <row r="105">
      <c r="A105" s="275"/>
    </row>
    <row r="106">
      <c r="A106" s="275"/>
    </row>
    <row r="107">
      <c r="A107" s="275"/>
    </row>
    <row r="108">
      <c r="A108" s="275"/>
    </row>
    <row r="109">
      <c r="A109" s="275"/>
    </row>
    <row r="110">
      <c r="A110" s="275"/>
    </row>
    <row r="111">
      <c r="A111" s="275"/>
    </row>
    <row r="112">
      <c r="A112" s="275"/>
    </row>
    <row r="113">
      <c r="A113" s="275"/>
    </row>
    <row r="114">
      <c r="A114" s="275"/>
    </row>
    <row r="115">
      <c r="A115" s="275"/>
    </row>
    <row r="116">
      <c r="A116" s="275"/>
    </row>
    <row r="117">
      <c r="A117" s="275"/>
    </row>
    <row r="118">
      <c r="A118" s="275"/>
    </row>
    <row r="119">
      <c r="A119" s="275"/>
    </row>
    <row r="120">
      <c r="A120" s="275"/>
    </row>
    <row r="121">
      <c r="A121" s="275"/>
    </row>
    <row r="122">
      <c r="A122" s="275"/>
    </row>
    <row r="123">
      <c r="A123" s="275"/>
    </row>
    <row r="124">
      <c r="A124" s="275"/>
    </row>
    <row r="125">
      <c r="A125" s="275"/>
    </row>
    <row r="126">
      <c r="A126" s="275"/>
    </row>
    <row r="127">
      <c r="A127" s="275"/>
    </row>
    <row r="128">
      <c r="A128" s="275"/>
    </row>
    <row r="129">
      <c r="A129" s="275"/>
    </row>
    <row r="130">
      <c r="A130" s="275"/>
    </row>
    <row r="131">
      <c r="A131" s="275"/>
    </row>
    <row r="132">
      <c r="A132" s="275"/>
    </row>
    <row r="133">
      <c r="A133" s="275"/>
    </row>
    <row r="134">
      <c r="A134" s="275"/>
    </row>
    <row r="135">
      <c r="A135" s="275"/>
    </row>
    <row r="136">
      <c r="A136" s="275"/>
    </row>
    <row r="137">
      <c r="A137" s="275"/>
    </row>
    <row r="138">
      <c r="A138" s="275"/>
    </row>
    <row r="139">
      <c r="A139" s="275"/>
    </row>
    <row r="140">
      <c r="A140" s="275"/>
    </row>
    <row r="141">
      <c r="A141" s="275"/>
    </row>
    <row r="142">
      <c r="A142" s="275"/>
    </row>
    <row r="143">
      <c r="A143" s="275"/>
    </row>
    <row r="144">
      <c r="A144" s="275"/>
    </row>
    <row r="145">
      <c r="A145" s="275"/>
    </row>
    <row r="146">
      <c r="A146" s="275"/>
    </row>
    <row r="147">
      <c r="A147" s="275"/>
    </row>
    <row r="148">
      <c r="A148" s="275"/>
    </row>
    <row r="149">
      <c r="A149" s="275"/>
    </row>
    <row r="150">
      <c r="A150" s="275"/>
    </row>
    <row r="151">
      <c r="A151" s="275"/>
    </row>
    <row r="152">
      <c r="A152" s="275"/>
    </row>
    <row r="153">
      <c r="A153" s="275"/>
    </row>
    <row r="154">
      <c r="A154" s="275"/>
    </row>
    <row r="155">
      <c r="A155" s="275"/>
    </row>
    <row r="156">
      <c r="A156" s="275"/>
    </row>
    <row r="157">
      <c r="A157" s="275"/>
    </row>
    <row r="158">
      <c r="A158" s="275"/>
    </row>
    <row r="159">
      <c r="A159" s="275"/>
    </row>
    <row r="160">
      <c r="A160" s="275"/>
    </row>
    <row r="161">
      <c r="A161" s="275"/>
    </row>
    <row r="162">
      <c r="A162" s="275"/>
    </row>
    <row r="163">
      <c r="A163" s="275"/>
    </row>
    <row r="164">
      <c r="A164" s="275"/>
    </row>
    <row r="165">
      <c r="A165" s="275"/>
    </row>
    <row r="166">
      <c r="A166" s="275"/>
    </row>
    <row r="167">
      <c r="A167" s="275"/>
    </row>
    <row r="168">
      <c r="A168" s="275"/>
    </row>
    <row r="169">
      <c r="A169" s="275"/>
    </row>
    <row r="170">
      <c r="A170" s="275"/>
    </row>
    <row r="171">
      <c r="A171" s="275"/>
    </row>
    <row r="172">
      <c r="A172" s="275"/>
    </row>
    <row r="173">
      <c r="A173" s="275"/>
    </row>
    <row r="174">
      <c r="A174" s="275"/>
    </row>
    <row r="175">
      <c r="A175" s="275"/>
    </row>
    <row r="176">
      <c r="A176" s="275"/>
    </row>
    <row r="177">
      <c r="A177" s="275"/>
    </row>
    <row r="178">
      <c r="A178" s="275"/>
    </row>
    <row r="179">
      <c r="A179" s="275"/>
    </row>
    <row r="180">
      <c r="A180" s="275"/>
    </row>
    <row r="181">
      <c r="A181" s="275"/>
    </row>
    <row r="182">
      <c r="A182" s="275"/>
    </row>
    <row r="183">
      <c r="A183" s="275"/>
    </row>
    <row r="184">
      <c r="A184" s="275"/>
    </row>
    <row r="185">
      <c r="A185" s="275"/>
    </row>
    <row r="186">
      <c r="A186" s="275"/>
    </row>
    <row r="187">
      <c r="A187" s="275"/>
    </row>
    <row r="188">
      <c r="A188" s="275"/>
    </row>
    <row r="189">
      <c r="A189" s="275"/>
    </row>
    <row r="190">
      <c r="A190" s="275"/>
    </row>
    <row r="191">
      <c r="A191" s="275"/>
    </row>
    <row r="192">
      <c r="A192" s="275"/>
    </row>
    <row r="193">
      <c r="A193" s="275"/>
    </row>
    <row r="194">
      <c r="A194" s="275"/>
    </row>
    <row r="195">
      <c r="A195" s="275"/>
    </row>
    <row r="196">
      <c r="A196" s="275"/>
    </row>
    <row r="197">
      <c r="A197" s="275"/>
    </row>
    <row r="198">
      <c r="A198" s="275"/>
    </row>
    <row r="199">
      <c r="A199" s="275"/>
    </row>
    <row r="200">
      <c r="A200" s="275"/>
    </row>
    <row r="201">
      <c r="A201" s="275"/>
    </row>
    <row r="202">
      <c r="A202" s="275"/>
    </row>
    <row r="203">
      <c r="A203" s="275"/>
    </row>
    <row r="204">
      <c r="A204" s="275"/>
    </row>
    <row r="205">
      <c r="A205" s="275"/>
    </row>
    <row r="206">
      <c r="A206" s="275"/>
    </row>
    <row r="207">
      <c r="A207" s="275"/>
    </row>
    <row r="208">
      <c r="A208" s="275"/>
    </row>
    <row r="209">
      <c r="A209" s="275"/>
    </row>
    <row r="210">
      <c r="A210" s="275"/>
    </row>
    <row r="211">
      <c r="A211" s="275"/>
    </row>
    <row r="212">
      <c r="A212" s="275"/>
    </row>
    <row r="213">
      <c r="A213" s="275"/>
    </row>
    <row r="214">
      <c r="A214" s="275"/>
    </row>
    <row r="215">
      <c r="A215" s="275"/>
    </row>
    <row r="216">
      <c r="A216" s="275"/>
    </row>
    <row r="217">
      <c r="A217" s="275"/>
    </row>
    <row r="218">
      <c r="A218" s="275"/>
    </row>
    <row r="219">
      <c r="A219" s="275"/>
    </row>
    <row r="220">
      <c r="A220" s="275"/>
    </row>
    <row r="221">
      <c r="A221" s="275"/>
    </row>
    <row r="222">
      <c r="A222" s="275"/>
    </row>
    <row r="223">
      <c r="A223" s="275"/>
    </row>
    <row r="224">
      <c r="A224" s="275"/>
    </row>
    <row r="225">
      <c r="A225" s="275"/>
    </row>
    <row r="226">
      <c r="A226" s="275"/>
    </row>
    <row r="227">
      <c r="A227" s="275"/>
    </row>
    <row r="228">
      <c r="A228" s="275"/>
    </row>
    <row r="229">
      <c r="A229" s="275"/>
    </row>
    <row r="230">
      <c r="A230" s="275"/>
    </row>
    <row r="231">
      <c r="A231" s="275"/>
    </row>
    <row r="232">
      <c r="A232" s="275"/>
    </row>
    <row r="233">
      <c r="A233" s="275"/>
    </row>
    <row r="234">
      <c r="A234" s="275"/>
    </row>
    <row r="235">
      <c r="A235" s="275"/>
    </row>
    <row r="236">
      <c r="A236" s="275"/>
    </row>
    <row r="237">
      <c r="A237" s="275"/>
    </row>
    <row r="238">
      <c r="A238" s="275"/>
    </row>
    <row r="239">
      <c r="A239" s="275"/>
    </row>
    <row r="240">
      <c r="A240" s="275"/>
    </row>
    <row r="241">
      <c r="A241" s="275"/>
    </row>
    <row r="242">
      <c r="A242" s="275"/>
    </row>
    <row r="243">
      <c r="A243" s="275"/>
    </row>
    <row r="244">
      <c r="A244" s="275"/>
    </row>
    <row r="245">
      <c r="A245" s="275"/>
    </row>
    <row r="246">
      <c r="A246" s="275"/>
    </row>
    <row r="247">
      <c r="A247" s="275"/>
    </row>
    <row r="248">
      <c r="A248" s="275"/>
    </row>
    <row r="249">
      <c r="A249" s="275"/>
    </row>
    <row r="250">
      <c r="A250" s="275"/>
    </row>
    <row r="251">
      <c r="A251" s="275"/>
    </row>
    <row r="252">
      <c r="A252" s="275"/>
    </row>
    <row r="253">
      <c r="A253" s="275"/>
    </row>
    <row r="254">
      <c r="A254" s="275"/>
    </row>
    <row r="255">
      <c r="A255" s="275"/>
    </row>
    <row r="256">
      <c r="A256" s="275"/>
    </row>
    <row r="257">
      <c r="A257" s="275"/>
    </row>
    <row r="258">
      <c r="A258" s="275"/>
    </row>
    <row r="259">
      <c r="A259" s="275"/>
    </row>
    <row r="260">
      <c r="A260" s="275"/>
    </row>
    <row r="261">
      <c r="A261" s="275"/>
    </row>
    <row r="262">
      <c r="A262" s="275"/>
    </row>
    <row r="263">
      <c r="A263" s="275"/>
    </row>
    <row r="264">
      <c r="A264" s="275"/>
    </row>
    <row r="265">
      <c r="A265" s="275"/>
    </row>
    <row r="266">
      <c r="A266" s="275"/>
    </row>
    <row r="267">
      <c r="A267" s="275"/>
    </row>
    <row r="268">
      <c r="A268" s="275"/>
    </row>
    <row r="269">
      <c r="A269" s="275"/>
    </row>
    <row r="270">
      <c r="A270" s="275"/>
    </row>
    <row r="271">
      <c r="A271" s="275"/>
    </row>
    <row r="272">
      <c r="A272" s="275"/>
    </row>
    <row r="273">
      <c r="A273" s="275"/>
    </row>
    <row r="274">
      <c r="A274" s="275"/>
    </row>
    <row r="275">
      <c r="A275" s="275"/>
    </row>
    <row r="276">
      <c r="A276" s="275"/>
    </row>
    <row r="277">
      <c r="A277" s="275"/>
    </row>
    <row r="278">
      <c r="A278" s="275"/>
    </row>
    <row r="279">
      <c r="A279" s="275"/>
    </row>
    <row r="280">
      <c r="A280" s="275"/>
    </row>
    <row r="281">
      <c r="A281" s="275"/>
    </row>
    <row r="282">
      <c r="A282" s="275"/>
    </row>
    <row r="283">
      <c r="A283" s="275"/>
    </row>
    <row r="284">
      <c r="A284" s="275"/>
    </row>
    <row r="285">
      <c r="A285" s="275"/>
    </row>
    <row r="286">
      <c r="A286" s="275"/>
    </row>
    <row r="287">
      <c r="A287" s="275"/>
    </row>
    <row r="288">
      <c r="A288" s="275"/>
    </row>
    <row r="289">
      <c r="A289" s="275"/>
    </row>
    <row r="290">
      <c r="A290" s="275"/>
    </row>
    <row r="291">
      <c r="A291" s="275"/>
    </row>
    <row r="292">
      <c r="A292" s="275"/>
    </row>
    <row r="293">
      <c r="A293" s="275"/>
    </row>
    <row r="294">
      <c r="A294" s="275"/>
    </row>
    <row r="295">
      <c r="A295" s="275"/>
    </row>
    <row r="296">
      <c r="A296" s="275"/>
    </row>
    <row r="297">
      <c r="A297" s="275"/>
    </row>
    <row r="298">
      <c r="A298" s="275"/>
    </row>
    <row r="299">
      <c r="A299" s="275"/>
    </row>
    <row r="300">
      <c r="A300" s="275"/>
    </row>
    <row r="301">
      <c r="A301" s="275"/>
    </row>
    <row r="302">
      <c r="A302" s="275"/>
    </row>
    <row r="303">
      <c r="A303" s="275"/>
    </row>
    <row r="304">
      <c r="A304" s="275"/>
    </row>
    <row r="305">
      <c r="A305" s="275"/>
    </row>
    <row r="306">
      <c r="A306" s="275"/>
    </row>
    <row r="307">
      <c r="A307" s="275"/>
    </row>
    <row r="308">
      <c r="A308" s="275"/>
    </row>
    <row r="309">
      <c r="A309" s="275"/>
    </row>
    <row r="310">
      <c r="A310" s="275"/>
    </row>
    <row r="311">
      <c r="A311" s="275"/>
    </row>
    <row r="312">
      <c r="A312" s="275"/>
    </row>
    <row r="313">
      <c r="A313" s="275"/>
    </row>
    <row r="314">
      <c r="A314" s="275"/>
    </row>
    <row r="315">
      <c r="A315" s="275"/>
    </row>
    <row r="316">
      <c r="A316" s="275"/>
    </row>
    <row r="317">
      <c r="A317" s="275"/>
    </row>
    <row r="318">
      <c r="A318" s="275"/>
    </row>
    <row r="319">
      <c r="A319" s="275"/>
    </row>
    <row r="320">
      <c r="A320" s="275"/>
    </row>
    <row r="321">
      <c r="A321" s="275"/>
    </row>
    <row r="322">
      <c r="A322" s="275"/>
    </row>
    <row r="323">
      <c r="A323" s="275"/>
    </row>
    <row r="324">
      <c r="A324" s="275"/>
    </row>
    <row r="325">
      <c r="A325" s="275"/>
    </row>
    <row r="326">
      <c r="A326" s="275"/>
    </row>
    <row r="327">
      <c r="A327" s="275"/>
    </row>
    <row r="328">
      <c r="A328" s="275"/>
    </row>
    <row r="329">
      <c r="A329" s="275"/>
    </row>
    <row r="330">
      <c r="A330" s="275"/>
    </row>
    <row r="331">
      <c r="A331" s="275"/>
    </row>
    <row r="332">
      <c r="A332" s="275"/>
    </row>
    <row r="333">
      <c r="A333" s="275"/>
    </row>
    <row r="334">
      <c r="A334" s="275"/>
    </row>
    <row r="335">
      <c r="A335" s="275"/>
    </row>
    <row r="336">
      <c r="A336" s="275"/>
    </row>
    <row r="337">
      <c r="A337" s="275"/>
    </row>
    <row r="338">
      <c r="A338" s="275"/>
    </row>
    <row r="339">
      <c r="A339" s="275"/>
    </row>
    <row r="340">
      <c r="A340" s="275"/>
    </row>
    <row r="341">
      <c r="A341" s="275"/>
    </row>
    <row r="342">
      <c r="A342" s="275"/>
    </row>
    <row r="343">
      <c r="A343" s="275"/>
    </row>
    <row r="344">
      <c r="A344" s="275"/>
    </row>
    <row r="345">
      <c r="A345" s="275"/>
    </row>
    <row r="346">
      <c r="A346" s="275"/>
    </row>
    <row r="347">
      <c r="A347" s="275"/>
    </row>
    <row r="348">
      <c r="A348" s="275"/>
    </row>
    <row r="349">
      <c r="A349" s="275"/>
    </row>
    <row r="350">
      <c r="A350" s="275"/>
    </row>
    <row r="351">
      <c r="A351" s="275"/>
    </row>
    <row r="352">
      <c r="A352" s="275"/>
    </row>
    <row r="353">
      <c r="A353" s="275"/>
    </row>
    <row r="354">
      <c r="A354" s="275"/>
    </row>
    <row r="355">
      <c r="A355" s="275"/>
    </row>
    <row r="356">
      <c r="A356" s="275"/>
    </row>
    <row r="357">
      <c r="A357" s="275"/>
    </row>
    <row r="358">
      <c r="A358" s="275"/>
    </row>
    <row r="359">
      <c r="A359" s="275"/>
    </row>
    <row r="360">
      <c r="A360" s="275"/>
    </row>
    <row r="361">
      <c r="A361" s="275"/>
    </row>
    <row r="362">
      <c r="A362" s="275"/>
    </row>
    <row r="363">
      <c r="A363" s="275"/>
    </row>
    <row r="364">
      <c r="A364" s="275"/>
    </row>
    <row r="365">
      <c r="A365" s="275"/>
    </row>
    <row r="366">
      <c r="A366" s="275"/>
    </row>
    <row r="367">
      <c r="A367" s="275"/>
    </row>
    <row r="368">
      <c r="A368" s="275"/>
    </row>
    <row r="369">
      <c r="A369" s="275"/>
    </row>
    <row r="370">
      <c r="A370" s="275"/>
    </row>
    <row r="371">
      <c r="A371" s="275"/>
    </row>
    <row r="372">
      <c r="A372" s="275"/>
    </row>
    <row r="373">
      <c r="A373" s="275"/>
    </row>
    <row r="374">
      <c r="A374" s="275"/>
    </row>
    <row r="375">
      <c r="A375" s="275"/>
    </row>
    <row r="376">
      <c r="A376" s="275"/>
    </row>
    <row r="377">
      <c r="A377" s="275"/>
    </row>
    <row r="378">
      <c r="A378" s="275"/>
    </row>
    <row r="379">
      <c r="A379" s="275"/>
    </row>
    <row r="380">
      <c r="A380" s="275"/>
    </row>
    <row r="381">
      <c r="A381" s="275"/>
    </row>
    <row r="382">
      <c r="A382" s="275"/>
    </row>
    <row r="383">
      <c r="A383" s="275"/>
    </row>
    <row r="384">
      <c r="A384" s="275"/>
    </row>
    <row r="385">
      <c r="A385" s="275"/>
    </row>
    <row r="386">
      <c r="A386" s="275"/>
    </row>
    <row r="387">
      <c r="A387" s="275"/>
    </row>
    <row r="388">
      <c r="A388" s="275"/>
    </row>
    <row r="389">
      <c r="A389" s="275"/>
    </row>
    <row r="390">
      <c r="A390" s="275"/>
    </row>
    <row r="391">
      <c r="A391" s="275"/>
    </row>
    <row r="392">
      <c r="A392" s="275"/>
    </row>
    <row r="393">
      <c r="A393" s="275"/>
    </row>
    <row r="394">
      <c r="A394" s="275"/>
    </row>
    <row r="395">
      <c r="A395" s="275"/>
    </row>
    <row r="396">
      <c r="A396" s="275"/>
    </row>
    <row r="397">
      <c r="A397" s="275"/>
    </row>
    <row r="398">
      <c r="A398" s="275"/>
    </row>
    <row r="399">
      <c r="A399" s="275"/>
    </row>
    <row r="400">
      <c r="A400" s="275"/>
    </row>
    <row r="401">
      <c r="A401" s="275"/>
    </row>
    <row r="402">
      <c r="A402" s="275"/>
    </row>
    <row r="403">
      <c r="A403" s="275"/>
    </row>
    <row r="404">
      <c r="A404" s="275"/>
    </row>
    <row r="405">
      <c r="A405" s="275"/>
    </row>
    <row r="406">
      <c r="A406" s="275"/>
    </row>
    <row r="407">
      <c r="A407" s="275"/>
    </row>
    <row r="408">
      <c r="A408" s="275"/>
    </row>
    <row r="409">
      <c r="A409" s="275"/>
    </row>
    <row r="410">
      <c r="A410" s="275"/>
    </row>
    <row r="411">
      <c r="A411" s="275"/>
    </row>
    <row r="412">
      <c r="A412" s="275"/>
    </row>
    <row r="413">
      <c r="A413" s="275"/>
    </row>
    <row r="414">
      <c r="A414" s="275"/>
    </row>
    <row r="415">
      <c r="A415" s="275"/>
    </row>
    <row r="416">
      <c r="A416" s="275"/>
    </row>
    <row r="417">
      <c r="A417" s="275"/>
    </row>
    <row r="418">
      <c r="A418" s="275"/>
    </row>
    <row r="419">
      <c r="A419" s="275"/>
    </row>
    <row r="420">
      <c r="A420" s="275"/>
    </row>
    <row r="421">
      <c r="A421" s="275"/>
    </row>
    <row r="422">
      <c r="A422" s="275"/>
    </row>
    <row r="423">
      <c r="A423" s="275"/>
    </row>
    <row r="424">
      <c r="A424" s="275"/>
    </row>
    <row r="425">
      <c r="A425" s="275"/>
    </row>
    <row r="426">
      <c r="A426" s="275"/>
    </row>
    <row r="427">
      <c r="A427" s="275"/>
    </row>
    <row r="428">
      <c r="A428" s="275"/>
    </row>
    <row r="429">
      <c r="A429" s="275"/>
    </row>
    <row r="430">
      <c r="A430" s="275"/>
    </row>
    <row r="431">
      <c r="A431" s="275"/>
    </row>
    <row r="432">
      <c r="A432" s="275"/>
    </row>
    <row r="433">
      <c r="A433" s="275"/>
    </row>
    <row r="434">
      <c r="A434" s="275"/>
    </row>
    <row r="435">
      <c r="A435" s="275"/>
    </row>
    <row r="436">
      <c r="A436" s="275"/>
    </row>
    <row r="437">
      <c r="A437" s="275"/>
    </row>
    <row r="438">
      <c r="A438" s="275"/>
    </row>
    <row r="439">
      <c r="A439" s="275"/>
    </row>
    <row r="440">
      <c r="A440" s="275"/>
    </row>
    <row r="441">
      <c r="A441" s="275"/>
    </row>
    <row r="442">
      <c r="A442" s="275"/>
    </row>
    <row r="443">
      <c r="A443" s="275"/>
    </row>
    <row r="444">
      <c r="A444" s="275"/>
    </row>
    <row r="445">
      <c r="A445" s="275"/>
    </row>
    <row r="446">
      <c r="A446" s="275"/>
    </row>
    <row r="447">
      <c r="A447" s="275"/>
    </row>
    <row r="448">
      <c r="A448" s="275"/>
    </row>
    <row r="449">
      <c r="A449" s="275"/>
    </row>
    <row r="450">
      <c r="A450" s="275"/>
    </row>
    <row r="451">
      <c r="A451" s="275"/>
    </row>
    <row r="452">
      <c r="A452" s="275"/>
    </row>
    <row r="453">
      <c r="A453" s="275"/>
    </row>
    <row r="454">
      <c r="A454" s="275"/>
    </row>
    <row r="455">
      <c r="A455" s="275"/>
    </row>
    <row r="456">
      <c r="A456" s="275"/>
    </row>
    <row r="457">
      <c r="A457" s="275"/>
    </row>
    <row r="458">
      <c r="A458" s="275"/>
    </row>
    <row r="459">
      <c r="A459" s="275"/>
    </row>
    <row r="460">
      <c r="A460" s="275"/>
    </row>
    <row r="461">
      <c r="A461" s="275"/>
    </row>
    <row r="462">
      <c r="A462" s="275"/>
    </row>
    <row r="463">
      <c r="A463" s="275"/>
    </row>
    <row r="464">
      <c r="A464" s="275"/>
    </row>
    <row r="465">
      <c r="A465" s="275"/>
    </row>
    <row r="466">
      <c r="A466" s="275"/>
    </row>
    <row r="467">
      <c r="A467" s="275"/>
    </row>
    <row r="468">
      <c r="A468" s="275"/>
    </row>
    <row r="469">
      <c r="A469" s="275"/>
    </row>
    <row r="470">
      <c r="A470" s="275"/>
    </row>
    <row r="471">
      <c r="A471" s="275"/>
    </row>
    <row r="472">
      <c r="A472" s="275"/>
    </row>
    <row r="473">
      <c r="A473" s="275"/>
    </row>
    <row r="474">
      <c r="A474" s="275"/>
    </row>
    <row r="475">
      <c r="A475" s="275"/>
    </row>
    <row r="476">
      <c r="A476" s="275"/>
    </row>
    <row r="477">
      <c r="A477" s="275"/>
    </row>
    <row r="478">
      <c r="A478" s="275"/>
    </row>
    <row r="479">
      <c r="A479" s="275"/>
    </row>
    <row r="480">
      <c r="A480" s="275"/>
    </row>
    <row r="481">
      <c r="A481" s="275"/>
    </row>
    <row r="482">
      <c r="A482" s="275"/>
    </row>
    <row r="483">
      <c r="A483" s="275"/>
    </row>
    <row r="484">
      <c r="A484" s="275"/>
    </row>
    <row r="485">
      <c r="A485" s="275"/>
    </row>
    <row r="486">
      <c r="A486" s="275"/>
    </row>
    <row r="487">
      <c r="A487" s="275"/>
    </row>
    <row r="488">
      <c r="A488" s="275"/>
    </row>
    <row r="489">
      <c r="A489" s="275"/>
    </row>
    <row r="490">
      <c r="A490" s="275"/>
    </row>
    <row r="491">
      <c r="A491" s="275"/>
    </row>
    <row r="492">
      <c r="A492" s="275"/>
    </row>
    <row r="493">
      <c r="A493" s="275"/>
    </row>
    <row r="494">
      <c r="A494" s="275"/>
    </row>
    <row r="495">
      <c r="A495" s="275"/>
    </row>
    <row r="496">
      <c r="A496" s="275"/>
    </row>
    <row r="497">
      <c r="A497" s="275"/>
    </row>
    <row r="498">
      <c r="A498" s="275"/>
    </row>
    <row r="499">
      <c r="A499" s="275"/>
    </row>
    <row r="500">
      <c r="A500" s="275"/>
    </row>
    <row r="501">
      <c r="A501" s="275"/>
    </row>
    <row r="502">
      <c r="A502" s="275"/>
    </row>
    <row r="503">
      <c r="A503" s="275"/>
    </row>
    <row r="504">
      <c r="A504" s="275"/>
    </row>
    <row r="505">
      <c r="A505" s="275"/>
    </row>
    <row r="506">
      <c r="A506" s="275"/>
    </row>
    <row r="507">
      <c r="A507" s="275"/>
    </row>
    <row r="508">
      <c r="A508" s="275"/>
    </row>
    <row r="509">
      <c r="A509" s="275"/>
    </row>
    <row r="510">
      <c r="A510" s="275"/>
    </row>
    <row r="511">
      <c r="A511" s="275"/>
    </row>
    <row r="512">
      <c r="A512" s="275"/>
    </row>
    <row r="513">
      <c r="A513" s="275"/>
    </row>
    <row r="514">
      <c r="A514" s="275"/>
    </row>
    <row r="515">
      <c r="A515" s="275"/>
    </row>
    <row r="516">
      <c r="A516" s="275"/>
    </row>
    <row r="517">
      <c r="A517" s="275"/>
    </row>
    <row r="518">
      <c r="A518" s="275"/>
    </row>
    <row r="519">
      <c r="A519" s="275"/>
    </row>
    <row r="520">
      <c r="A520" s="275"/>
    </row>
    <row r="521">
      <c r="A521" s="275"/>
    </row>
    <row r="522">
      <c r="A522" s="275"/>
    </row>
    <row r="523">
      <c r="A523" s="275"/>
    </row>
    <row r="524">
      <c r="A524" s="275"/>
    </row>
    <row r="525">
      <c r="A525" s="275"/>
    </row>
    <row r="526">
      <c r="A526" s="275"/>
    </row>
    <row r="527">
      <c r="A527" s="275"/>
    </row>
    <row r="528">
      <c r="A528" s="275"/>
    </row>
    <row r="529">
      <c r="A529" s="275"/>
    </row>
    <row r="530">
      <c r="A530" s="275"/>
    </row>
    <row r="531">
      <c r="A531" s="275"/>
    </row>
    <row r="532">
      <c r="A532" s="275"/>
    </row>
    <row r="533">
      <c r="A533" s="275"/>
    </row>
    <row r="534">
      <c r="A534" s="275"/>
    </row>
    <row r="535">
      <c r="A535" s="275"/>
    </row>
    <row r="536">
      <c r="A536" s="275"/>
    </row>
    <row r="537">
      <c r="A537" s="275"/>
    </row>
    <row r="538">
      <c r="A538" s="275"/>
    </row>
    <row r="539">
      <c r="A539" s="275"/>
    </row>
    <row r="540">
      <c r="A540" s="275"/>
    </row>
    <row r="541">
      <c r="A541" s="275"/>
    </row>
    <row r="542">
      <c r="A542" s="275"/>
    </row>
    <row r="543">
      <c r="A543" s="275"/>
    </row>
    <row r="544">
      <c r="A544" s="275"/>
    </row>
    <row r="545">
      <c r="A545" s="275"/>
    </row>
    <row r="546">
      <c r="A546" s="275"/>
    </row>
    <row r="547">
      <c r="A547" s="275"/>
    </row>
    <row r="548">
      <c r="A548" s="275"/>
    </row>
    <row r="549">
      <c r="A549" s="275"/>
    </row>
    <row r="550">
      <c r="A550" s="275"/>
    </row>
    <row r="551">
      <c r="A551" s="275"/>
    </row>
    <row r="552">
      <c r="A552" s="275"/>
    </row>
    <row r="553">
      <c r="A553" s="275"/>
    </row>
    <row r="554">
      <c r="A554" s="275"/>
    </row>
    <row r="555">
      <c r="A555" s="275"/>
    </row>
    <row r="556">
      <c r="A556" s="275"/>
    </row>
    <row r="557">
      <c r="A557" s="275"/>
    </row>
    <row r="558">
      <c r="A558" s="275"/>
    </row>
    <row r="559">
      <c r="A559" s="275"/>
    </row>
    <row r="560">
      <c r="A560" s="275"/>
    </row>
    <row r="561">
      <c r="A561" s="275"/>
    </row>
    <row r="562">
      <c r="A562" s="275"/>
    </row>
    <row r="563">
      <c r="A563" s="275"/>
    </row>
    <row r="564">
      <c r="A564" s="275"/>
    </row>
    <row r="565">
      <c r="A565" s="275"/>
    </row>
    <row r="566">
      <c r="A566" s="275"/>
    </row>
    <row r="567">
      <c r="A567" s="275"/>
    </row>
    <row r="568">
      <c r="A568" s="275"/>
    </row>
    <row r="569">
      <c r="A569" s="275"/>
    </row>
    <row r="570">
      <c r="A570" s="275"/>
    </row>
    <row r="571">
      <c r="A571" s="275"/>
    </row>
    <row r="572">
      <c r="A572" s="275"/>
    </row>
    <row r="573">
      <c r="A573" s="275"/>
    </row>
    <row r="574">
      <c r="A574" s="275"/>
    </row>
    <row r="575">
      <c r="A575" s="275"/>
    </row>
    <row r="576">
      <c r="A576" s="275"/>
    </row>
    <row r="577">
      <c r="A577" s="275"/>
    </row>
    <row r="578">
      <c r="A578" s="275"/>
    </row>
    <row r="579">
      <c r="A579" s="275"/>
    </row>
    <row r="580">
      <c r="A580" s="275"/>
    </row>
    <row r="581">
      <c r="A581" s="275"/>
    </row>
    <row r="582">
      <c r="A582" s="275"/>
    </row>
    <row r="583">
      <c r="A583" s="275"/>
    </row>
    <row r="584">
      <c r="A584" s="275"/>
    </row>
    <row r="585">
      <c r="A585" s="275"/>
    </row>
    <row r="586">
      <c r="A586" s="275"/>
    </row>
    <row r="587">
      <c r="A587" s="275"/>
    </row>
    <row r="588">
      <c r="A588" s="275"/>
    </row>
    <row r="589">
      <c r="A589" s="275"/>
    </row>
    <row r="590">
      <c r="A590" s="275"/>
    </row>
    <row r="591">
      <c r="A591" s="275"/>
    </row>
    <row r="592">
      <c r="A592" s="275"/>
    </row>
    <row r="593">
      <c r="A593" s="275"/>
    </row>
    <row r="594">
      <c r="A594" s="275"/>
    </row>
    <row r="595">
      <c r="A595" s="275"/>
    </row>
    <row r="596">
      <c r="A596" s="275"/>
    </row>
    <row r="597">
      <c r="A597" s="275"/>
    </row>
    <row r="598">
      <c r="A598" s="275"/>
    </row>
    <row r="599">
      <c r="A599" s="275"/>
    </row>
    <row r="600">
      <c r="A600" s="275"/>
    </row>
    <row r="601">
      <c r="A601" s="275"/>
    </row>
    <row r="602">
      <c r="A602" s="275"/>
    </row>
    <row r="603">
      <c r="A603" s="275"/>
    </row>
    <row r="604">
      <c r="A604" s="275"/>
    </row>
    <row r="605">
      <c r="A605" s="275"/>
    </row>
    <row r="606">
      <c r="A606" s="275"/>
    </row>
    <row r="607">
      <c r="A607" s="275"/>
    </row>
    <row r="608">
      <c r="A608" s="275"/>
    </row>
    <row r="609">
      <c r="A609" s="275"/>
    </row>
    <row r="610">
      <c r="A610" s="275"/>
    </row>
    <row r="611">
      <c r="A611" s="275"/>
    </row>
    <row r="612">
      <c r="A612" s="275"/>
    </row>
    <row r="613">
      <c r="A613" s="275"/>
    </row>
    <row r="614">
      <c r="A614" s="275"/>
    </row>
    <row r="615">
      <c r="A615" s="275"/>
    </row>
    <row r="616">
      <c r="A616" s="275"/>
    </row>
    <row r="617">
      <c r="A617" s="275"/>
    </row>
    <row r="618">
      <c r="A618" s="275"/>
    </row>
    <row r="619">
      <c r="A619" s="275"/>
    </row>
    <row r="620">
      <c r="A620" s="275"/>
    </row>
    <row r="621">
      <c r="A621" s="275"/>
    </row>
    <row r="622">
      <c r="A622" s="275"/>
    </row>
    <row r="623">
      <c r="A623" s="275"/>
    </row>
    <row r="624">
      <c r="A624" s="275"/>
    </row>
    <row r="625">
      <c r="A625" s="275"/>
    </row>
    <row r="626">
      <c r="A626" s="275"/>
    </row>
    <row r="627">
      <c r="A627" s="275"/>
    </row>
    <row r="628">
      <c r="A628" s="275"/>
    </row>
    <row r="629">
      <c r="A629" s="275"/>
    </row>
    <row r="630">
      <c r="A630" s="275"/>
    </row>
    <row r="631">
      <c r="A631" s="275"/>
    </row>
    <row r="632">
      <c r="A632" s="275"/>
    </row>
    <row r="633">
      <c r="A633" s="275"/>
    </row>
    <row r="634">
      <c r="A634" s="275"/>
    </row>
    <row r="635">
      <c r="A635" s="275"/>
    </row>
    <row r="636">
      <c r="A636" s="275"/>
    </row>
    <row r="637">
      <c r="A637" s="275"/>
    </row>
    <row r="638">
      <c r="A638" s="275"/>
    </row>
    <row r="639">
      <c r="A639" s="275"/>
    </row>
    <row r="640">
      <c r="A640" s="275"/>
    </row>
    <row r="641">
      <c r="A641" s="275"/>
    </row>
    <row r="642">
      <c r="A642" s="275"/>
    </row>
    <row r="643">
      <c r="A643" s="275"/>
    </row>
    <row r="644">
      <c r="A644" s="275"/>
    </row>
    <row r="645">
      <c r="A645" s="275"/>
    </row>
    <row r="646">
      <c r="A646" s="275"/>
    </row>
    <row r="647">
      <c r="A647" s="275"/>
    </row>
    <row r="648">
      <c r="A648" s="275"/>
    </row>
    <row r="649">
      <c r="A649" s="275"/>
    </row>
    <row r="650">
      <c r="A650" s="275"/>
    </row>
    <row r="651">
      <c r="A651" s="275"/>
    </row>
    <row r="652">
      <c r="A652" s="275"/>
    </row>
    <row r="653">
      <c r="A653" s="275"/>
    </row>
    <row r="654">
      <c r="A654" s="275"/>
    </row>
    <row r="655">
      <c r="A655" s="275"/>
    </row>
    <row r="656">
      <c r="A656" s="275"/>
    </row>
    <row r="657">
      <c r="A657" s="275"/>
    </row>
    <row r="658">
      <c r="A658" s="275"/>
    </row>
    <row r="659">
      <c r="A659" s="275"/>
    </row>
    <row r="660">
      <c r="A660" s="275"/>
    </row>
    <row r="661">
      <c r="A661" s="275"/>
    </row>
    <row r="662">
      <c r="A662" s="275"/>
    </row>
    <row r="663">
      <c r="A663" s="275"/>
    </row>
    <row r="664">
      <c r="A664" s="275"/>
    </row>
    <row r="665">
      <c r="A665" s="275"/>
    </row>
    <row r="666">
      <c r="A666" s="275"/>
    </row>
    <row r="667">
      <c r="A667" s="275"/>
    </row>
    <row r="668">
      <c r="A668" s="275"/>
    </row>
    <row r="669">
      <c r="A669" s="275"/>
    </row>
    <row r="670">
      <c r="A670" s="275"/>
    </row>
    <row r="671">
      <c r="A671" s="275"/>
    </row>
    <row r="672">
      <c r="A672" s="275"/>
    </row>
    <row r="673">
      <c r="A673" s="275"/>
    </row>
    <row r="674">
      <c r="A674" s="275"/>
    </row>
    <row r="675">
      <c r="A675" s="275"/>
    </row>
    <row r="676">
      <c r="A676" s="275"/>
    </row>
    <row r="677">
      <c r="A677" s="275"/>
    </row>
    <row r="678">
      <c r="A678" s="275"/>
    </row>
    <row r="679">
      <c r="A679" s="275"/>
    </row>
    <row r="680">
      <c r="A680" s="275"/>
    </row>
    <row r="681">
      <c r="A681" s="275"/>
    </row>
    <row r="682">
      <c r="A682" s="275"/>
    </row>
    <row r="683">
      <c r="A683" s="275"/>
    </row>
    <row r="684">
      <c r="A684" s="275"/>
    </row>
    <row r="685">
      <c r="A685" s="275"/>
    </row>
    <row r="686">
      <c r="A686" s="275"/>
    </row>
    <row r="687">
      <c r="A687" s="275"/>
    </row>
    <row r="688">
      <c r="A688" s="275"/>
    </row>
    <row r="689">
      <c r="A689" s="275"/>
    </row>
    <row r="690">
      <c r="A690" s="275"/>
    </row>
    <row r="691">
      <c r="A691" s="275"/>
    </row>
    <row r="692">
      <c r="A692" s="275"/>
    </row>
    <row r="693">
      <c r="A693" s="275"/>
    </row>
    <row r="694">
      <c r="A694" s="275"/>
    </row>
    <row r="695">
      <c r="A695" s="275"/>
    </row>
    <row r="696">
      <c r="A696" s="275"/>
    </row>
    <row r="697">
      <c r="A697" s="275"/>
    </row>
    <row r="698">
      <c r="A698" s="275"/>
    </row>
    <row r="699">
      <c r="A699" s="275"/>
    </row>
    <row r="700">
      <c r="A700" s="275"/>
    </row>
    <row r="701">
      <c r="A701" s="275"/>
    </row>
    <row r="702">
      <c r="A702" s="275"/>
    </row>
    <row r="703">
      <c r="A703" s="275"/>
    </row>
    <row r="704">
      <c r="A704" s="275"/>
    </row>
    <row r="705">
      <c r="A705" s="275"/>
    </row>
    <row r="706">
      <c r="A706" s="275"/>
    </row>
    <row r="707">
      <c r="A707" s="275"/>
    </row>
    <row r="708">
      <c r="A708" s="275"/>
    </row>
    <row r="709">
      <c r="A709" s="275"/>
    </row>
    <row r="710">
      <c r="A710" s="275"/>
    </row>
    <row r="711">
      <c r="A711" s="275"/>
    </row>
    <row r="712">
      <c r="A712" s="275"/>
    </row>
    <row r="713">
      <c r="A713" s="275"/>
    </row>
    <row r="714">
      <c r="A714" s="275"/>
    </row>
    <row r="715">
      <c r="A715" s="275"/>
    </row>
    <row r="716">
      <c r="A716" s="275"/>
    </row>
    <row r="717">
      <c r="A717" s="275"/>
    </row>
    <row r="718">
      <c r="A718" s="275"/>
    </row>
    <row r="719">
      <c r="A719" s="275"/>
    </row>
    <row r="720">
      <c r="A720" s="275"/>
    </row>
    <row r="721">
      <c r="A721" s="275"/>
    </row>
    <row r="722">
      <c r="A722" s="275"/>
    </row>
    <row r="723">
      <c r="A723" s="275"/>
    </row>
    <row r="724">
      <c r="A724" s="275"/>
    </row>
    <row r="725">
      <c r="A725" s="275"/>
    </row>
    <row r="726">
      <c r="A726" s="275"/>
    </row>
    <row r="727">
      <c r="A727" s="275"/>
    </row>
    <row r="728">
      <c r="A728" s="275"/>
    </row>
    <row r="729">
      <c r="A729" s="275"/>
    </row>
    <row r="730">
      <c r="A730" s="275"/>
    </row>
    <row r="731">
      <c r="A731" s="275"/>
    </row>
    <row r="732">
      <c r="A732" s="275"/>
    </row>
    <row r="733">
      <c r="A733" s="275"/>
    </row>
    <row r="734">
      <c r="A734" s="275"/>
    </row>
    <row r="735">
      <c r="A735" s="275"/>
    </row>
    <row r="736">
      <c r="A736" s="275"/>
    </row>
    <row r="737">
      <c r="A737" s="275"/>
    </row>
    <row r="738">
      <c r="A738" s="275"/>
    </row>
    <row r="739">
      <c r="A739" s="275"/>
    </row>
    <row r="740">
      <c r="A740" s="275"/>
    </row>
    <row r="741">
      <c r="A741" s="275"/>
    </row>
    <row r="742">
      <c r="A742" s="275"/>
    </row>
    <row r="743">
      <c r="A743" s="275"/>
    </row>
    <row r="744">
      <c r="A744" s="275"/>
    </row>
    <row r="745">
      <c r="A745" s="275"/>
    </row>
    <row r="746">
      <c r="A746" s="275"/>
    </row>
    <row r="747">
      <c r="A747" s="275"/>
    </row>
    <row r="748">
      <c r="A748" s="275"/>
    </row>
    <row r="749">
      <c r="A749" s="275"/>
    </row>
    <row r="750">
      <c r="A750" s="275"/>
    </row>
    <row r="751">
      <c r="A751" s="275"/>
    </row>
    <row r="752">
      <c r="A752" s="275"/>
    </row>
    <row r="753">
      <c r="A753" s="275"/>
    </row>
    <row r="754">
      <c r="A754" s="275"/>
    </row>
    <row r="755">
      <c r="A755" s="275"/>
    </row>
    <row r="756">
      <c r="A756" s="275"/>
    </row>
    <row r="757">
      <c r="A757" s="275"/>
    </row>
    <row r="758">
      <c r="A758" s="275"/>
    </row>
    <row r="759">
      <c r="A759" s="275"/>
    </row>
    <row r="760">
      <c r="A760" s="275"/>
    </row>
    <row r="761">
      <c r="A761" s="275"/>
    </row>
    <row r="762">
      <c r="A762" s="275"/>
    </row>
    <row r="763">
      <c r="A763" s="275"/>
    </row>
    <row r="764">
      <c r="A764" s="275"/>
    </row>
    <row r="765">
      <c r="A765" s="275"/>
    </row>
    <row r="766">
      <c r="A766" s="275"/>
    </row>
    <row r="767">
      <c r="A767" s="275"/>
    </row>
    <row r="768">
      <c r="A768" s="275"/>
    </row>
    <row r="769">
      <c r="A769" s="275"/>
    </row>
    <row r="770">
      <c r="A770" s="275"/>
    </row>
    <row r="771">
      <c r="A771" s="275"/>
    </row>
    <row r="772">
      <c r="A772" s="275"/>
    </row>
    <row r="773">
      <c r="A773" s="275"/>
    </row>
    <row r="774">
      <c r="A774" s="275"/>
    </row>
    <row r="775">
      <c r="A775" s="275"/>
    </row>
    <row r="776">
      <c r="A776" s="275"/>
    </row>
    <row r="777">
      <c r="A777" s="275"/>
    </row>
    <row r="778">
      <c r="A778" s="275"/>
    </row>
    <row r="779">
      <c r="A779" s="275"/>
    </row>
    <row r="780">
      <c r="A780" s="275"/>
    </row>
    <row r="781">
      <c r="A781" s="275"/>
    </row>
    <row r="782">
      <c r="A782" s="275"/>
    </row>
    <row r="783">
      <c r="A783" s="275"/>
    </row>
    <row r="784">
      <c r="A784" s="275"/>
    </row>
    <row r="785">
      <c r="A785" s="275"/>
    </row>
    <row r="786">
      <c r="A786" s="275"/>
    </row>
    <row r="787">
      <c r="A787" s="275"/>
    </row>
    <row r="788">
      <c r="A788" s="275"/>
    </row>
    <row r="789">
      <c r="A789" s="275"/>
    </row>
    <row r="790">
      <c r="A790" s="275"/>
    </row>
    <row r="791">
      <c r="A791" s="275"/>
    </row>
    <row r="792">
      <c r="A792" s="275"/>
    </row>
    <row r="793">
      <c r="A793" s="275"/>
    </row>
    <row r="794">
      <c r="A794" s="275"/>
    </row>
    <row r="795">
      <c r="A795" s="275"/>
    </row>
    <row r="796">
      <c r="A796" s="275"/>
    </row>
    <row r="797">
      <c r="A797" s="275"/>
    </row>
    <row r="798">
      <c r="A798" s="275"/>
    </row>
    <row r="799">
      <c r="A799" s="275"/>
    </row>
    <row r="800">
      <c r="A800" s="275"/>
    </row>
    <row r="801">
      <c r="A801" s="275"/>
    </row>
    <row r="802">
      <c r="A802" s="275"/>
    </row>
    <row r="803">
      <c r="A803" s="275"/>
    </row>
    <row r="804">
      <c r="A804" s="275"/>
    </row>
    <row r="805">
      <c r="A805" s="275"/>
    </row>
    <row r="806">
      <c r="A806" s="275"/>
    </row>
    <row r="807">
      <c r="A807" s="275"/>
    </row>
    <row r="808">
      <c r="A808" s="275"/>
    </row>
    <row r="809">
      <c r="A809" s="275"/>
    </row>
    <row r="810">
      <c r="A810" s="275"/>
    </row>
    <row r="811">
      <c r="A811" s="275"/>
    </row>
    <row r="812">
      <c r="A812" s="275"/>
    </row>
    <row r="813">
      <c r="A813" s="275"/>
    </row>
    <row r="814">
      <c r="A814" s="275"/>
    </row>
    <row r="815">
      <c r="A815" s="275"/>
    </row>
    <row r="816">
      <c r="A816" s="275"/>
    </row>
    <row r="817">
      <c r="A817" s="275"/>
    </row>
    <row r="818">
      <c r="A818" s="275"/>
    </row>
    <row r="819">
      <c r="A819" s="275"/>
    </row>
    <row r="820">
      <c r="A820" s="275"/>
    </row>
    <row r="821">
      <c r="A821" s="275"/>
    </row>
    <row r="822">
      <c r="A822" s="275"/>
    </row>
    <row r="823">
      <c r="A823" s="275"/>
    </row>
    <row r="824">
      <c r="A824" s="275"/>
    </row>
    <row r="825">
      <c r="A825" s="275"/>
    </row>
    <row r="826">
      <c r="A826" s="275"/>
    </row>
    <row r="827">
      <c r="A827" s="275"/>
    </row>
    <row r="828">
      <c r="A828" s="275"/>
    </row>
    <row r="829">
      <c r="A829" s="275"/>
    </row>
    <row r="830">
      <c r="A830" s="275"/>
    </row>
    <row r="831">
      <c r="A831" s="275"/>
    </row>
    <row r="832">
      <c r="A832" s="275"/>
    </row>
    <row r="833">
      <c r="A833" s="275"/>
    </row>
    <row r="834">
      <c r="A834" s="275"/>
    </row>
    <row r="835">
      <c r="A835" s="275"/>
    </row>
    <row r="836">
      <c r="A836" s="275"/>
    </row>
    <row r="837">
      <c r="A837" s="275"/>
    </row>
    <row r="838">
      <c r="A838" s="275"/>
    </row>
    <row r="839">
      <c r="A839" s="275"/>
    </row>
    <row r="840">
      <c r="A840" s="275"/>
    </row>
    <row r="841">
      <c r="A841" s="275"/>
    </row>
    <row r="842">
      <c r="A842" s="275"/>
    </row>
    <row r="843">
      <c r="A843" s="275"/>
    </row>
    <row r="844">
      <c r="A844" s="275"/>
    </row>
    <row r="845">
      <c r="A845" s="275"/>
    </row>
    <row r="846">
      <c r="A846" s="275"/>
    </row>
    <row r="847">
      <c r="A847" s="275"/>
    </row>
    <row r="848">
      <c r="A848" s="275"/>
    </row>
    <row r="849">
      <c r="A849" s="275"/>
    </row>
    <row r="850">
      <c r="A850" s="275"/>
    </row>
    <row r="851">
      <c r="A851" s="275"/>
    </row>
    <row r="852">
      <c r="A852" s="275"/>
    </row>
    <row r="853">
      <c r="A853" s="275"/>
    </row>
    <row r="854">
      <c r="A854" s="275"/>
    </row>
    <row r="855">
      <c r="A855" s="275"/>
    </row>
    <row r="856">
      <c r="A856" s="275"/>
    </row>
    <row r="857">
      <c r="A857" s="275"/>
    </row>
    <row r="858">
      <c r="A858" s="275"/>
    </row>
    <row r="859">
      <c r="A859" s="275"/>
    </row>
    <row r="860">
      <c r="A860" s="275"/>
    </row>
    <row r="861">
      <c r="A861" s="275"/>
    </row>
    <row r="862">
      <c r="A862" s="275"/>
    </row>
    <row r="863">
      <c r="A863" s="275"/>
    </row>
    <row r="864">
      <c r="A864" s="275"/>
    </row>
    <row r="865">
      <c r="A865" s="275"/>
    </row>
    <row r="866">
      <c r="A866" s="275"/>
    </row>
    <row r="867">
      <c r="A867" s="275"/>
    </row>
    <row r="868">
      <c r="A868" s="275"/>
    </row>
    <row r="869">
      <c r="A869" s="275"/>
    </row>
    <row r="870">
      <c r="A870" s="275"/>
    </row>
    <row r="871">
      <c r="A871" s="275"/>
    </row>
    <row r="872">
      <c r="A872" s="275"/>
    </row>
    <row r="873">
      <c r="A873" s="275"/>
    </row>
    <row r="874">
      <c r="A874" s="275"/>
    </row>
    <row r="875">
      <c r="A875" s="275"/>
    </row>
    <row r="876">
      <c r="A876" s="275"/>
    </row>
    <row r="877">
      <c r="A877" s="275"/>
    </row>
    <row r="878">
      <c r="A878" s="275"/>
    </row>
    <row r="879">
      <c r="A879" s="275"/>
    </row>
    <row r="880">
      <c r="A880" s="275"/>
    </row>
    <row r="881">
      <c r="A881" s="275"/>
    </row>
    <row r="882">
      <c r="A882" s="275"/>
    </row>
    <row r="883">
      <c r="A883" s="275"/>
    </row>
    <row r="884">
      <c r="A884" s="275"/>
    </row>
    <row r="885">
      <c r="A885" s="275"/>
    </row>
    <row r="886">
      <c r="A886" s="275"/>
    </row>
    <row r="887">
      <c r="A887" s="275"/>
    </row>
    <row r="888">
      <c r="A888" s="275"/>
    </row>
    <row r="889">
      <c r="A889" s="275"/>
    </row>
    <row r="890">
      <c r="A890" s="275"/>
    </row>
    <row r="891">
      <c r="A891" s="275"/>
    </row>
    <row r="892">
      <c r="A892" s="275"/>
    </row>
    <row r="893">
      <c r="A893" s="275"/>
    </row>
    <row r="894">
      <c r="A894" s="275"/>
    </row>
    <row r="895">
      <c r="A895" s="275"/>
    </row>
    <row r="896">
      <c r="A896" s="275"/>
    </row>
    <row r="897">
      <c r="A897" s="275"/>
    </row>
    <row r="898">
      <c r="A898" s="275"/>
    </row>
    <row r="899">
      <c r="A899" s="275"/>
    </row>
    <row r="900">
      <c r="A900" s="275"/>
    </row>
    <row r="901">
      <c r="A901" s="275"/>
    </row>
    <row r="902">
      <c r="A902" s="275"/>
    </row>
    <row r="903">
      <c r="A903" s="275"/>
    </row>
    <row r="904">
      <c r="A904" s="275"/>
    </row>
    <row r="905">
      <c r="A905" s="275"/>
    </row>
    <row r="906">
      <c r="A906" s="275"/>
    </row>
    <row r="907">
      <c r="A907" s="275"/>
    </row>
    <row r="908">
      <c r="A908" s="275"/>
    </row>
    <row r="909">
      <c r="A909" s="275"/>
    </row>
    <row r="910">
      <c r="A910" s="275"/>
    </row>
    <row r="911">
      <c r="A911" s="275"/>
    </row>
    <row r="912">
      <c r="A912" s="275"/>
    </row>
    <row r="913">
      <c r="A913" s="275"/>
    </row>
    <row r="914">
      <c r="A914" s="275"/>
    </row>
    <row r="915">
      <c r="A915" s="275"/>
    </row>
    <row r="916">
      <c r="A916" s="275"/>
    </row>
    <row r="917">
      <c r="A917" s="275"/>
    </row>
    <row r="918">
      <c r="A918" s="275"/>
    </row>
    <row r="919">
      <c r="A919" s="275"/>
    </row>
    <row r="920">
      <c r="A920" s="275"/>
    </row>
    <row r="921">
      <c r="A921" s="275"/>
    </row>
    <row r="922">
      <c r="A922" s="275"/>
    </row>
    <row r="923">
      <c r="A923" s="275"/>
    </row>
    <row r="924">
      <c r="A924" s="275"/>
    </row>
    <row r="925">
      <c r="A925" s="275"/>
    </row>
    <row r="926">
      <c r="A926" s="275"/>
    </row>
    <row r="927">
      <c r="A927" s="275"/>
    </row>
    <row r="928">
      <c r="A928" s="275"/>
    </row>
    <row r="929">
      <c r="A929" s="275"/>
    </row>
    <row r="930">
      <c r="A930" s="275"/>
    </row>
    <row r="931">
      <c r="A931" s="275"/>
    </row>
    <row r="932">
      <c r="A932" s="275"/>
    </row>
    <row r="933">
      <c r="A933" s="275"/>
    </row>
    <row r="934">
      <c r="A934" s="275"/>
    </row>
    <row r="935">
      <c r="A935" s="275"/>
    </row>
    <row r="936">
      <c r="A936" s="275"/>
    </row>
    <row r="937">
      <c r="A937" s="275"/>
    </row>
    <row r="938">
      <c r="A938" s="275"/>
    </row>
    <row r="939">
      <c r="A939" s="275"/>
    </row>
    <row r="940">
      <c r="A940" s="275"/>
    </row>
    <row r="941">
      <c r="A941" s="275"/>
    </row>
    <row r="942">
      <c r="A942" s="275"/>
    </row>
    <row r="943">
      <c r="A943" s="275"/>
    </row>
    <row r="944">
      <c r="A944" s="275"/>
    </row>
    <row r="945">
      <c r="A945" s="275"/>
    </row>
    <row r="946">
      <c r="A946" s="275"/>
    </row>
    <row r="947">
      <c r="A947" s="275"/>
    </row>
    <row r="948">
      <c r="A948" s="275"/>
    </row>
    <row r="949">
      <c r="A949" s="275"/>
    </row>
    <row r="950">
      <c r="A950" s="275"/>
    </row>
    <row r="951">
      <c r="A951" s="275"/>
    </row>
    <row r="952">
      <c r="A952" s="275"/>
    </row>
    <row r="953">
      <c r="A953" s="275"/>
    </row>
    <row r="954">
      <c r="A954" s="275"/>
    </row>
    <row r="955">
      <c r="A955" s="275"/>
    </row>
    <row r="956">
      <c r="A956" s="275"/>
    </row>
    <row r="957">
      <c r="A957" s="275"/>
    </row>
    <row r="958">
      <c r="A958" s="275"/>
    </row>
    <row r="959">
      <c r="A959" s="275"/>
    </row>
    <row r="960">
      <c r="A960" s="275"/>
    </row>
    <row r="961">
      <c r="A961" s="275"/>
    </row>
    <row r="962">
      <c r="A962" s="275"/>
    </row>
    <row r="963">
      <c r="A963" s="275"/>
    </row>
    <row r="964">
      <c r="A964" s="275"/>
    </row>
    <row r="965">
      <c r="A965" s="275"/>
    </row>
    <row r="966">
      <c r="A966" s="275"/>
    </row>
    <row r="967">
      <c r="A967" s="275"/>
    </row>
    <row r="968">
      <c r="A968" s="275"/>
    </row>
    <row r="969">
      <c r="A969" s="275"/>
    </row>
    <row r="970">
      <c r="A970" s="275"/>
    </row>
    <row r="971">
      <c r="A971" s="275"/>
    </row>
    <row r="972">
      <c r="A972" s="275"/>
    </row>
    <row r="973">
      <c r="A973" s="275"/>
    </row>
    <row r="974">
      <c r="A974" s="275"/>
    </row>
    <row r="975">
      <c r="A975" s="275"/>
    </row>
    <row r="976">
      <c r="A976" s="275"/>
    </row>
    <row r="977">
      <c r="A977" s="275"/>
    </row>
    <row r="978">
      <c r="A978" s="275"/>
    </row>
    <row r="979">
      <c r="A979" s="275"/>
    </row>
    <row r="980">
      <c r="A980" s="275"/>
    </row>
    <row r="981">
      <c r="A981" s="275"/>
    </row>
    <row r="982">
      <c r="A982" s="275"/>
    </row>
    <row r="983">
      <c r="A983" s="275"/>
    </row>
    <row r="984">
      <c r="A984" s="275"/>
    </row>
    <row r="985">
      <c r="A985" s="275"/>
    </row>
    <row r="986">
      <c r="A986" s="275"/>
    </row>
    <row r="987">
      <c r="A987" s="275"/>
    </row>
    <row r="988">
      <c r="A988" s="275"/>
    </row>
    <row r="989">
      <c r="A989" s="275"/>
    </row>
    <row r="990">
      <c r="A990" s="275"/>
    </row>
    <row r="991">
      <c r="A991" s="275"/>
    </row>
    <row r="992">
      <c r="A992" s="275"/>
    </row>
    <row r="993">
      <c r="A993" s="275"/>
    </row>
    <row r="994">
      <c r="A994" s="275"/>
    </row>
    <row r="995">
      <c r="A995" s="275"/>
    </row>
    <row r="996">
      <c r="A996" s="275"/>
    </row>
    <row r="997">
      <c r="A997" s="275"/>
    </row>
    <row r="998">
      <c r="A998" s="275"/>
    </row>
    <row r="999">
      <c r="A999" s="275"/>
    </row>
    <row r="1000">
      <c r="A1000" s="275"/>
    </row>
    <row r="1001">
      <c r="A1001" s="275"/>
    </row>
    <row r="1002">
      <c r="A1002" s="275"/>
    </row>
    <row r="1003">
      <c r="A1003" s="275"/>
    </row>
    <row r="1004">
      <c r="A1004" s="275"/>
    </row>
    <row r="1005">
      <c r="A1005" s="275"/>
    </row>
    <row r="1006">
      <c r="A1006" s="275"/>
    </row>
    <row r="1007">
      <c r="A1007" s="275"/>
    </row>
    <row r="1008">
      <c r="A1008" s="275"/>
    </row>
    <row r="1009">
      <c r="A1009" s="275"/>
    </row>
  </sheetData>
  <dataValidations>
    <dataValidation type="list" allowBlank="1" sqref="C2:C42">
      <formula1>"nephroplus,Adult RD,Netra,ICU Automation,vSitter,Airways, VRASS,CPOT,Respiratory Distress"</formula1>
    </dataValidation>
    <dataValidation type="custom" allowBlank="1" showDropDown="1" showErrorMessage="1" sqref="A2:A34 A40:A1009">
      <formula1>OR(NOT(ISERROR(DATEVALUE(A2))), AND(ISNUMBER(A2), LEFT(CELL("format", A2))="D"))</formula1>
    </dataValidation>
    <dataValidation type="list" allowBlank="1" sqref="F2:F42">
      <formula1>"Done,In Progress,Leave"</formula1>
    </dataValidation>
    <dataValidation type="list" allowBlank="1" sqref="E2:E42">
      <formula1>" Ground Truth, Tagging,Video Annotations,Data Collection,Preset,Segmentation,BBOX,Keypoints,Data Cleaning,Others"</formula1>
    </dataValidation>
    <dataValidation type="list" allowBlank="1" sqref="G2:G42">
      <formula1>"Done,In Progress,Leave"</formula1>
    </dataValidation>
    <dataValidation type="list" allowBlank="1" sqref="B2:B42">
      <formula1>"Deekshith,Chandrashekar,Nagaharinadh,Suman Kanoj,Sagar Hiremath,Saraswathi,Prerana,Mouli Prakash,Manovya,Pranav,Raghavan,Rohit,Abusaad"</formula1>
    </dataValidation>
    <dataValidation type="list" allowBlank="1" sqref="D2:D42">
      <formula1>" Ground Truth, Tagging,Video Annotations,Data Collection,Preset,Segmentation,BBOX,Keypoints,Data Cleaning,Others"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5.5"/>
    <col customWidth="1" min="3" max="3" width="22.75"/>
    <col customWidth="1" min="4" max="4" width="21.88"/>
    <col customWidth="1" min="5" max="5" width="31.0"/>
    <col customWidth="1" min="6" max="6" width="30.5"/>
    <col customWidth="1" min="7" max="7" width="40.88"/>
  </cols>
  <sheetData>
    <row r="1" ht="22.5" customHeight="1">
      <c r="A1" s="2" t="s">
        <v>27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10</v>
      </c>
      <c r="H1" s="276" t="s">
        <v>0</v>
      </c>
    </row>
    <row r="2" ht="22.5" customHeight="1">
      <c r="A2" s="4">
        <v>45985.0</v>
      </c>
      <c r="B2" s="5" t="s">
        <v>310</v>
      </c>
      <c r="C2" s="21"/>
      <c r="D2" s="21"/>
      <c r="E2" s="5"/>
      <c r="F2" s="22"/>
      <c r="G2" s="22" t="s">
        <v>311</v>
      </c>
      <c r="H2" s="277"/>
    </row>
    <row r="3" ht="22.5" customHeight="1">
      <c r="A3" s="4">
        <v>45986.0</v>
      </c>
      <c r="B3" s="5" t="s">
        <v>310</v>
      </c>
      <c r="C3" s="5" t="s">
        <v>70</v>
      </c>
      <c r="D3" s="5" t="s">
        <v>23</v>
      </c>
      <c r="E3" s="5" t="s">
        <v>53</v>
      </c>
      <c r="F3" s="22">
        <v>52.0</v>
      </c>
      <c r="G3" s="278" t="s">
        <v>60</v>
      </c>
      <c r="H3" s="279"/>
    </row>
    <row r="4" ht="22.5" customHeight="1">
      <c r="A4" s="4">
        <v>45987.0</v>
      </c>
      <c r="B4" s="5" t="s">
        <v>310</v>
      </c>
      <c r="C4" s="5" t="s">
        <v>70</v>
      </c>
      <c r="D4" s="5" t="s">
        <v>23</v>
      </c>
      <c r="E4" s="5" t="s">
        <v>53</v>
      </c>
      <c r="F4" s="22">
        <v>230.0</v>
      </c>
      <c r="G4" s="22" t="s">
        <v>60</v>
      </c>
      <c r="H4" s="277"/>
    </row>
    <row r="5" ht="22.5" customHeight="1">
      <c r="A5" s="4">
        <v>45988.0</v>
      </c>
      <c r="B5" s="5" t="s">
        <v>310</v>
      </c>
      <c r="C5" s="5" t="s">
        <v>70</v>
      </c>
      <c r="D5" s="5" t="s">
        <v>23</v>
      </c>
      <c r="E5" s="5" t="s">
        <v>53</v>
      </c>
      <c r="F5" s="22">
        <v>1186.0</v>
      </c>
      <c r="G5" s="22" t="s">
        <v>60</v>
      </c>
      <c r="H5" s="277"/>
    </row>
    <row r="6" ht="22.5" customHeight="1">
      <c r="A6" s="4">
        <v>45989.0</v>
      </c>
      <c r="B6" s="5" t="s">
        <v>310</v>
      </c>
      <c r="C6" s="5" t="s">
        <v>70</v>
      </c>
      <c r="D6" s="5" t="s">
        <v>23</v>
      </c>
      <c r="E6" s="5" t="s">
        <v>20</v>
      </c>
      <c r="F6" s="22">
        <v>1119.0</v>
      </c>
      <c r="G6" s="22" t="s">
        <v>312</v>
      </c>
      <c r="H6" s="277"/>
    </row>
    <row r="7" ht="22.5" customHeight="1">
      <c r="A7" s="4">
        <v>45962.0</v>
      </c>
      <c r="B7" s="5" t="s">
        <v>310</v>
      </c>
      <c r="C7" s="5" t="s">
        <v>70</v>
      </c>
      <c r="D7" s="5" t="s">
        <v>23</v>
      </c>
      <c r="E7" s="5" t="s">
        <v>29</v>
      </c>
      <c r="F7" s="22"/>
      <c r="G7" s="22"/>
      <c r="H7" s="277"/>
    </row>
    <row r="8" ht="22.5" customHeight="1">
      <c r="A8" s="4">
        <v>45993.0</v>
      </c>
      <c r="B8" s="5" t="s">
        <v>310</v>
      </c>
      <c r="C8" s="5" t="s">
        <v>70</v>
      </c>
      <c r="D8" s="5" t="s">
        <v>23</v>
      </c>
      <c r="E8" s="5" t="s">
        <v>29</v>
      </c>
      <c r="F8" s="22"/>
      <c r="G8" s="22"/>
      <c r="H8" s="277"/>
    </row>
    <row r="9" ht="22.5" customHeight="1">
      <c r="A9" s="4">
        <v>45994.0</v>
      </c>
      <c r="B9" s="5" t="s">
        <v>310</v>
      </c>
      <c r="C9" s="5" t="s">
        <v>70</v>
      </c>
      <c r="D9" s="5" t="s">
        <v>23</v>
      </c>
      <c r="E9" s="5" t="s">
        <v>29</v>
      </c>
      <c r="F9" s="22"/>
      <c r="G9" s="22"/>
      <c r="H9" s="277"/>
    </row>
    <row r="10" ht="22.5" customHeight="1">
      <c r="A10" s="4">
        <v>45995.0</v>
      </c>
      <c r="B10" s="5" t="s">
        <v>310</v>
      </c>
      <c r="C10" s="5" t="s">
        <v>70</v>
      </c>
      <c r="D10" s="5" t="s">
        <v>23</v>
      </c>
      <c r="E10" s="5" t="s">
        <v>29</v>
      </c>
      <c r="F10" s="22"/>
      <c r="G10" s="22"/>
      <c r="H10" s="277"/>
    </row>
    <row r="11" ht="22.5" customHeight="1">
      <c r="A11" s="4">
        <v>45996.0</v>
      </c>
      <c r="B11" s="5" t="s">
        <v>310</v>
      </c>
      <c r="C11" s="5" t="s">
        <v>70</v>
      </c>
      <c r="D11" s="5" t="s">
        <v>23</v>
      </c>
      <c r="E11" s="5" t="s">
        <v>29</v>
      </c>
      <c r="F11" s="22"/>
      <c r="G11" s="22"/>
      <c r="H11" s="277"/>
    </row>
    <row r="12" ht="22.5" customHeight="1">
      <c r="A12" s="4">
        <v>45998.0</v>
      </c>
      <c r="B12" s="5" t="s">
        <v>310</v>
      </c>
      <c r="C12" s="5" t="s">
        <v>70</v>
      </c>
      <c r="D12" s="5" t="s">
        <v>23</v>
      </c>
      <c r="E12" s="5" t="s">
        <v>29</v>
      </c>
      <c r="F12" s="22"/>
      <c r="G12" s="22"/>
      <c r="H12" s="277"/>
    </row>
    <row r="13" ht="22.5" customHeight="1">
      <c r="A13" s="4">
        <v>45999.0</v>
      </c>
      <c r="B13" s="5" t="s">
        <v>310</v>
      </c>
      <c r="C13" s="5" t="s">
        <v>70</v>
      </c>
      <c r="D13" s="5" t="s">
        <v>23</v>
      </c>
      <c r="E13" s="5" t="s">
        <v>29</v>
      </c>
      <c r="F13" s="22"/>
      <c r="G13" s="22"/>
      <c r="H13" s="277"/>
    </row>
    <row r="14" ht="22.5" customHeight="1">
      <c r="A14" s="4">
        <v>46000.0</v>
      </c>
      <c r="B14" s="5" t="s">
        <v>310</v>
      </c>
      <c r="C14" s="5" t="s">
        <v>70</v>
      </c>
      <c r="D14" s="5" t="s">
        <v>23</v>
      </c>
      <c r="E14" s="5" t="s">
        <v>29</v>
      </c>
      <c r="F14" s="22"/>
      <c r="G14" s="22"/>
      <c r="H14" s="277"/>
    </row>
    <row r="15" ht="22.5" customHeight="1">
      <c r="A15" s="4">
        <v>46001.0</v>
      </c>
      <c r="B15" s="5" t="s">
        <v>310</v>
      </c>
      <c r="C15" s="5" t="s">
        <v>70</v>
      </c>
      <c r="D15" s="5" t="s">
        <v>23</v>
      </c>
      <c r="E15" s="5" t="s">
        <v>29</v>
      </c>
      <c r="F15" s="22"/>
      <c r="G15" s="22"/>
      <c r="H15" s="277"/>
    </row>
    <row r="16" ht="22.5" customHeight="1">
      <c r="A16" s="4">
        <v>46002.0</v>
      </c>
      <c r="B16" s="5" t="s">
        <v>310</v>
      </c>
      <c r="C16" s="5" t="s">
        <v>70</v>
      </c>
      <c r="D16" s="5" t="s">
        <v>23</v>
      </c>
      <c r="E16" s="5" t="s">
        <v>29</v>
      </c>
      <c r="F16" s="22"/>
      <c r="G16" s="22"/>
      <c r="H16" s="277"/>
    </row>
    <row r="17" ht="22.5" customHeight="1">
      <c r="A17" s="4">
        <v>46006.0</v>
      </c>
      <c r="B17" s="5" t="s">
        <v>310</v>
      </c>
      <c r="C17" s="5" t="s">
        <v>70</v>
      </c>
      <c r="D17" s="5" t="s">
        <v>23</v>
      </c>
      <c r="E17" s="5" t="s">
        <v>29</v>
      </c>
      <c r="F17" s="22"/>
      <c r="G17" s="22"/>
      <c r="H17" s="277"/>
    </row>
    <row r="18" ht="22.5" customHeight="1">
      <c r="A18" s="4">
        <v>46007.0</v>
      </c>
      <c r="B18" s="5" t="s">
        <v>310</v>
      </c>
      <c r="C18" s="5" t="s">
        <v>70</v>
      </c>
      <c r="D18" s="5" t="s">
        <v>23</v>
      </c>
      <c r="E18" s="5" t="s">
        <v>29</v>
      </c>
      <c r="F18" s="22"/>
      <c r="G18" s="22"/>
      <c r="H18" s="277"/>
    </row>
    <row r="19" ht="22.5" customHeight="1">
      <c r="A19" s="4">
        <v>46008.0</v>
      </c>
      <c r="B19" s="5" t="s">
        <v>310</v>
      </c>
      <c r="C19" s="5" t="s">
        <v>70</v>
      </c>
      <c r="D19" s="5" t="s">
        <v>23</v>
      </c>
      <c r="E19" s="5" t="s">
        <v>29</v>
      </c>
      <c r="F19" s="22"/>
      <c r="G19" s="22"/>
      <c r="H19" s="277"/>
    </row>
    <row r="20" ht="22.5" customHeight="1">
      <c r="A20" s="4">
        <v>46009.0</v>
      </c>
      <c r="B20" s="5" t="s">
        <v>310</v>
      </c>
      <c r="C20" s="5" t="s">
        <v>70</v>
      </c>
      <c r="D20" s="5" t="s">
        <v>23</v>
      </c>
      <c r="E20" s="5" t="s">
        <v>29</v>
      </c>
      <c r="F20" s="22"/>
      <c r="G20" s="22"/>
      <c r="H20" s="277"/>
    </row>
    <row r="21" ht="22.5" customHeight="1">
      <c r="A21" s="4">
        <v>46010.0</v>
      </c>
      <c r="B21" s="5" t="s">
        <v>310</v>
      </c>
      <c r="C21" s="5" t="s">
        <v>70</v>
      </c>
      <c r="D21" s="5" t="s">
        <v>23</v>
      </c>
      <c r="E21" s="5" t="s">
        <v>29</v>
      </c>
      <c r="F21" s="22"/>
      <c r="G21" s="22"/>
      <c r="H21" s="277"/>
    </row>
    <row r="22" ht="22.5" customHeight="1">
      <c r="A22" s="4">
        <v>46013.0</v>
      </c>
      <c r="B22" s="5" t="s">
        <v>310</v>
      </c>
      <c r="C22" s="5" t="s">
        <v>70</v>
      </c>
      <c r="D22" s="5" t="s">
        <v>23</v>
      </c>
      <c r="E22" s="5" t="s">
        <v>53</v>
      </c>
      <c r="F22" s="22">
        <v>550.0</v>
      </c>
      <c r="G22" s="22" t="s">
        <v>60</v>
      </c>
      <c r="H22" s="277"/>
    </row>
    <row r="23" ht="22.5" customHeight="1">
      <c r="A23" s="4">
        <v>46014.0</v>
      </c>
      <c r="B23" s="5" t="s">
        <v>310</v>
      </c>
      <c r="C23" s="5" t="s">
        <v>40</v>
      </c>
      <c r="D23" s="5" t="s">
        <v>47</v>
      </c>
      <c r="E23" s="5" t="s">
        <v>53</v>
      </c>
      <c r="F23" s="22">
        <v>250.0</v>
      </c>
      <c r="G23" s="22" t="s">
        <v>60</v>
      </c>
      <c r="H23" s="35"/>
    </row>
    <row r="24" ht="22.5" customHeight="1">
      <c r="A24" s="4">
        <v>46015.0</v>
      </c>
      <c r="B24" s="5" t="s">
        <v>310</v>
      </c>
      <c r="C24" s="5" t="s">
        <v>40</v>
      </c>
      <c r="D24" s="5" t="s">
        <v>47</v>
      </c>
      <c r="E24" s="5" t="s">
        <v>20</v>
      </c>
      <c r="F24" s="22">
        <v>250.0</v>
      </c>
      <c r="G24" s="22" t="s">
        <v>312</v>
      </c>
      <c r="H24" s="277"/>
    </row>
    <row r="25" ht="22.5" customHeight="1">
      <c r="A25" s="4">
        <v>46016.0</v>
      </c>
      <c r="B25" s="5" t="s">
        <v>310</v>
      </c>
      <c r="C25" s="21"/>
      <c r="D25" s="21"/>
      <c r="E25" s="5" t="s">
        <v>29</v>
      </c>
      <c r="F25" s="22"/>
      <c r="G25" s="22"/>
      <c r="H25" s="35"/>
    </row>
    <row r="26" ht="22.5" customHeight="1">
      <c r="A26" s="4">
        <v>46017.0</v>
      </c>
      <c r="B26" s="5" t="s">
        <v>310</v>
      </c>
      <c r="C26" s="5" t="s">
        <v>40</v>
      </c>
      <c r="D26" s="5" t="s">
        <v>47</v>
      </c>
      <c r="E26" s="5" t="s">
        <v>53</v>
      </c>
      <c r="F26" s="22">
        <v>100.0</v>
      </c>
      <c r="G26" s="22" t="s">
        <v>60</v>
      </c>
      <c r="H26" s="277"/>
    </row>
    <row r="27" ht="22.5" customHeight="1">
      <c r="A27" s="4">
        <v>46020.0</v>
      </c>
      <c r="B27" s="5" t="s">
        <v>310</v>
      </c>
      <c r="C27" s="5" t="s">
        <v>40</v>
      </c>
      <c r="D27" s="5" t="s">
        <v>47</v>
      </c>
      <c r="E27" s="5" t="s">
        <v>20</v>
      </c>
      <c r="F27" s="22">
        <v>125.0</v>
      </c>
      <c r="G27" s="22" t="s">
        <v>62</v>
      </c>
      <c r="H27" s="277"/>
    </row>
    <row r="28" ht="22.5" customHeight="1">
      <c r="A28" s="4">
        <v>46021.0</v>
      </c>
      <c r="B28" s="5" t="s">
        <v>310</v>
      </c>
      <c r="C28" s="5" t="s">
        <v>40</v>
      </c>
      <c r="D28" s="5" t="s">
        <v>42</v>
      </c>
      <c r="E28" s="5" t="s">
        <v>53</v>
      </c>
      <c r="F28" s="22">
        <v>50.0</v>
      </c>
      <c r="G28" s="22" t="s">
        <v>60</v>
      </c>
      <c r="H28" s="277"/>
    </row>
    <row r="29" ht="22.5" customHeight="1">
      <c r="A29" s="4">
        <v>46022.0</v>
      </c>
      <c r="B29" s="5" t="s">
        <v>310</v>
      </c>
      <c r="C29" s="5" t="s">
        <v>40</v>
      </c>
      <c r="D29" s="5" t="s">
        <v>42</v>
      </c>
      <c r="E29" s="5" t="s">
        <v>53</v>
      </c>
      <c r="F29" s="22">
        <v>250.0</v>
      </c>
      <c r="G29" s="22" t="s">
        <v>60</v>
      </c>
      <c r="H29" s="277"/>
    </row>
    <row r="30" ht="22.5" customHeight="1">
      <c r="A30" s="4">
        <v>46023.0</v>
      </c>
      <c r="B30" s="5" t="s">
        <v>310</v>
      </c>
      <c r="C30" s="5" t="s">
        <v>40</v>
      </c>
      <c r="D30" s="5" t="s">
        <v>42</v>
      </c>
      <c r="E30" s="5" t="s">
        <v>29</v>
      </c>
      <c r="F30" s="22"/>
      <c r="G30" s="22"/>
      <c r="H30" s="277"/>
    </row>
    <row r="31" ht="22.5" customHeight="1">
      <c r="A31" s="4">
        <v>46024.0</v>
      </c>
      <c r="B31" s="5" t="s">
        <v>310</v>
      </c>
      <c r="C31" s="5" t="s">
        <v>40</v>
      </c>
      <c r="D31" s="5" t="s">
        <v>42</v>
      </c>
      <c r="E31" s="5" t="s">
        <v>53</v>
      </c>
      <c r="F31" s="22">
        <v>100.0</v>
      </c>
      <c r="G31" s="22" t="s">
        <v>60</v>
      </c>
      <c r="H31" s="277"/>
    </row>
    <row r="32" ht="22.5" customHeight="1">
      <c r="A32" s="4">
        <v>46025.0</v>
      </c>
      <c r="B32" s="5" t="s">
        <v>310</v>
      </c>
      <c r="C32" s="5" t="s">
        <v>40</v>
      </c>
      <c r="D32" s="5" t="s">
        <v>42</v>
      </c>
      <c r="E32" s="5" t="s">
        <v>20</v>
      </c>
      <c r="F32" s="22">
        <v>100.0</v>
      </c>
      <c r="G32" s="22" t="s">
        <v>62</v>
      </c>
      <c r="H32" s="277"/>
    </row>
    <row r="33" ht="22.5" customHeight="1">
      <c r="A33" s="4">
        <v>46027.0</v>
      </c>
      <c r="B33" s="5" t="s">
        <v>310</v>
      </c>
      <c r="C33" s="5" t="s">
        <v>40</v>
      </c>
      <c r="D33" s="5" t="s">
        <v>42</v>
      </c>
      <c r="E33" s="5" t="s">
        <v>53</v>
      </c>
      <c r="F33" s="22">
        <v>246.0</v>
      </c>
      <c r="G33" s="22" t="s">
        <v>60</v>
      </c>
      <c r="H33" s="277"/>
    </row>
    <row r="34" ht="22.5" customHeight="1">
      <c r="A34" s="4">
        <v>46028.0</v>
      </c>
      <c r="B34" s="5" t="s">
        <v>310</v>
      </c>
      <c r="C34" s="5" t="s">
        <v>40</v>
      </c>
      <c r="D34" s="5" t="s">
        <v>42</v>
      </c>
      <c r="E34" s="5" t="s">
        <v>53</v>
      </c>
      <c r="F34" s="22">
        <v>210.0</v>
      </c>
      <c r="G34" s="22" t="s">
        <v>60</v>
      </c>
      <c r="H34" s="277"/>
    </row>
    <row r="35" ht="22.5" customHeight="1">
      <c r="A35" s="4">
        <v>46029.0</v>
      </c>
      <c r="B35" s="5" t="s">
        <v>310</v>
      </c>
      <c r="C35" s="280" t="s">
        <v>40</v>
      </c>
      <c r="D35" s="280" t="s">
        <v>42</v>
      </c>
      <c r="E35" s="280" t="s">
        <v>53</v>
      </c>
      <c r="F35" s="35">
        <v>185.0</v>
      </c>
      <c r="G35" s="35" t="s">
        <v>60</v>
      </c>
      <c r="H35" s="277"/>
    </row>
    <row r="36" ht="22.5" customHeight="1">
      <c r="A36" s="4">
        <v>46030.0</v>
      </c>
      <c r="B36" s="5" t="s">
        <v>310</v>
      </c>
      <c r="C36" s="280" t="s">
        <v>40</v>
      </c>
      <c r="D36" s="280" t="s">
        <v>42</v>
      </c>
      <c r="E36" s="280" t="s">
        <v>53</v>
      </c>
      <c r="F36" s="35">
        <v>150.0</v>
      </c>
      <c r="G36" s="35" t="s">
        <v>60</v>
      </c>
      <c r="H36" s="277"/>
    </row>
  </sheetData>
  <dataValidations>
    <dataValidation type="custom" allowBlank="1" showDropDown="1" showErrorMessage="1" sqref="A2:A36">
      <formula1>OR(NOT(ISERROR(DATEVALUE(A2))), AND(ISNUMBER(A2), LEFT(CELL("format", A2))="D"))</formula1>
    </dataValidation>
    <dataValidation type="list" allowBlank="1" sqref="E2:E36">
      <formula1>"Done,In Progress,Leave"</formula1>
    </dataValidation>
    <dataValidation type="list" allowBlank="1" sqref="B2:B36">
      <formula1>"Deekshith,Chandrashekar,Nagaharinadh,Suman Kanoj,Sagar Hiremath,Saraswathi,Prerana,Mouli Prakash,Manovya,Pranav,Raghavan,Rohit,Abusaad"</formula1>
    </dataValidation>
    <dataValidation type="list" allowBlank="1" sqref="C2:C36">
      <formula1>"nephroplus,Adult RD,Netra,ICU Automation,vSitter,Airways,VRASS,CPOT,Respiratory Distress"</formula1>
    </dataValidation>
    <dataValidation type="list" allowBlank="1" sqref="D2:D36">
      <formula1>"Classification,BBOX,Keypoints,Ground Truth,Leave,Segmentation,joining, Data Collection"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6.63"/>
    <col customWidth="1" min="3" max="3" width="21.25"/>
    <col customWidth="1" min="4" max="4" width="20.88"/>
    <col customWidth="1" min="5" max="5" width="20.13"/>
    <col customWidth="1" min="6" max="6" width="22.38"/>
    <col customWidth="1" min="7" max="7" width="15.25"/>
    <col customWidth="1" min="8" max="8" width="18.13"/>
    <col customWidth="1" min="9" max="9" width="15.88"/>
    <col customWidth="1" min="10" max="10" width="23.13"/>
    <col customWidth="1" min="11" max="11" width="33.88"/>
    <col customWidth="1" min="12" max="26" width="23.88"/>
  </cols>
  <sheetData>
    <row r="1">
      <c r="A1" s="281" t="s">
        <v>27</v>
      </c>
      <c r="B1" s="281" t="s">
        <v>1</v>
      </c>
      <c r="C1" s="281" t="s">
        <v>2</v>
      </c>
      <c r="D1" s="281" t="s">
        <v>3</v>
      </c>
      <c r="E1" s="282" t="s">
        <v>4</v>
      </c>
      <c r="F1" s="281" t="s">
        <v>5</v>
      </c>
      <c r="G1" s="282" t="s">
        <v>313</v>
      </c>
      <c r="H1" s="282" t="s">
        <v>7</v>
      </c>
      <c r="I1" s="282" t="s">
        <v>8</v>
      </c>
      <c r="J1" s="282" t="s">
        <v>9</v>
      </c>
      <c r="K1" s="281" t="s">
        <v>10</v>
      </c>
    </row>
    <row r="2">
      <c r="A2" s="283">
        <v>45985.0</v>
      </c>
      <c r="B2" s="81" t="s">
        <v>314</v>
      </c>
      <c r="C2" s="81" t="s">
        <v>40</v>
      </c>
      <c r="D2" s="259" t="s">
        <v>47</v>
      </c>
      <c r="E2" s="263"/>
      <c r="F2" s="284"/>
      <c r="G2" s="187"/>
      <c r="H2" s="187"/>
      <c r="I2" s="187"/>
      <c r="J2" s="284"/>
      <c r="K2" s="284"/>
    </row>
    <row r="3">
      <c r="A3" s="283">
        <v>45986.0</v>
      </c>
      <c r="B3" s="81" t="s">
        <v>314</v>
      </c>
      <c r="C3" s="81" t="s">
        <v>40</v>
      </c>
      <c r="D3" s="285" t="s">
        <v>47</v>
      </c>
      <c r="E3" s="263" t="s">
        <v>53</v>
      </c>
      <c r="F3" s="284" t="s">
        <v>315</v>
      </c>
      <c r="G3" s="187"/>
      <c r="H3" s="187"/>
      <c r="I3" s="187"/>
      <c r="J3" s="284"/>
      <c r="K3" s="286" t="s">
        <v>60</v>
      </c>
    </row>
    <row r="4">
      <c r="A4" s="283">
        <v>45987.0</v>
      </c>
      <c r="B4" s="81" t="s">
        <v>314</v>
      </c>
      <c r="C4" s="81" t="s">
        <v>40</v>
      </c>
      <c r="D4" s="285" t="s">
        <v>47</v>
      </c>
      <c r="E4" s="263" t="s">
        <v>53</v>
      </c>
      <c r="F4" s="284">
        <v>160.0</v>
      </c>
      <c r="G4" s="187"/>
      <c r="H4" s="187"/>
      <c r="I4" s="187"/>
      <c r="J4" s="284"/>
      <c r="K4" s="284" t="s">
        <v>60</v>
      </c>
    </row>
    <row r="5">
      <c r="A5" s="283">
        <v>45988.0</v>
      </c>
      <c r="B5" s="81" t="s">
        <v>314</v>
      </c>
      <c r="C5" s="81" t="s">
        <v>40</v>
      </c>
      <c r="D5" s="285" t="s">
        <v>47</v>
      </c>
      <c r="E5" s="263" t="s">
        <v>53</v>
      </c>
      <c r="F5" s="284">
        <v>140.0</v>
      </c>
      <c r="G5" s="187"/>
      <c r="H5" s="187"/>
      <c r="I5" s="187"/>
      <c r="J5" s="284"/>
      <c r="K5" s="284" t="s">
        <v>60</v>
      </c>
    </row>
    <row r="6">
      <c r="A6" s="283">
        <v>45989.0</v>
      </c>
      <c r="B6" s="81" t="s">
        <v>314</v>
      </c>
      <c r="C6" s="81" t="s">
        <v>40</v>
      </c>
      <c r="D6" s="285" t="s">
        <v>47</v>
      </c>
      <c r="E6" s="263" t="s">
        <v>20</v>
      </c>
      <c r="F6" s="284">
        <v>150.0</v>
      </c>
      <c r="G6" s="187"/>
      <c r="H6" s="187"/>
      <c r="I6" s="187"/>
      <c r="J6" s="284"/>
      <c r="K6" s="284" t="s">
        <v>316</v>
      </c>
    </row>
    <row r="7">
      <c r="A7" s="283">
        <v>45992.0</v>
      </c>
      <c r="B7" s="81" t="s">
        <v>314</v>
      </c>
      <c r="C7" s="81" t="s">
        <v>40</v>
      </c>
      <c r="D7" s="285" t="s">
        <v>47</v>
      </c>
      <c r="E7" s="263" t="s">
        <v>53</v>
      </c>
      <c r="F7" s="284">
        <v>70.0</v>
      </c>
      <c r="G7" s="187"/>
      <c r="H7" s="187"/>
      <c r="I7" s="187"/>
      <c r="J7" s="284"/>
      <c r="K7" s="284" t="s">
        <v>60</v>
      </c>
    </row>
    <row r="8">
      <c r="A8" s="283">
        <v>45993.0</v>
      </c>
      <c r="B8" s="81" t="s">
        <v>314</v>
      </c>
      <c r="C8" s="81" t="s">
        <v>40</v>
      </c>
      <c r="D8" s="285" t="s">
        <v>47</v>
      </c>
      <c r="E8" s="263" t="s">
        <v>53</v>
      </c>
      <c r="F8" s="284">
        <v>130.0</v>
      </c>
      <c r="G8" s="187"/>
      <c r="H8" s="187"/>
      <c r="I8" s="187"/>
      <c r="J8" s="284"/>
      <c r="K8" s="284" t="s">
        <v>60</v>
      </c>
    </row>
    <row r="9">
      <c r="A9" s="283">
        <v>45994.0</v>
      </c>
      <c r="B9" s="81" t="s">
        <v>314</v>
      </c>
      <c r="C9" s="81" t="s">
        <v>40</v>
      </c>
      <c r="D9" s="285" t="s">
        <v>47</v>
      </c>
      <c r="E9" s="263" t="s">
        <v>53</v>
      </c>
      <c r="F9" s="284">
        <v>200.0</v>
      </c>
      <c r="G9" s="187"/>
      <c r="H9" s="187"/>
      <c r="I9" s="187"/>
      <c r="J9" s="284"/>
      <c r="K9" s="284" t="s">
        <v>60</v>
      </c>
    </row>
    <row r="10">
      <c r="A10" s="283">
        <v>45995.0</v>
      </c>
      <c r="B10" s="81" t="s">
        <v>314</v>
      </c>
      <c r="C10" s="81" t="s">
        <v>40</v>
      </c>
      <c r="D10" s="285" t="s">
        <v>47</v>
      </c>
      <c r="E10" s="263" t="s">
        <v>20</v>
      </c>
      <c r="F10" s="284">
        <v>100.0</v>
      </c>
      <c r="G10" s="187"/>
      <c r="H10" s="187"/>
      <c r="I10" s="187"/>
      <c r="J10" s="284"/>
      <c r="K10" s="284" t="s">
        <v>316</v>
      </c>
    </row>
    <row r="11">
      <c r="A11" s="283">
        <v>45996.0</v>
      </c>
      <c r="B11" s="81" t="s">
        <v>314</v>
      </c>
      <c r="C11" s="81" t="s">
        <v>40</v>
      </c>
      <c r="D11" s="285" t="s">
        <v>317</v>
      </c>
      <c r="E11" s="263" t="s">
        <v>53</v>
      </c>
      <c r="F11" s="284"/>
      <c r="G11" s="187"/>
      <c r="H11" s="187"/>
      <c r="I11" s="187"/>
      <c r="J11" s="284"/>
      <c r="K11" s="284" t="s">
        <v>318</v>
      </c>
    </row>
    <row r="12">
      <c r="A12" s="283">
        <v>45999.0</v>
      </c>
      <c r="B12" s="81" t="s">
        <v>314</v>
      </c>
      <c r="C12" s="81" t="s">
        <v>40</v>
      </c>
      <c r="D12" s="285" t="s">
        <v>47</v>
      </c>
      <c r="E12" s="263" t="s">
        <v>53</v>
      </c>
      <c r="F12" s="284">
        <v>200.0</v>
      </c>
      <c r="G12" s="187"/>
      <c r="H12" s="187"/>
      <c r="I12" s="187"/>
      <c r="J12" s="284"/>
      <c r="K12" s="284" t="s">
        <v>60</v>
      </c>
    </row>
    <row r="13">
      <c r="A13" s="283">
        <v>46000.0</v>
      </c>
      <c r="B13" s="81" t="s">
        <v>314</v>
      </c>
      <c r="C13" s="287" t="s">
        <v>40</v>
      </c>
      <c r="D13" s="288" t="s">
        <v>29</v>
      </c>
      <c r="E13" s="289" t="s">
        <v>29</v>
      </c>
      <c r="F13" s="290"/>
      <c r="G13" s="291"/>
      <c r="H13" s="291"/>
      <c r="I13" s="291"/>
      <c r="J13" s="290"/>
      <c r="K13" s="290"/>
    </row>
    <row r="14">
      <c r="A14" s="283">
        <v>46001.0</v>
      </c>
      <c r="B14" s="81" t="s">
        <v>314</v>
      </c>
      <c r="C14" s="287" t="s">
        <v>40</v>
      </c>
      <c r="D14" s="288" t="s">
        <v>29</v>
      </c>
      <c r="E14" s="289" t="s">
        <v>29</v>
      </c>
      <c r="F14" s="290"/>
      <c r="G14" s="291"/>
      <c r="H14" s="291"/>
      <c r="I14" s="291"/>
      <c r="J14" s="290"/>
      <c r="K14" s="290"/>
    </row>
    <row r="15">
      <c r="A15" s="283">
        <v>46002.0</v>
      </c>
      <c r="B15" s="81" t="s">
        <v>314</v>
      </c>
      <c r="C15" s="287" t="s">
        <v>40</v>
      </c>
      <c r="D15" s="288" t="s">
        <v>29</v>
      </c>
      <c r="E15" s="289" t="s">
        <v>29</v>
      </c>
      <c r="F15" s="292"/>
      <c r="G15" s="293"/>
      <c r="H15" s="293"/>
      <c r="I15" s="293"/>
      <c r="J15" s="292"/>
      <c r="K15" s="292"/>
    </row>
    <row r="16">
      <c r="A16" s="283">
        <v>46003.0</v>
      </c>
      <c r="B16" s="81" t="s">
        <v>314</v>
      </c>
      <c r="C16" s="287" t="s">
        <v>40</v>
      </c>
      <c r="D16" s="288" t="s">
        <v>29</v>
      </c>
      <c r="E16" s="289" t="s">
        <v>29</v>
      </c>
      <c r="F16" s="292"/>
      <c r="G16" s="293"/>
      <c r="H16" s="293"/>
      <c r="I16" s="293"/>
      <c r="J16" s="292"/>
      <c r="K16" s="292"/>
    </row>
    <row r="17">
      <c r="A17" s="283">
        <v>46006.0</v>
      </c>
      <c r="B17" s="81" t="s">
        <v>314</v>
      </c>
      <c r="C17" s="81" t="s">
        <v>40</v>
      </c>
      <c r="D17" s="285" t="s">
        <v>47</v>
      </c>
      <c r="E17" s="263" t="s">
        <v>53</v>
      </c>
      <c r="F17" s="294">
        <v>130.0</v>
      </c>
      <c r="G17" s="21"/>
      <c r="H17" s="21"/>
      <c r="I17" s="21"/>
      <c r="J17" s="294"/>
      <c r="K17" s="294" t="s">
        <v>60</v>
      </c>
    </row>
    <row r="18">
      <c r="A18" s="283">
        <v>46007.0</v>
      </c>
      <c r="B18" s="81" t="s">
        <v>314</v>
      </c>
      <c r="C18" s="81" t="s">
        <v>40</v>
      </c>
      <c r="D18" s="285" t="s">
        <v>47</v>
      </c>
      <c r="E18" s="263" t="s">
        <v>53</v>
      </c>
      <c r="F18" s="294">
        <v>100.0</v>
      </c>
      <c r="G18" s="5" t="s">
        <v>319</v>
      </c>
      <c r="H18" s="5" t="s">
        <v>31</v>
      </c>
      <c r="I18" s="5" t="s">
        <v>20</v>
      </c>
      <c r="J18" s="294">
        <v>200.0</v>
      </c>
      <c r="K18" s="294" t="s">
        <v>60</v>
      </c>
    </row>
    <row r="19">
      <c r="A19" s="283">
        <v>46008.0</v>
      </c>
      <c r="B19" s="81" t="s">
        <v>314</v>
      </c>
      <c r="C19" s="81" t="s">
        <v>40</v>
      </c>
      <c r="D19" s="259" t="s">
        <v>47</v>
      </c>
      <c r="E19" s="263" t="s">
        <v>53</v>
      </c>
      <c r="F19" s="294">
        <v>70.0</v>
      </c>
      <c r="G19" s="21"/>
      <c r="H19" s="21"/>
      <c r="I19" s="21"/>
      <c r="J19" s="294"/>
      <c r="K19" s="294" t="s">
        <v>320</v>
      </c>
    </row>
    <row r="20">
      <c r="A20" s="283">
        <v>46009.0</v>
      </c>
      <c r="B20" s="81" t="s">
        <v>314</v>
      </c>
      <c r="C20" s="81" t="s">
        <v>40</v>
      </c>
      <c r="D20" s="259" t="s">
        <v>317</v>
      </c>
      <c r="E20" s="263" t="s">
        <v>53</v>
      </c>
      <c r="F20" s="294"/>
      <c r="G20" s="21"/>
      <c r="H20" s="21"/>
      <c r="I20" s="21"/>
      <c r="J20" s="294"/>
      <c r="K20" s="294" t="s">
        <v>321</v>
      </c>
    </row>
    <row r="21">
      <c r="A21" s="283">
        <v>46010.0</v>
      </c>
      <c r="B21" s="81" t="s">
        <v>314</v>
      </c>
      <c r="C21" s="81" t="s">
        <v>40</v>
      </c>
      <c r="D21" s="259" t="s">
        <v>317</v>
      </c>
      <c r="E21" s="263" t="s">
        <v>53</v>
      </c>
      <c r="F21" s="294"/>
      <c r="G21" s="21"/>
      <c r="H21" s="21"/>
      <c r="I21" s="21"/>
      <c r="J21" s="294"/>
      <c r="K21" s="294" t="s">
        <v>322</v>
      </c>
    </row>
    <row r="22">
      <c r="A22" s="283">
        <v>46013.0</v>
      </c>
      <c r="B22" s="81" t="s">
        <v>314</v>
      </c>
      <c r="C22" s="81" t="s">
        <v>40</v>
      </c>
      <c r="D22" s="259" t="s">
        <v>47</v>
      </c>
      <c r="E22" s="263" t="s">
        <v>53</v>
      </c>
      <c r="F22" s="294">
        <v>200.0</v>
      </c>
      <c r="G22" s="21"/>
      <c r="H22" s="21"/>
      <c r="I22" s="21"/>
      <c r="J22" s="294"/>
      <c r="K22" s="294" t="s">
        <v>60</v>
      </c>
    </row>
    <row r="23">
      <c r="A23" s="283">
        <v>46014.0</v>
      </c>
      <c r="B23" s="81" t="s">
        <v>314</v>
      </c>
      <c r="C23" s="81" t="s">
        <v>40</v>
      </c>
      <c r="D23" s="259" t="s">
        <v>47</v>
      </c>
      <c r="E23" s="263" t="s">
        <v>53</v>
      </c>
      <c r="F23" s="294">
        <v>150.0</v>
      </c>
      <c r="G23" s="21"/>
      <c r="H23" s="21"/>
      <c r="I23" s="21"/>
      <c r="J23" s="294"/>
      <c r="K23" s="294" t="s">
        <v>60</v>
      </c>
    </row>
    <row r="24">
      <c r="A24" s="283">
        <v>46015.0</v>
      </c>
      <c r="B24" s="81" t="s">
        <v>314</v>
      </c>
      <c r="C24" s="81" t="s">
        <v>40</v>
      </c>
      <c r="D24" s="259" t="s">
        <v>47</v>
      </c>
      <c r="E24" s="263" t="s">
        <v>20</v>
      </c>
      <c r="F24" s="294">
        <v>150.0</v>
      </c>
      <c r="G24" s="21"/>
      <c r="H24" s="21"/>
      <c r="I24" s="21"/>
      <c r="J24" s="294"/>
      <c r="K24" s="294" t="s">
        <v>320</v>
      </c>
    </row>
    <row r="25">
      <c r="A25" s="283">
        <v>46016.0</v>
      </c>
      <c r="B25" s="81" t="s">
        <v>314</v>
      </c>
      <c r="C25" s="295" t="s">
        <v>40</v>
      </c>
      <c r="D25" s="296" t="s">
        <v>29</v>
      </c>
      <c r="E25" s="297" t="s">
        <v>29</v>
      </c>
      <c r="F25" s="298"/>
      <c r="G25" s="299"/>
      <c r="H25" s="299"/>
      <c r="I25" s="299"/>
      <c r="J25" s="298"/>
      <c r="K25" s="300"/>
    </row>
    <row r="26">
      <c r="A26" s="283">
        <v>46017.0</v>
      </c>
      <c r="B26" s="81" t="s">
        <v>314</v>
      </c>
      <c r="C26" s="81" t="s">
        <v>40</v>
      </c>
      <c r="D26" s="259" t="s">
        <v>47</v>
      </c>
      <c r="E26" s="263" t="s">
        <v>20</v>
      </c>
      <c r="F26" s="294">
        <v>125.0</v>
      </c>
      <c r="G26" s="21"/>
      <c r="H26" s="21"/>
      <c r="I26" s="21"/>
      <c r="J26" s="294"/>
      <c r="K26" s="294" t="s">
        <v>320</v>
      </c>
    </row>
    <row r="27">
      <c r="A27" s="283">
        <v>46020.0</v>
      </c>
      <c r="B27" s="81" t="s">
        <v>314</v>
      </c>
      <c r="C27" s="81" t="s">
        <v>40</v>
      </c>
      <c r="D27" s="259" t="s">
        <v>317</v>
      </c>
      <c r="E27" s="263" t="s">
        <v>53</v>
      </c>
      <c r="F27" s="301"/>
      <c r="G27" s="21"/>
      <c r="H27" s="21"/>
      <c r="I27" s="21"/>
      <c r="J27" s="301"/>
      <c r="K27" s="284" t="s">
        <v>323</v>
      </c>
    </row>
    <row r="28">
      <c r="A28" s="283">
        <v>46021.0</v>
      </c>
      <c r="B28" s="81" t="s">
        <v>314</v>
      </c>
      <c r="C28" s="81" t="s">
        <v>40</v>
      </c>
      <c r="D28" s="259" t="s">
        <v>42</v>
      </c>
      <c r="E28" s="263" t="s">
        <v>53</v>
      </c>
      <c r="F28" s="294">
        <v>100.0</v>
      </c>
      <c r="G28" s="21"/>
      <c r="H28" s="21"/>
      <c r="I28" s="21"/>
      <c r="J28" s="294"/>
      <c r="K28" s="294" t="s">
        <v>60</v>
      </c>
    </row>
    <row r="29">
      <c r="A29" s="283">
        <v>46022.0</v>
      </c>
      <c r="B29" s="81" t="s">
        <v>314</v>
      </c>
      <c r="C29" s="81" t="s">
        <v>40</v>
      </c>
      <c r="D29" s="259" t="s">
        <v>42</v>
      </c>
      <c r="E29" s="263" t="s">
        <v>53</v>
      </c>
      <c r="F29" s="294">
        <v>200.0</v>
      </c>
      <c r="G29" s="21"/>
      <c r="H29" s="21"/>
      <c r="I29" s="21"/>
      <c r="J29" s="294"/>
      <c r="K29" s="294" t="s">
        <v>60</v>
      </c>
    </row>
    <row r="30">
      <c r="A30" s="283">
        <v>46023.0</v>
      </c>
      <c r="B30" s="81" t="s">
        <v>314</v>
      </c>
      <c r="C30" s="287" t="s">
        <v>40</v>
      </c>
      <c r="D30" s="302" t="s">
        <v>29</v>
      </c>
      <c r="E30" s="289" t="s">
        <v>29</v>
      </c>
      <c r="F30" s="303"/>
      <c r="G30" s="293"/>
      <c r="H30" s="293"/>
      <c r="I30" s="293"/>
      <c r="J30" s="303"/>
      <c r="K30" s="303"/>
    </row>
    <row r="31">
      <c r="A31" s="283">
        <v>46024.0</v>
      </c>
      <c r="B31" s="81" t="s">
        <v>314</v>
      </c>
      <c r="C31" s="81" t="s">
        <v>40</v>
      </c>
      <c r="D31" s="259" t="s">
        <v>42</v>
      </c>
      <c r="E31" s="263" t="s">
        <v>53</v>
      </c>
      <c r="F31" s="294">
        <v>150.0</v>
      </c>
      <c r="G31" s="21"/>
      <c r="H31" s="21"/>
      <c r="I31" s="21"/>
      <c r="J31" s="294"/>
      <c r="K31" s="294" t="s">
        <v>60</v>
      </c>
    </row>
    <row r="32">
      <c r="A32" s="283">
        <v>46027.0</v>
      </c>
      <c r="B32" s="81" t="s">
        <v>314</v>
      </c>
      <c r="C32" s="81" t="s">
        <v>40</v>
      </c>
      <c r="D32" s="259" t="s">
        <v>42</v>
      </c>
      <c r="E32" s="263" t="s">
        <v>53</v>
      </c>
      <c r="F32" s="294" t="s">
        <v>324</v>
      </c>
      <c r="G32" s="21"/>
      <c r="H32" s="21"/>
      <c r="I32" s="21"/>
      <c r="J32" s="294"/>
      <c r="K32" s="294" t="s">
        <v>325</v>
      </c>
    </row>
    <row r="33">
      <c r="A33" s="283">
        <v>46028.0</v>
      </c>
      <c r="B33" s="81" t="s">
        <v>314</v>
      </c>
      <c r="C33" s="81" t="s">
        <v>40</v>
      </c>
      <c r="D33" s="259" t="s">
        <v>42</v>
      </c>
      <c r="E33" s="263" t="s">
        <v>53</v>
      </c>
      <c r="F33" s="294">
        <v>200.0</v>
      </c>
      <c r="G33" s="21"/>
      <c r="H33" s="21"/>
      <c r="I33" s="21"/>
      <c r="J33" s="294"/>
      <c r="K33" s="294" t="s">
        <v>60</v>
      </c>
    </row>
    <row r="34">
      <c r="A34" s="283">
        <v>46029.0</v>
      </c>
      <c r="B34" s="81" t="s">
        <v>314</v>
      </c>
      <c r="C34" s="81" t="s">
        <v>40</v>
      </c>
      <c r="D34" s="259" t="s">
        <v>42</v>
      </c>
      <c r="E34" s="263" t="s">
        <v>53</v>
      </c>
      <c r="F34" s="294">
        <v>150.0</v>
      </c>
      <c r="G34" s="21"/>
      <c r="H34" s="21"/>
      <c r="I34" s="21"/>
      <c r="J34" s="294"/>
      <c r="K34" s="294" t="s">
        <v>60</v>
      </c>
    </row>
    <row r="35">
      <c r="A35" s="283">
        <v>46030.0</v>
      </c>
      <c r="B35" s="304" t="s">
        <v>314</v>
      </c>
      <c r="C35" s="305" t="s">
        <v>40</v>
      </c>
      <c r="D35" s="285" t="s">
        <v>42</v>
      </c>
      <c r="E35" s="306" t="s">
        <v>53</v>
      </c>
      <c r="F35" s="281">
        <v>100.0</v>
      </c>
      <c r="G35" s="307"/>
      <c r="H35" s="307"/>
      <c r="I35" s="307"/>
      <c r="J35" s="308"/>
      <c r="K35" s="281" t="s">
        <v>326</v>
      </c>
    </row>
    <row r="36">
      <c r="A36" s="309">
        <v>46031.0</v>
      </c>
      <c r="B36" s="310" t="s">
        <v>314</v>
      </c>
      <c r="C36" s="305" t="s">
        <v>40</v>
      </c>
      <c r="D36" s="285" t="s">
        <v>42</v>
      </c>
      <c r="E36" s="311" t="s">
        <v>53</v>
      </c>
      <c r="F36" s="281">
        <v>150.0</v>
      </c>
      <c r="G36" s="266"/>
      <c r="H36" s="266"/>
      <c r="I36" s="266"/>
    </row>
    <row r="37">
      <c r="B37" s="266"/>
      <c r="C37" s="266"/>
      <c r="D37" s="266"/>
      <c r="E37" s="266"/>
      <c r="G37" s="266"/>
      <c r="H37" s="266"/>
      <c r="I37" s="266"/>
    </row>
    <row r="38">
      <c r="B38" s="266"/>
      <c r="C38" s="266"/>
      <c r="D38" s="266"/>
      <c r="E38" s="266"/>
      <c r="G38" s="266"/>
      <c r="H38" s="266"/>
      <c r="I38" s="266"/>
    </row>
    <row r="39">
      <c r="B39" s="266"/>
      <c r="C39" s="266"/>
      <c r="D39" s="266"/>
      <c r="E39" s="266"/>
      <c r="G39" s="266"/>
      <c r="H39" s="266"/>
      <c r="I39" s="266"/>
    </row>
    <row r="40">
      <c r="B40" s="266"/>
      <c r="C40" s="266"/>
      <c r="D40" s="266"/>
      <c r="E40" s="266"/>
      <c r="G40" s="266"/>
      <c r="H40" s="266"/>
      <c r="I40" s="266"/>
    </row>
    <row r="41">
      <c r="B41" s="266"/>
      <c r="C41" s="266"/>
      <c r="D41" s="266"/>
      <c r="E41" s="266"/>
      <c r="G41" s="266"/>
      <c r="H41" s="266"/>
      <c r="I41" s="266"/>
    </row>
    <row r="42">
      <c r="B42" s="266"/>
      <c r="C42" s="266"/>
      <c r="D42" s="266"/>
      <c r="E42" s="266"/>
      <c r="G42" s="266"/>
      <c r="H42" s="266"/>
      <c r="I42" s="266"/>
    </row>
  </sheetData>
  <dataValidations>
    <dataValidation type="list" allowBlank="1" sqref="H2:H42">
      <formula1>"Ground Truth,Tagging,Vedio Annotation,Data Collection,Preset,Segmentation,BBOX,Data Cleaning,KeyPoints,Others"</formula1>
    </dataValidation>
    <dataValidation type="custom" allowBlank="1" showDropDown="1" showErrorMessage="1" sqref="A3:A35">
      <formula1>OR(NOT(ISERROR(DATEVALUE(A3))), AND(ISNUMBER(A3), LEFT(CELL("format", A3))="D"))</formula1>
    </dataValidation>
    <dataValidation type="list" allowBlank="1" sqref="D2:D42">
      <formula1>"Classification,BBOX,Keypoints,Ground Truth,Leave,Segmentation,DataBase, Data Collection"</formula1>
    </dataValidation>
    <dataValidation type="list" allowBlank="1" sqref="E2:E42 I2:I42">
      <formula1>"Done,In Progress,Leave"</formula1>
    </dataValidation>
    <dataValidation type="list" allowBlank="1" sqref="B2:B42">
      <formula1>"Deekshith,Chandrashekar,Nagaharinadh,Suman Kanoj,Sagar Hiremath,Saraswathi,Prerana,Mouli Prakash,Manovya,Pranav,Raghavan,Rohit,Abusaad"</formula1>
    </dataValidation>
    <dataValidation type="list" allowBlank="1" sqref="C2:C42">
      <formula1>"nephroplus,Adult RD,Netra,ICU Automation,vSitter,Airways,VRASS,CPOT,Respiratory Distress"</formula1>
    </dataValidation>
    <dataValidation type="list" allowBlank="1" sqref="G2:G42">
      <formula1>"Nephroplus,Adult Rd,V-Sitter,Netra,ICU Automation,Airways,VRASS,CPOT,Respiratory Distress,MASK ON/OFF,Overcrowding"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7.13"/>
    <col customWidth="1" min="3" max="3" width="33.25"/>
    <col customWidth="1" min="4" max="4" width="18.13"/>
    <col customWidth="1" min="5" max="5" width="16.75"/>
    <col customWidth="1" min="6" max="6" width="20.5"/>
    <col customWidth="1" min="7" max="7" width="94.38"/>
  </cols>
  <sheetData>
    <row r="1">
      <c r="A1" s="312"/>
      <c r="B1" s="312"/>
      <c r="C1" s="312"/>
      <c r="D1" s="312"/>
      <c r="E1" s="312"/>
      <c r="F1" s="312"/>
      <c r="G1" s="312"/>
    </row>
    <row r="2">
      <c r="A2" s="313"/>
      <c r="B2" s="313"/>
      <c r="C2" s="313"/>
      <c r="D2" s="313"/>
      <c r="E2" s="313"/>
      <c r="F2" s="313"/>
      <c r="G2" s="313"/>
    </row>
    <row r="3">
      <c r="A3" s="313"/>
      <c r="B3" s="313"/>
      <c r="C3" s="313"/>
      <c r="D3" s="313"/>
      <c r="E3" s="313"/>
      <c r="F3" s="313"/>
      <c r="G3" s="313"/>
    </row>
    <row r="4">
      <c r="A4" s="313"/>
      <c r="B4" s="313"/>
      <c r="C4" s="313"/>
      <c r="D4" s="313"/>
      <c r="E4" s="313"/>
      <c r="F4" s="313"/>
      <c r="G4" s="313"/>
    </row>
    <row r="5">
      <c r="A5" s="313"/>
      <c r="B5" s="313"/>
      <c r="C5" s="313"/>
      <c r="D5" s="313"/>
      <c r="E5" s="313"/>
      <c r="F5" s="313"/>
      <c r="G5" s="313"/>
    </row>
    <row r="6">
      <c r="A6" s="313"/>
      <c r="B6" s="313"/>
      <c r="C6" s="313"/>
      <c r="D6" s="313"/>
      <c r="E6" s="313"/>
      <c r="F6" s="313"/>
      <c r="G6" s="313"/>
    </row>
    <row r="7">
      <c r="A7" s="313"/>
      <c r="B7" s="313"/>
      <c r="C7" s="313"/>
      <c r="D7" s="313"/>
      <c r="E7" s="313"/>
      <c r="F7" s="313"/>
      <c r="G7" s="313"/>
    </row>
    <row r="8">
      <c r="A8" s="313"/>
      <c r="B8" s="313"/>
      <c r="C8" s="313"/>
      <c r="D8" s="313"/>
      <c r="E8" s="313"/>
      <c r="F8" s="313"/>
      <c r="G8" s="313"/>
    </row>
    <row r="9">
      <c r="A9" s="313"/>
      <c r="B9" s="313"/>
      <c r="C9" s="313"/>
      <c r="D9" s="313"/>
      <c r="E9" s="313"/>
      <c r="F9" s="313"/>
      <c r="G9" s="313"/>
    </row>
    <row r="10">
      <c r="A10" s="313"/>
      <c r="B10" s="313"/>
      <c r="C10" s="313"/>
      <c r="D10" s="313"/>
      <c r="E10" s="313"/>
      <c r="F10" s="313"/>
      <c r="G10" s="313"/>
    </row>
    <row r="11">
      <c r="A11" s="313"/>
      <c r="B11" s="313"/>
      <c r="C11" s="313"/>
      <c r="D11" s="313"/>
      <c r="E11" s="313"/>
      <c r="F11" s="313"/>
      <c r="G11" s="313"/>
    </row>
    <row r="12">
      <c r="A12" s="313"/>
      <c r="B12" s="313"/>
      <c r="C12" s="313"/>
      <c r="D12" s="313"/>
      <c r="E12" s="313"/>
      <c r="F12" s="313"/>
      <c r="G12" s="313"/>
    </row>
    <row r="13">
      <c r="A13" s="313"/>
      <c r="B13" s="313"/>
      <c r="C13" s="313"/>
      <c r="D13" s="313"/>
      <c r="E13" s="313"/>
      <c r="F13" s="313"/>
      <c r="G13" s="313"/>
    </row>
    <row r="14">
      <c r="A14" s="313"/>
      <c r="B14" s="313"/>
      <c r="C14" s="313"/>
      <c r="D14" s="313"/>
      <c r="E14" s="313"/>
      <c r="F14" s="313"/>
      <c r="G14" s="313"/>
    </row>
    <row r="15">
      <c r="A15" s="313"/>
      <c r="B15" s="313"/>
      <c r="C15" s="313"/>
      <c r="D15" s="313"/>
      <c r="E15" s="313"/>
      <c r="F15" s="313"/>
      <c r="G15" s="313"/>
    </row>
    <row r="16">
      <c r="A16" s="313"/>
      <c r="B16" s="313"/>
      <c r="C16" s="313"/>
      <c r="D16" s="313"/>
      <c r="E16" s="313"/>
      <c r="F16" s="313"/>
      <c r="G16" s="313"/>
    </row>
    <row r="17">
      <c r="A17" s="313"/>
      <c r="B17" s="313"/>
      <c r="C17" s="313"/>
      <c r="D17" s="313"/>
      <c r="E17" s="313"/>
      <c r="F17" s="313"/>
      <c r="G17" s="313"/>
    </row>
    <row r="18">
      <c r="A18" s="313"/>
      <c r="B18" s="313"/>
      <c r="C18" s="313"/>
      <c r="D18" s="313"/>
      <c r="E18" s="313"/>
      <c r="F18" s="313"/>
      <c r="G18" s="313"/>
    </row>
    <row r="19">
      <c r="A19" s="313"/>
      <c r="B19" s="313"/>
      <c r="C19" s="313"/>
      <c r="D19" s="313"/>
      <c r="E19" s="313"/>
      <c r="F19" s="313"/>
      <c r="G19" s="313"/>
    </row>
    <row r="20">
      <c r="A20" s="313"/>
      <c r="B20" s="313"/>
      <c r="C20" s="313"/>
      <c r="D20" s="313"/>
      <c r="E20" s="313"/>
      <c r="F20" s="313"/>
      <c r="G20" s="313"/>
    </row>
    <row r="21">
      <c r="A21" s="313"/>
      <c r="B21" s="313"/>
      <c r="C21" s="313"/>
      <c r="D21" s="313"/>
      <c r="E21" s="313"/>
      <c r="F21" s="313"/>
      <c r="G21" s="313"/>
    </row>
    <row r="22">
      <c r="A22" s="313"/>
      <c r="B22" s="313"/>
      <c r="C22" s="313"/>
      <c r="D22" s="313"/>
      <c r="E22" s="313"/>
      <c r="F22" s="313"/>
      <c r="G22" s="313"/>
    </row>
    <row r="23">
      <c r="A23" s="313"/>
      <c r="B23" s="313"/>
      <c r="C23" s="313"/>
      <c r="D23" s="313"/>
      <c r="E23" s="313"/>
      <c r="F23" s="313"/>
      <c r="G23" s="313"/>
    </row>
    <row r="24">
      <c r="A24" s="313"/>
      <c r="B24" s="313"/>
      <c r="C24" s="313"/>
      <c r="D24" s="313"/>
      <c r="E24" s="313"/>
      <c r="F24" s="313"/>
      <c r="G24" s="313"/>
    </row>
    <row r="25">
      <c r="A25" s="313"/>
      <c r="B25" s="313"/>
      <c r="C25" s="313"/>
      <c r="D25" s="313"/>
      <c r="E25" s="313"/>
      <c r="F25" s="313"/>
      <c r="G25" s="313"/>
    </row>
    <row r="26">
      <c r="A26" s="313"/>
      <c r="B26" s="313"/>
      <c r="C26" s="313"/>
      <c r="D26" s="313"/>
      <c r="E26" s="313"/>
      <c r="F26" s="313"/>
      <c r="G26" s="313"/>
    </row>
    <row r="27">
      <c r="A27" s="313"/>
      <c r="B27" s="313"/>
      <c r="C27" s="313"/>
      <c r="D27" s="313"/>
      <c r="E27" s="313"/>
      <c r="F27" s="313"/>
      <c r="G27" s="313"/>
    </row>
    <row r="28">
      <c r="A28" s="313"/>
      <c r="B28" s="313"/>
      <c r="C28" s="313"/>
      <c r="D28" s="313"/>
      <c r="E28" s="313"/>
      <c r="F28" s="313"/>
      <c r="G28" s="313"/>
    </row>
    <row r="29">
      <c r="A29" s="313"/>
      <c r="B29" s="313"/>
      <c r="C29" s="313"/>
      <c r="D29" s="313"/>
      <c r="E29" s="313"/>
      <c r="F29" s="313"/>
      <c r="G29" s="313"/>
    </row>
    <row r="30">
      <c r="A30" s="313"/>
      <c r="B30" s="313"/>
      <c r="C30" s="313"/>
      <c r="D30" s="313"/>
      <c r="E30" s="313"/>
      <c r="F30" s="313"/>
      <c r="G30" s="313"/>
    </row>
    <row r="31">
      <c r="A31" s="313"/>
      <c r="B31" s="313"/>
      <c r="C31" s="313"/>
      <c r="D31" s="313"/>
      <c r="E31" s="313"/>
      <c r="F31" s="313"/>
      <c r="G31" s="313"/>
    </row>
    <row r="32">
      <c r="A32" s="313"/>
      <c r="B32" s="313"/>
      <c r="C32" s="313"/>
      <c r="D32" s="313"/>
      <c r="E32" s="313"/>
      <c r="F32" s="313"/>
      <c r="G32" s="313"/>
    </row>
    <row r="33">
      <c r="A33" s="313"/>
      <c r="B33" s="313"/>
      <c r="C33" s="313"/>
      <c r="D33" s="313"/>
      <c r="E33" s="313"/>
      <c r="F33" s="313"/>
      <c r="G33" s="313"/>
    </row>
    <row r="34">
      <c r="A34" s="313"/>
      <c r="B34" s="313"/>
      <c r="C34" s="313"/>
      <c r="D34" s="313"/>
      <c r="E34" s="313"/>
      <c r="F34" s="313"/>
      <c r="G34" s="313"/>
    </row>
    <row r="35">
      <c r="A35" s="313"/>
      <c r="B35" s="313"/>
      <c r="C35" s="313"/>
      <c r="D35" s="313"/>
      <c r="E35" s="313"/>
      <c r="F35" s="313"/>
      <c r="G35" s="313"/>
    </row>
    <row r="36">
      <c r="A36" s="313"/>
      <c r="B36" s="313"/>
      <c r="C36" s="313"/>
      <c r="D36" s="313"/>
      <c r="E36" s="313"/>
      <c r="F36" s="313"/>
      <c r="G36" s="313"/>
    </row>
    <row r="37">
      <c r="A37" s="313"/>
      <c r="B37" s="313"/>
      <c r="C37" s="313"/>
      <c r="D37" s="313"/>
      <c r="E37" s="313"/>
      <c r="F37" s="313"/>
      <c r="G37" s="313"/>
    </row>
    <row r="38">
      <c r="A38" s="313"/>
      <c r="B38" s="313"/>
      <c r="C38" s="313"/>
      <c r="D38" s="313"/>
      <c r="E38" s="313"/>
      <c r="F38" s="313"/>
      <c r="G38" s="313"/>
    </row>
    <row r="39">
      <c r="A39" s="313"/>
      <c r="B39" s="313"/>
      <c r="C39" s="313"/>
      <c r="D39" s="313"/>
      <c r="E39" s="313"/>
      <c r="F39" s="313"/>
      <c r="G39" s="313"/>
    </row>
    <row r="40">
      <c r="A40" s="313"/>
      <c r="B40" s="313"/>
      <c r="C40" s="313"/>
      <c r="D40" s="313"/>
      <c r="E40" s="313"/>
      <c r="F40" s="313"/>
      <c r="G40" s="313"/>
    </row>
    <row r="41">
      <c r="A41" s="313"/>
      <c r="B41" s="313"/>
      <c r="C41" s="313"/>
      <c r="D41" s="313"/>
      <c r="E41" s="313"/>
      <c r="F41" s="313"/>
      <c r="G41" s="313"/>
    </row>
    <row r="42">
      <c r="A42" s="313"/>
      <c r="B42" s="313"/>
      <c r="C42" s="313"/>
      <c r="D42" s="313"/>
      <c r="E42" s="313"/>
      <c r="F42" s="313"/>
      <c r="G42" s="313"/>
    </row>
    <row r="43">
      <c r="A43" s="313"/>
      <c r="B43" s="313"/>
      <c r="C43" s="313"/>
      <c r="D43" s="313"/>
      <c r="E43" s="313"/>
      <c r="F43" s="313"/>
      <c r="G43" s="313"/>
    </row>
    <row r="44">
      <c r="A44" s="313"/>
      <c r="B44" s="313"/>
      <c r="C44" s="313"/>
      <c r="D44" s="313"/>
      <c r="E44" s="313"/>
      <c r="F44" s="313"/>
      <c r="G44" s="313"/>
    </row>
    <row r="45">
      <c r="A45" s="313"/>
      <c r="B45" s="313"/>
      <c r="C45" s="313"/>
      <c r="D45" s="313"/>
      <c r="E45" s="313"/>
      <c r="F45" s="313"/>
      <c r="G45" s="313"/>
    </row>
    <row r="46">
      <c r="A46" s="313"/>
      <c r="B46" s="313"/>
      <c r="C46" s="313"/>
      <c r="D46" s="313"/>
      <c r="E46" s="313"/>
      <c r="F46" s="313"/>
      <c r="G46" s="313"/>
    </row>
    <row r="47">
      <c r="A47" s="313"/>
      <c r="B47" s="313"/>
      <c r="C47" s="313"/>
      <c r="D47" s="313"/>
      <c r="E47" s="313"/>
      <c r="F47" s="313"/>
      <c r="G47" s="313"/>
    </row>
    <row r="48">
      <c r="A48" s="313"/>
      <c r="B48" s="313"/>
      <c r="C48" s="313"/>
      <c r="D48" s="313"/>
      <c r="E48" s="313"/>
      <c r="F48" s="313"/>
      <c r="G48" s="313"/>
    </row>
    <row r="49">
      <c r="A49" s="313"/>
      <c r="B49" s="313"/>
      <c r="C49" s="313"/>
      <c r="D49" s="313"/>
      <c r="E49" s="313"/>
      <c r="F49" s="313"/>
      <c r="G49" s="313"/>
    </row>
    <row r="50">
      <c r="A50" s="313"/>
      <c r="B50" s="313"/>
      <c r="C50" s="313"/>
      <c r="D50" s="313"/>
      <c r="E50" s="313"/>
      <c r="F50" s="313"/>
      <c r="G50" s="313"/>
    </row>
    <row r="51">
      <c r="A51" s="313"/>
      <c r="B51" s="313"/>
      <c r="C51" s="313"/>
      <c r="D51" s="313"/>
      <c r="E51" s="313"/>
      <c r="F51" s="313"/>
      <c r="G51" s="313"/>
    </row>
    <row r="52">
      <c r="A52" s="313"/>
      <c r="B52" s="313"/>
      <c r="C52" s="313"/>
      <c r="D52" s="313"/>
      <c r="E52" s="313"/>
      <c r="F52" s="313"/>
      <c r="G52" s="313"/>
    </row>
    <row r="53">
      <c r="A53" s="313"/>
      <c r="B53" s="313"/>
      <c r="C53" s="313"/>
      <c r="D53" s="313"/>
      <c r="E53" s="313"/>
      <c r="F53" s="313"/>
      <c r="G53" s="313"/>
    </row>
    <row r="54">
      <c r="A54" s="313"/>
      <c r="B54" s="313"/>
      <c r="C54" s="313"/>
      <c r="D54" s="313"/>
      <c r="E54" s="313"/>
      <c r="F54" s="313"/>
      <c r="G54" s="313"/>
    </row>
    <row r="55">
      <c r="A55" s="313"/>
      <c r="B55" s="313"/>
      <c r="C55" s="313"/>
      <c r="D55" s="313"/>
      <c r="E55" s="313"/>
      <c r="F55" s="313"/>
      <c r="G55" s="313"/>
    </row>
    <row r="56">
      <c r="A56" s="313"/>
      <c r="B56" s="313"/>
      <c r="C56" s="313"/>
      <c r="D56" s="313"/>
      <c r="E56" s="313"/>
      <c r="F56" s="313"/>
      <c r="G56" s="313"/>
    </row>
    <row r="57">
      <c r="A57" s="313"/>
      <c r="B57" s="313"/>
      <c r="C57" s="313"/>
      <c r="D57" s="313"/>
      <c r="E57" s="313"/>
      <c r="F57" s="313"/>
      <c r="G57" s="313"/>
    </row>
    <row r="58">
      <c r="A58" s="313"/>
      <c r="B58" s="313"/>
      <c r="C58" s="313"/>
      <c r="D58" s="313"/>
      <c r="E58" s="313"/>
      <c r="F58" s="313"/>
      <c r="G58" s="313"/>
    </row>
    <row r="59">
      <c r="A59" s="313"/>
      <c r="B59" s="313"/>
      <c r="C59" s="313"/>
      <c r="D59" s="313"/>
      <c r="E59" s="313"/>
      <c r="F59" s="313"/>
      <c r="G59" s="313"/>
    </row>
    <row r="60">
      <c r="A60" s="313"/>
      <c r="B60" s="313"/>
      <c r="C60" s="313"/>
      <c r="D60" s="313"/>
      <c r="E60" s="313"/>
      <c r="F60" s="313"/>
      <c r="G60" s="313"/>
    </row>
    <row r="61">
      <c r="A61" s="313"/>
      <c r="B61" s="313"/>
      <c r="C61" s="313"/>
      <c r="D61" s="313"/>
      <c r="E61" s="313"/>
      <c r="F61" s="313"/>
      <c r="G61" s="313"/>
    </row>
    <row r="62">
      <c r="A62" s="313"/>
      <c r="B62" s="313"/>
      <c r="C62" s="313"/>
      <c r="D62" s="313"/>
      <c r="E62" s="313"/>
      <c r="F62" s="313"/>
      <c r="G62" s="313"/>
    </row>
    <row r="63">
      <c r="A63" s="313"/>
      <c r="B63" s="313"/>
      <c r="C63" s="313"/>
      <c r="D63" s="313"/>
      <c r="E63" s="313"/>
      <c r="F63" s="313"/>
      <c r="G63" s="313"/>
    </row>
    <row r="64">
      <c r="A64" s="313"/>
      <c r="B64" s="313"/>
      <c r="C64" s="313"/>
      <c r="D64" s="313"/>
      <c r="E64" s="313"/>
      <c r="F64" s="313"/>
      <c r="G64" s="313"/>
    </row>
    <row r="65">
      <c r="A65" s="313"/>
      <c r="B65" s="313"/>
      <c r="C65" s="313"/>
      <c r="D65" s="313"/>
      <c r="E65" s="313"/>
      <c r="F65" s="313"/>
      <c r="G65" s="313"/>
    </row>
    <row r="66">
      <c r="A66" s="313"/>
      <c r="B66" s="313"/>
      <c r="C66" s="313"/>
      <c r="D66" s="313"/>
      <c r="E66" s="313"/>
      <c r="F66" s="313"/>
      <c r="G66" s="313"/>
    </row>
    <row r="67">
      <c r="A67" s="313"/>
      <c r="B67" s="313"/>
      <c r="C67" s="313"/>
      <c r="D67" s="313"/>
      <c r="E67" s="313"/>
      <c r="F67" s="313"/>
      <c r="G67" s="313"/>
    </row>
    <row r="68">
      <c r="A68" s="313"/>
      <c r="B68" s="313"/>
      <c r="C68" s="313"/>
      <c r="D68" s="313"/>
      <c r="E68" s="313"/>
      <c r="F68" s="313"/>
      <c r="G68" s="313"/>
    </row>
    <row r="69">
      <c r="A69" s="313"/>
      <c r="B69" s="313"/>
      <c r="C69" s="313"/>
      <c r="D69" s="313"/>
      <c r="E69" s="313"/>
      <c r="F69" s="313"/>
      <c r="G69" s="313"/>
    </row>
    <row r="70">
      <c r="A70" s="313"/>
      <c r="B70" s="313"/>
      <c r="C70" s="313"/>
      <c r="D70" s="313"/>
      <c r="E70" s="313"/>
      <c r="F70" s="313"/>
      <c r="G70" s="313"/>
    </row>
    <row r="71">
      <c r="A71" s="313"/>
      <c r="B71" s="313"/>
      <c r="C71" s="313"/>
      <c r="D71" s="313"/>
      <c r="E71" s="313"/>
      <c r="F71" s="313"/>
      <c r="G71" s="313"/>
    </row>
    <row r="72">
      <c r="A72" s="313"/>
      <c r="B72" s="313"/>
      <c r="C72" s="313"/>
      <c r="D72" s="313"/>
      <c r="E72" s="313"/>
      <c r="F72" s="313"/>
      <c r="G72" s="313"/>
    </row>
    <row r="73">
      <c r="A73" s="313"/>
      <c r="B73" s="313"/>
      <c r="C73" s="313"/>
      <c r="D73" s="313"/>
      <c r="E73" s="313"/>
      <c r="F73" s="313"/>
      <c r="G73" s="313"/>
    </row>
    <row r="74">
      <c r="A74" s="313"/>
      <c r="B74" s="313"/>
      <c r="C74" s="313"/>
      <c r="D74" s="313"/>
      <c r="E74" s="313"/>
      <c r="F74" s="313"/>
      <c r="G74" s="313"/>
    </row>
    <row r="75">
      <c r="A75" s="313"/>
      <c r="B75" s="313"/>
      <c r="C75" s="313"/>
      <c r="D75" s="313"/>
      <c r="E75" s="313"/>
      <c r="F75" s="313"/>
      <c r="G75" s="313"/>
    </row>
    <row r="76">
      <c r="A76" s="313"/>
      <c r="B76" s="313"/>
      <c r="C76" s="313"/>
      <c r="D76" s="313"/>
      <c r="E76" s="313"/>
      <c r="F76" s="313"/>
      <c r="G76" s="313"/>
    </row>
    <row r="77">
      <c r="A77" s="313"/>
      <c r="B77" s="313"/>
      <c r="C77" s="313"/>
      <c r="D77" s="313"/>
      <c r="E77" s="313"/>
      <c r="F77" s="313"/>
      <c r="G77" s="313"/>
    </row>
    <row r="78">
      <c r="A78" s="313"/>
      <c r="B78" s="313"/>
      <c r="C78" s="313"/>
      <c r="D78" s="313"/>
      <c r="E78" s="313"/>
      <c r="F78" s="313"/>
      <c r="G78" s="313"/>
    </row>
    <row r="79">
      <c r="A79" s="313"/>
      <c r="B79" s="313"/>
      <c r="C79" s="313"/>
      <c r="D79" s="313"/>
      <c r="E79" s="313"/>
      <c r="F79" s="313"/>
      <c r="G79" s="313"/>
    </row>
    <row r="80">
      <c r="A80" s="313"/>
      <c r="B80" s="313"/>
      <c r="C80" s="313"/>
      <c r="D80" s="313"/>
      <c r="E80" s="313"/>
      <c r="F80" s="313"/>
      <c r="G80" s="313"/>
    </row>
    <row r="81">
      <c r="A81" s="313"/>
      <c r="B81" s="313"/>
      <c r="C81" s="313"/>
      <c r="D81" s="313"/>
      <c r="E81" s="313"/>
      <c r="F81" s="313"/>
      <c r="G81" s="313"/>
    </row>
    <row r="82">
      <c r="A82" s="313"/>
      <c r="B82" s="313"/>
      <c r="C82" s="313"/>
      <c r="D82" s="313"/>
      <c r="E82" s="313"/>
      <c r="F82" s="313"/>
      <c r="G82" s="313"/>
    </row>
    <row r="83">
      <c r="A83" s="313"/>
      <c r="B83" s="313"/>
      <c r="C83" s="313"/>
      <c r="D83" s="313"/>
      <c r="E83" s="313"/>
      <c r="F83" s="313"/>
      <c r="G83" s="313"/>
    </row>
    <row r="84">
      <c r="A84" s="313"/>
      <c r="B84" s="313"/>
      <c r="C84" s="313"/>
      <c r="D84" s="313"/>
      <c r="E84" s="313"/>
      <c r="F84" s="313"/>
      <c r="G84" s="313"/>
    </row>
    <row r="85">
      <c r="A85" s="313"/>
      <c r="B85" s="313"/>
      <c r="C85" s="313"/>
      <c r="D85" s="313"/>
      <c r="E85" s="313"/>
      <c r="F85" s="313"/>
      <c r="G85" s="313"/>
    </row>
    <row r="86">
      <c r="A86" s="313"/>
      <c r="B86" s="313"/>
      <c r="C86" s="313"/>
      <c r="D86" s="313"/>
      <c r="E86" s="313"/>
      <c r="F86" s="313"/>
      <c r="G86" s="313"/>
    </row>
    <row r="87">
      <c r="A87" s="313"/>
      <c r="B87" s="313"/>
      <c r="C87" s="313"/>
      <c r="D87" s="313"/>
      <c r="E87" s="313"/>
      <c r="F87" s="313"/>
      <c r="G87" s="313"/>
    </row>
    <row r="88">
      <c r="A88" s="313"/>
      <c r="B88" s="313"/>
      <c r="C88" s="313"/>
      <c r="D88" s="313"/>
      <c r="E88" s="313"/>
      <c r="F88" s="313"/>
      <c r="G88" s="313"/>
    </row>
    <row r="89">
      <c r="A89" s="313"/>
      <c r="B89" s="313"/>
      <c r="C89" s="313"/>
      <c r="D89" s="313"/>
      <c r="E89" s="313"/>
      <c r="F89" s="313"/>
      <c r="G89" s="313"/>
    </row>
    <row r="90">
      <c r="A90" s="313"/>
      <c r="B90" s="313"/>
      <c r="C90" s="313"/>
      <c r="D90" s="313"/>
      <c r="E90" s="313"/>
      <c r="F90" s="313"/>
      <c r="G90" s="313"/>
    </row>
    <row r="91">
      <c r="A91" s="313"/>
      <c r="B91" s="313"/>
      <c r="C91" s="313"/>
      <c r="D91" s="313"/>
      <c r="E91" s="313"/>
      <c r="F91" s="313"/>
      <c r="G91" s="313"/>
    </row>
    <row r="92">
      <c r="A92" s="313"/>
      <c r="B92" s="313"/>
      <c r="C92" s="313"/>
      <c r="D92" s="313"/>
      <c r="E92" s="313"/>
      <c r="F92" s="313"/>
      <c r="G92" s="313"/>
    </row>
    <row r="93">
      <c r="A93" s="313"/>
      <c r="B93" s="313"/>
      <c r="C93" s="313"/>
      <c r="D93" s="313"/>
      <c r="E93" s="313"/>
      <c r="F93" s="313"/>
      <c r="G93" s="313"/>
    </row>
    <row r="94">
      <c r="A94" s="313"/>
      <c r="B94" s="313"/>
      <c r="C94" s="313"/>
      <c r="D94" s="313"/>
      <c r="E94" s="313"/>
      <c r="F94" s="313"/>
      <c r="G94" s="313"/>
    </row>
    <row r="95">
      <c r="A95" s="313"/>
      <c r="B95" s="313"/>
      <c r="C95" s="313"/>
      <c r="D95" s="313"/>
      <c r="E95" s="313"/>
      <c r="F95" s="313"/>
      <c r="G95" s="313"/>
    </row>
    <row r="96">
      <c r="A96" s="313"/>
      <c r="B96" s="313"/>
      <c r="C96" s="313"/>
      <c r="D96" s="313"/>
      <c r="E96" s="313"/>
      <c r="F96" s="313"/>
      <c r="G96" s="313"/>
    </row>
    <row r="97">
      <c r="A97" s="313"/>
      <c r="B97" s="313"/>
      <c r="C97" s="313"/>
      <c r="D97" s="313"/>
      <c r="E97" s="313"/>
      <c r="F97" s="313"/>
      <c r="G97" s="313"/>
    </row>
    <row r="98">
      <c r="A98" s="313"/>
      <c r="B98" s="313"/>
      <c r="C98" s="313"/>
      <c r="D98" s="313"/>
      <c r="E98" s="313"/>
      <c r="F98" s="313"/>
      <c r="G98" s="313"/>
    </row>
    <row r="99">
      <c r="A99" s="313"/>
      <c r="B99" s="313"/>
      <c r="C99" s="313"/>
      <c r="D99" s="313"/>
      <c r="E99" s="313"/>
      <c r="F99" s="313"/>
      <c r="G99" s="313"/>
    </row>
    <row r="100">
      <c r="A100" s="313"/>
      <c r="B100" s="313"/>
      <c r="C100" s="313"/>
      <c r="D100" s="313"/>
      <c r="E100" s="313"/>
      <c r="F100" s="313"/>
      <c r="G100" s="313"/>
    </row>
    <row r="101">
      <c r="A101" s="313"/>
      <c r="B101" s="313"/>
      <c r="C101" s="313"/>
      <c r="D101" s="313"/>
      <c r="E101" s="313"/>
      <c r="F101" s="313"/>
      <c r="G101" s="313"/>
    </row>
    <row r="102">
      <c r="A102" s="313"/>
      <c r="B102" s="313"/>
      <c r="C102" s="313"/>
      <c r="D102" s="313"/>
      <c r="E102" s="313"/>
      <c r="F102" s="313"/>
      <c r="G102" s="313"/>
    </row>
    <row r="103">
      <c r="A103" s="313"/>
      <c r="B103" s="313"/>
      <c r="C103" s="313"/>
      <c r="D103" s="313"/>
      <c r="E103" s="313"/>
      <c r="F103" s="313"/>
      <c r="G103" s="313"/>
    </row>
    <row r="104">
      <c r="A104" s="313"/>
      <c r="B104" s="313"/>
      <c r="C104" s="313"/>
      <c r="D104" s="313"/>
      <c r="E104" s="313"/>
      <c r="F104" s="313"/>
      <c r="G104" s="313"/>
    </row>
    <row r="105">
      <c r="A105" s="313"/>
      <c r="B105" s="313"/>
      <c r="C105" s="313"/>
      <c r="D105" s="313"/>
      <c r="E105" s="313"/>
      <c r="F105" s="313"/>
      <c r="G105" s="313"/>
    </row>
    <row r="106">
      <c r="A106" s="313"/>
      <c r="B106" s="313"/>
      <c r="C106" s="313"/>
      <c r="D106" s="313"/>
      <c r="E106" s="313"/>
      <c r="F106" s="313"/>
      <c r="G106" s="313"/>
    </row>
    <row r="107">
      <c r="A107" s="313"/>
      <c r="B107" s="313"/>
      <c r="C107" s="313"/>
      <c r="D107" s="313"/>
      <c r="E107" s="313"/>
      <c r="F107" s="313"/>
      <c r="G107" s="313"/>
    </row>
    <row r="108">
      <c r="A108" s="313"/>
      <c r="B108" s="313"/>
      <c r="C108" s="313"/>
      <c r="D108" s="313"/>
      <c r="E108" s="313"/>
      <c r="F108" s="313"/>
      <c r="G108" s="313"/>
    </row>
    <row r="109">
      <c r="A109" s="313"/>
      <c r="B109" s="313"/>
      <c r="C109" s="313"/>
      <c r="D109" s="313"/>
      <c r="E109" s="313"/>
      <c r="F109" s="313"/>
      <c r="G109" s="313"/>
    </row>
    <row r="110">
      <c r="A110" s="313"/>
      <c r="B110" s="313"/>
      <c r="C110" s="313"/>
      <c r="D110" s="313"/>
      <c r="E110" s="313"/>
      <c r="F110" s="313"/>
      <c r="G110" s="313"/>
    </row>
    <row r="111">
      <c r="A111" s="313"/>
      <c r="B111" s="313"/>
      <c r="C111" s="313"/>
      <c r="D111" s="313"/>
      <c r="E111" s="313"/>
      <c r="F111" s="313"/>
      <c r="G111" s="313"/>
    </row>
    <row r="112">
      <c r="A112" s="313"/>
      <c r="B112" s="313"/>
      <c r="C112" s="313"/>
      <c r="D112" s="313"/>
      <c r="E112" s="313"/>
      <c r="F112" s="313"/>
      <c r="G112" s="313"/>
    </row>
    <row r="113">
      <c r="A113" s="313"/>
      <c r="B113" s="313"/>
      <c r="C113" s="313"/>
      <c r="D113" s="313"/>
      <c r="E113" s="313"/>
      <c r="F113" s="313"/>
      <c r="G113" s="313"/>
    </row>
    <row r="114">
      <c r="A114" s="313"/>
      <c r="B114" s="313"/>
      <c r="C114" s="313"/>
      <c r="D114" s="313"/>
      <c r="E114" s="313"/>
      <c r="F114" s="313"/>
      <c r="G114" s="313"/>
    </row>
    <row r="115">
      <c r="A115" s="313"/>
      <c r="B115" s="313"/>
      <c r="C115" s="313"/>
      <c r="D115" s="313"/>
      <c r="E115" s="313"/>
      <c r="F115" s="313"/>
      <c r="G115" s="313"/>
    </row>
    <row r="116">
      <c r="A116" s="313"/>
      <c r="B116" s="313"/>
      <c r="C116" s="313"/>
      <c r="D116" s="313"/>
      <c r="E116" s="313"/>
      <c r="F116" s="313"/>
      <c r="G116" s="313"/>
    </row>
    <row r="117">
      <c r="A117" s="313"/>
      <c r="B117" s="313"/>
      <c r="C117" s="313"/>
      <c r="D117" s="313"/>
      <c r="E117" s="313"/>
      <c r="F117" s="313"/>
      <c r="G117" s="313"/>
    </row>
    <row r="118">
      <c r="A118" s="313"/>
      <c r="B118" s="313"/>
      <c r="C118" s="313"/>
      <c r="D118" s="313"/>
      <c r="E118" s="313"/>
      <c r="F118" s="313"/>
      <c r="G118" s="313"/>
    </row>
    <row r="119">
      <c r="A119" s="313"/>
      <c r="B119" s="313"/>
      <c r="C119" s="313"/>
      <c r="D119" s="313"/>
      <c r="E119" s="313"/>
      <c r="F119" s="313"/>
      <c r="G119" s="313"/>
    </row>
    <row r="120">
      <c r="A120" s="313"/>
      <c r="B120" s="313"/>
      <c r="C120" s="313"/>
      <c r="D120" s="313"/>
      <c r="E120" s="313"/>
      <c r="F120" s="313"/>
      <c r="G120" s="313"/>
    </row>
    <row r="121">
      <c r="A121" s="313"/>
      <c r="B121" s="313"/>
      <c r="C121" s="313"/>
      <c r="D121" s="313"/>
      <c r="E121" s="313"/>
      <c r="F121" s="313"/>
      <c r="G121" s="313"/>
    </row>
    <row r="122">
      <c r="A122" s="313"/>
      <c r="B122" s="313"/>
      <c r="C122" s="313"/>
      <c r="D122" s="313"/>
      <c r="E122" s="313"/>
      <c r="F122" s="313"/>
      <c r="G122" s="313"/>
    </row>
    <row r="123">
      <c r="A123" s="313"/>
      <c r="B123" s="313"/>
      <c r="C123" s="313"/>
      <c r="D123" s="313"/>
      <c r="E123" s="313"/>
      <c r="F123" s="313"/>
      <c r="G123" s="313"/>
    </row>
    <row r="124">
      <c r="A124" s="313"/>
      <c r="B124" s="313"/>
      <c r="C124" s="313"/>
      <c r="D124" s="313"/>
      <c r="E124" s="313"/>
      <c r="F124" s="313"/>
      <c r="G124" s="313"/>
    </row>
    <row r="125">
      <c r="A125" s="313"/>
      <c r="B125" s="313"/>
      <c r="C125" s="313"/>
      <c r="D125" s="313"/>
      <c r="E125" s="313"/>
      <c r="F125" s="313"/>
      <c r="G125" s="313"/>
    </row>
    <row r="126">
      <c r="A126" s="313"/>
      <c r="B126" s="313"/>
      <c r="C126" s="313"/>
      <c r="D126" s="313"/>
      <c r="E126" s="313"/>
      <c r="F126" s="313"/>
      <c r="G126" s="313"/>
    </row>
    <row r="127">
      <c r="A127" s="313"/>
      <c r="B127" s="313"/>
      <c r="C127" s="313"/>
      <c r="D127" s="313"/>
      <c r="E127" s="313"/>
      <c r="F127" s="313"/>
      <c r="G127" s="313"/>
    </row>
    <row r="128">
      <c r="A128" s="313"/>
      <c r="B128" s="313"/>
      <c r="C128" s="313"/>
      <c r="D128" s="313"/>
      <c r="E128" s="313"/>
      <c r="F128" s="313"/>
      <c r="G128" s="313"/>
    </row>
    <row r="129">
      <c r="A129" s="313"/>
      <c r="B129" s="313"/>
      <c r="C129" s="313"/>
      <c r="D129" s="313"/>
      <c r="E129" s="313"/>
      <c r="F129" s="313"/>
      <c r="G129" s="313"/>
    </row>
    <row r="130">
      <c r="A130" s="313"/>
      <c r="B130" s="313"/>
      <c r="C130" s="313"/>
      <c r="D130" s="313"/>
      <c r="E130" s="313"/>
      <c r="F130" s="313"/>
      <c r="G130" s="313"/>
    </row>
    <row r="131">
      <c r="A131" s="313"/>
      <c r="B131" s="313"/>
      <c r="C131" s="313"/>
      <c r="D131" s="313"/>
      <c r="E131" s="313"/>
      <c r="F131" s="313"/>
      <c r="G131" s="313"/>
    </row>
    <row r="132">
      <c r="A132" s="313"/>
      <c r="B132" s="313"/>
      <c r="C132" s="313"/>
      <c r="D132" s="313"/>
      <c r="E132" s="313"/>
      <c r="F132" s="313"/>
      <c r="G132" s="313"/>
    </row>
    <row r="133">
      <c r="A133" s="313"/>
      <c r="B133" s="313"/>
      <c r="C133" s="313"/>
      <c r="D133" s="313"/>
      <c r="E133" s="313"/>
      <c r="F133" s="313"/>
      <c r="G133" s="313"/>
    </row>
    <row r="134">
      <c r="A134" s="313"/>
      <c r="B134" s="313"/>
      <c r="C134" s="313"/>
      <c r="D134" s="313"/>
      <c r="E134" s="313"/>
      <c r="F134" s="313"/>
      <c r="G134" s="313"/>
    </row>
    <row r="135">
      <c r="A135" s="313"/>
      <c r="B135" s="313"/>
      <c r="C135" s="313"/>
      <c r="D135" s="313"/>
      <c r="E135" s="313"/>
      <c r="F135" s="313"/>
      <c r="G135" s="313"/>
    </row>
    <row r="136">
      <c r="A136" s="313"/>
      <c r="B136" s="313"/>
      <c r="C136" s="313"/>
      <c r="D136" s="313"/>
      <c r="E136" s="313"/>
      <c r="F136" s="313"/>
      <c r="G136" s="313"/>
    </row>
    <row r="137">
      <c r="A137" s="313"/>
      <c r="B137" s="313"/>
      <c r="C137" s="313"/>
      <c r="D137" s="313"/>
      <c r="E137" s="313"/>
      <c r="F137" s="313"/>
      <c r="G137" s="313"/>
    </row>
    <row r="138">
      <c r="A138" s="313"/>
      <c r="B138" s="313"/>
      <c r="C138" s="313"/>
      <c r="D138" s="313"/>
      <c r="E138" s="313"/>
      <c r="F138" s="313"/>
      <c r="G138" s="313"/>
    </row>
    <row r="139">
      <c r="A139" s="313"/>
      <c r="B139" s="313"/>
      <c r="C139" s="313"/>
      <c r="D139" s="313"/>
      <c r="E139" s="313"/>
      <c r="F139" s="313"/>
      <c r="G139" s="313"/>
    </row>
    <row r="140">
      <c r="A140" s="313"/>
      <c r="B140" s="313"/>
      <c r="C140" s="313"/>
      <c r="D140" s="313"/>
      <c r="E140" s="313"/>
      <c r="F140" s="313"/>
      <c r="G140" s="313"/>
    </row>
    <row r="141">
      <c r="A141" s="313"/>
      <c r="B141" s="313"/>
      <c r="C141" s="313"/>
      <c r="D141" s="313"/>
      <c r="E141" s="313"/>
      <c r="F141" s="313"/>
      <c r="G141" s="313"/>
    </row>
    <row r="142">
      <c r="A142" s="313"/>
      <c r="B142" s="313"/>
      <c r="C142" s="313"/>
      <c r="D142" s="313"/>
      <c r="E142" s="313"/>
      <c r="F142" s="313"/>
      <c r="G142" s="313"/>
    </row>
    <row r="143">
      <c r="A143" s="313"/>
      <c r="B143" s="313"/>
      <c r="C143" s="313"/>
      <c r="D143" s="313"/>
      <c r="E143" s="313"/>
      <c r="F143" s="313"/>
      <c r="G143" s="313"/>
    </row>
    <row r="144">
      <c r="A144" s="313"/>
      <c r="B144" s="313"/>
      <c r="C144" s="313"/>
      <c r="D144" s="313"/>
      <c r="E144" s="313"/>
      <c r="F144" s="313"/>
      <c r="G144" s="313"/>
    </row>
    <row r="145">
      <c r="A145" s="313"/>
      <c r="B145" s="313"/>
      <c r="C145" s="313"/>
      <c r="D145" s="313"/>
      <c r="E145" s="313"/>
      <c r="F145" s="313"/>
      <c r="G145" s="313"/>
    </row>
    <row r="146">
      <c r="A146" s="313"/>
      <c r="B146" s="313"/>
      <c r="C146" s="313"/>
      <c r="D146" s="313"/>
      <c r="E146" s="313"/>
      <c r="F146" s="313"/>
      <c r="G146" s="313"/>
    </row>
    <row r="147">
      <c r="A147" s="313"/>
      <c r="B147" s="313"/>
      <c r="C147" s="313"/>
      <c r="D147" s="313"/>
      <c r="E147" s="313"/>
      <c r="F147" s="313"/>
      <c r="G147" s="313"/>
    </row>
    <row r="148">
      <c r="A148" s="313"/>
      <c r="B148" s="313"/>
      <c r="C148" s="313"/>
      <c r="D148" s="313"/>
      <c r="E148" s="313"/>
      <c r="F148" s="313"/>
      <c r="G148" s="313"/>
    </row>
    <row r="149">
      <c r="A149" s="313"/>
      <c r="B149" s="313"/>
      <c r="C149" s="313"/>
      <c r="D149" s="313"/>
      <c r="E149" s="313"/>
      <c r="F149" s="313"/>
      <c r="G149" s="313"/>
    </row>
    <row r="150">
      <c r="A150" s="313"/>
      <c r="B150" s="313"/>
      <c r="C150" s="313"/>
      <c r="D150" s="313"/>
      <c r="E150" s="313"/>
      <c r="F150" s="313"/>
      <c r="G150" s="313"/>
    </row>
    <row r="151">
      <c r="A151" s="313"/>
      <c r="B151" s="313"/>
      <c r="C151" s="313"/>
      <c r="D151" s="313"/>
      <c r="E151" s="313"/>
      <c r="F151" s="313"/>
      <c r="G151" s="313"/>
    </row>
    <row r="152">
      <c r="A152" s="313"/>
      <c r="B152" s="313"/>
      <c r="C152" s="313"/>
      <c r="D152" s="313"/>
      <c r="E152" s="313"/>
      <c r="F152" s="313"/>
      <c r="G152" s="313"/>
    </row>
    <row r="153">
      <c r="A153" s="313"/>
      <c r="B153" s="313"/>
      <c r="C153" s="313"/>
      <c r="D153" s="313"/>
      <c r="E153" s="313"/>
      <c r="F153" s="313"/>
      <c r="G153" s="313"/>
    </row>
    <row r="154">
      <c r="A154" s="313"/>
      <c r="B154" s="313"/>
      <c r="C154" s="313"/>
      <c r="D154" s="313"/>
      <c r="E154" s="313"/>
      <c r="F154" s="313"/>
      <c r="G154" s="313"/>
    </row>
    <row r="155">
      <c r="A155" s="313"/>
      <c r="B155" s="313"/>
      <c r="C155" s="313"/>
      <c r="D155" s="313"/>
      <c r="E155" s="313"/>
      <c r="F155" s="313"/>
      <c r="G155" s="313"/>
    </row>
    <row r="156">
      <c r="A156" s="313"/>
      <c r="B156" s="313"/>
      <c r="C156" s="313"/>
      <c r="D156" s="313"/>
      <c r="E156" s="313"/>
      <c r="F156" s="313"/>
      <c r="G156" s="313"/>
    </row>
    <row r="157">
      <c r="A157" s="313"/>
      <c r="B157" s="313"/>
      <c r="C157" s="313"/>
      <c r="D157" s="313"/>
      <c r="E157" s="313"/>
      <c r="F157" s="313"/>
      <c r="G157" s="313"/>
    </row>
    <row r="158">
      <c r="A158" s="313"/>
      <c r="B158" s="313"/>
      <c r="C158" s="313"/>
      <c r="D158" s="313"/>
      <c r="E158" s="313"/>
      <c r="F158" s="313"/>
      <c r="G158" s="313"/>
    </row>
    <row r="159">
      <c r="A159" s="313"/>
      <c r="B159" s="313"/>
      <c r="C159" s="313"/>
      <c r="D159" s="313"/>
      <c r="E159" s="313"/>
      <c r="F159" s="313"/>
      <c r="G159" s="313"/>
    </row>
    <row r="160">
      <c r="A160" s="313"/>
      <c r="B160" s="313"/>
      <c r="C160" s="313"/>
      <c r="D160" s="313"/>
      <c r="E160" s="313"/>
      <c r="F160" s="313"/>
      <c r="G160" s="313"/>
    </row>
    <row r="161">
      <c r="A161" s="313"/>
      <c r="B161" s="313"/>
      <c r="C161" s="313"/>
      <c r="D161" s="313"/>
      <c r="E161" s="313"/>
      <c r="F161" s="313"/>
      <c r="G161" s="313"/>
    </row>
    <row r="162">
      <c r="A162" s="313"/>
      <c r="B162" s="313"/>
      <c r="C162" s="313"/>
      <c r="D162" s="313"/>
      <c r="E162" s="313"/>
      <c r="F162" s="313"/>
      <c r="G162" s="313"/>
    </row>
    <row r="163">
      <c r="A163" s="313"/>
      <c r="B163" s="313"/>
      <c r="C163" s="313"/>
      <c r="D163" s="313"/>
      <c r="E163" s="313"/>
      <c r="F163" s="313"/>
      <c r="G163" s="313"/>
    </row>
    <row r="164">
      <c r="A164" s="313"/>
      <c r="B164" s="313"/>
      <c r="C164" s="313"/>
      <c r="D164" s="313"/>
      <c r="E164" s="313"/>
      <c r="F164" s="313"/>
      <c r="G164" s="313"/>
    </row>
    <row r="165">
      <c r="A165" s="313"/>
      <c r="B165" s="313"/>
      <c r="C165" s="313"/>
      <c r="D165" s="313"/>
      <c r="E165" s="313"/>
      <c r="F165" s="313"/>
      <c r="G165" s="313"/>
    </row>
    <row r="166">
      <c r="A166" s="313"/>
      <c r="B166" s="313"/>
      <c r="C166" s="313"/>
      <c r="D166" s="313"/>
      <c r="E166" s="313"/>
      <c r="F166" s="313"/>
      <c r="G166" s="313"/>
    </row>
    <row r="167">
      <c r="A167" s="313"/>
      <c r="B167" s="313"/>
      <c r="C167" s="313"/>
      <c r="D167" s="313"/>
      <c r="E167" s="313"/>
      <c r="F167" s="313"/>
      <c r="G167" s="313"/>
    </row>
    <row r="168">
      <c r="A168" s="313"/>
      <c r="B168" s="313"/>
      <c r="C168" s="313"/>
      <c r="D168" s="313"/>
      <c r="E168" s="313"/>
      <c r="F168" s="313"/>
      <c r="G168" s="313"/>
    </row>
    <row r="169">
      <c r="A169" s="313"/>
      <c r="B169" s="313"/>
      <c r="C169" s="313"/>
      <c r="D169" s="313"/>
      <c r="E169" s="313"/>
      <c r="F169" s="313"/>
      <c r="G169" s="313"/>
    </row>
    <row r="170">
      <c r="A170" s="313"/>
      <c r="B170" s="313"/>
      <c r="C170" s="313"/>
      <c r="D170" s="313"/>
      <c r="E170" s="313"/>
      <c r="F170" s="313"/>
      <c r="G170" s="313"/>
    </row>
    <row r="171">
      <c r="A171" s="313"/>
      <c r="B171" s="313"/>
      <c r="C171" s="313"/>
      <c r="D171" s="313"/>
      <c r="E171" s="313"/>
      <c r="F171" s="313"/>
      <c r="G171" s="313"/>
    </row>
    <row r="172">
      <c r="A172" s="313"/>
      <c r="B172" s="313"/>
      <c r="C172" s="313"/>
      <c r="D172" s="313"/>
      <c r="E172" s="313"/>
      <c r="F172" s="313"/>
      <c r="G172" s="313"/>
    </row>
    <row r="173">
      <c r="A173" s="313"/>
      <c r="B173" s="313"/>
      <c r="C173" s="313"/>
      <c r="D173" s="313"/>
      <c r="E173" s="313"/>
      <c r="F173" s="313"/>
      <c r="G173" s="313"/>
    </row>
    <row r="174">
      <c r="A174" s="313"/>
      <c r="B174" s="313"/>
      <c r="C174" s="313"/>
      <c r="D174" s="313"/>
      <c r="E174" s="313"/>
      <c r="F174" s="313"/>
      <c r="G174" s="313"/>
    </row>
    <row r="175">
      <c r="A175" s="313"/>
      <c r="B175" s="313"/>
      <c r="C175" s="313"/>
      <c r="D175" s="313"/>
      <c r="E175" s="313"/>
      <c r="F175" s="313"/>
      <c r="G175" s="313"/>
    </row>
    <row r="176">
      <c r="A176" s="313"/>
      <c r="B176" s="313"/>
      <c r="C176" s="313"/>
      <c r="D176" s="313"/>
      <c r="E176" s="313"/>
      <c r="F176" s="313"/>
      <c r="G176" s="313"/>
    </row>
    <row r="177">
      <c r="A177" s="313"/>
      <c r="B177" s="313"/>
      <c r="C177" s="313"/>
      <c r="D177" s="313"/>
      <c r="E177" s="313"/>
      <c r="F177" s="313"/>
      <c r="G177" s="313"/>
    </row>
    <row r="178">
      <c r="A178" s="313"/>
      <c r="B178" s="313"/>
      <c r="C178" s="313"/>
      <c r="D178" s="313"/>
      <c r="E178" s="313"/>
      <c r="F178" s="313"/>
      <c r="G178" s="313"/>
    </row>
    <row r="179">
      <c r="A179" s="313"/>
      <c r="B179" s="313"/>
      <c r="C179" s="313"/>
      <c r="D179" s="313"/>
      <c r="E179" s="313"/>
      <c r="F179" s="313"/>
      <c r="G179" s="313"/>
    </row>
    <row r="180">
      <c r="A180" s="313"/>
      <c r="B180" s="313"/>
      <c r="C180" s="313"/>
      <c r="D180" s="313"/>
      <c r="E180" s="313"/>
      <c r="F180" s="313"/>
      <c r="G180" s="313"/>
    </row>
    <row r="181">
      <c r="A181" s="313"/>
      <c r="B181" s="313"/>
      <c r="C181" s="313"/>
      <c r="D181" s="313"/>
      <c r="E181" s="313"/>
      <c r="F181" s="313"/>
      <c r="G181" s="313"/>
    </row>
    <row r="182">
      <c r="A182" s="313"/>
      <c r="B182" s="313"/>
      <c r="C182" s="313"/>
      <c r="D182" s="313"/>
      <c r="E182" s="313"/>
      <c r="F182" s="313"/>
      <c r="G182" s="313"/>
    </row>
    <row r="183">
      <c r="A183" s="313"/>
      <c r="B183" s="313"/>
      <c r="C183" s="313"/>
      <c r="D183" s="313"/>
      <c r="E183" s="313"/>
      <c r="F183" s="313"/>
      <c r="G183" s="313"/>
    </row>
    <row r="184">
      <c r="A184" s="313"/>
      <c r="B184" s="313"/>
      <c r="C184" s="313"/>
      <c r="D184" s="313"/>
      <c r="E184" s="313"/>
      <c r="F184" s="313"/>
      <c r="G184" s="313"/>
    </row>
    <row r="185">
      <c r="A185" s="313"/>
      <c r="B185" s="313"/>
      <c r="C185" s="313"/>
      <c r="D185" s="313"/>
      <c r="E185" s="313"/>
      <c r="F185" s="313"/>
      <c r="G185" s="313"/>
    </row>
    <row r="186">
      <c r="A186" s="313"/>
      <c r="B186" s="313"/>
      <c r="C186" s="313"/>
      <c r="D186" s="313"/>
      <c r="E186" s="313"/>
      <c r="F186" s="313"/>
      <c r="G186" s="313"/>
    </row>
    <row r="187">
      <c r="A187" s="313"/>
      <c r="B187" s="313"/>
      <c r="C187" s="313"/>
      <c r="D187" s="313"/>
      <c r="E187" s="313"/>
      <c r="F187" s="313"/>
      <c r="G187" s="313"/>
    </row>
    <row r="188">
      <c r="A188" s="313"/>
      <c r="B188" s="313"/>
      <c r="C188" s="313"/>
      <c r="D188" s="313"/>
      <c r="E188" s="313"/>
      <c r="F188" s="313"/>
      <c r="G188" s="313"/>
    </row>
    <row r="189">
      <c r="A189" s="313"/>
      <c r="B189" s="313"/>
      <c r="C189" s="313"/>
      <c r="D189" s="313"/>
      <c r="E189" s="313"/>
      <c r="F189" s="313"/>
      <c r="G189" s="313"/>
    </row>
    <row r="190">
      <c r="A190" s="313"/>
      <c r="B190" s="313"/>
      <c r="C190" s="313"/>
      <c r="D190" s="313"/>
      <c r="E190" s="313"/>
      <c r="F190" s="313"/>
      <c r="G190" s="313"/>
    </row>
    <row r="191">
      <c r="A191" s="313"/>
      <c r="B191" s="313"/>
      <c r="C191" s="313"/>
      <c r="D191" s="313"/>
      <c r="E191" s="313"/>
      <c r="F191" s="313"/>
      <c r="G191" s="313"/>
    </row>
    <row r="192">
      <c r="A192" s="313"/>
      <c r="B192" s="313"/>
      <c r="C192" s="313"/>
      <c r="D192" s="313"/>
      <c r="E192" s="313"/>
      <c r="F192" s="313"/>
      <c r="G192" s="313"/>
    </row>
    <row r="193">
      <c r="A193" s="313"/>
      <c r="B193" s="313"/>
      <c r="C193" s="313"/>
      <c r="D193" s="313"/>
      <c r="E193" s="313"/>
      <c r="F193" s="313"/>
      <c r="G193" s="313"/>
    </row>
    <row r="194">
      <c r="A194" s="313"/>
      <c r="B194" s="313"/>
      <c r="C194" s="313"/>
      <c r="D194" s="313"/>
      <c r="E194" s="313"/>
      <c r="F194" s="313"/>
      <c r="G194" s="313"/>
    </row>
    <row r="195">
      <c r="A195" s="313"/>
      <c r="B195" s="313"/>
      <c r="C195" s="313"/>
      <c r="D195" s="313"/>
      <c r="E195" s="313"/>
      <c r="F195" s="313"/>
      <c r="G195" s="313"/>
    </row>
    <row r="196">
      <c r="A196" s="313"/>
      <c r="B196" s="313"/>
      <c r="C196" s="313"/>
      <c r="D196" s="313"/>
      <c r="E196" s="313"/>
      <c r="F196" s="313"/>
      <c r="G196" s="313"/>
    </row>
    <row r="197">
      <c r="A197" s="313"/>
      <c r="B197" s="313"/>
      <c r="C197" s="313"/>
      <c r="D197" s="313"/>
      <c r="E197" s="313"/>
      <c r="F197" s="313"/>
      <c r="G197" s="313"/>
    </row>
    <row r="198">
      <c r="A198" s="313"/>
      <c r="B198" s="313"/>
      <c r="C198" s="313"/>
      <c r="D198" s="313"/>
      <c r="E198" s="313"/>
      <c r="F198" s="313"/>
      <c r="G198" s="313"/>
    </row>
    <row r="199">
      <c r="A199" s="313"/>
      <c r="B199" s="313"/>
      <c r="C199" s="313"/>
      <c r="D199" s="313"/>
      <c r="E199" s="313"/>
      <c r="F199" s="313"/>
      <c r="G199" s="313"/>
    </row>
    <row r="200">
      <c r="A200" s="313"/>
      <c r="B200" s="313"/>
      <c r="C200" s="313"/>
      <c r="D200" s="313"/>
      <c r="E200" s="313"/>
      <c r="F200" s="313"/>
      <c r="G200" s="313"/>
    </row>
    <row r="201">
      <c r="A201" s="313"/>
      <c r="B201" s="313"/>
      <c r="C201" s="313"/>
      <c r="D201" s="313"/>
      <c r="E201" s="313"/>
      <c r="F201" s="313"/>
      <c r="G201" s="313"/>
    </row>
    <row r="202">
      <c r="A202" s="313"/>
      <c r="B202" s="313"/>
      <c r="C202" s="313"/>
      <c r="D202" s="313"/>
      <c r="E202" s="313"/>
      <c r="F202" s="313"/>
      <c r="G202" s="313"/>
    </row>
    <row r="203">
      <c r="A203" s="313"/>
      <c r="B203" s="313"/>
      <c r="C203" s="313"/>
      <c r="D203" s="313"/>
      <c r="E203" s="313"/>
      <c r="F203" s="313"/>
      <c r="G203" s="313"/>
    </row>
    <row r="204">
      <c r="A204" s="313"/>
      <c r="B204" s="313"/>
      <c r="C204" s="313"/>
      <c r="D204" s="313"/>
      <c r="E204" s="313"/>
      <c r="F204" s="313"/>
      <c r="G204" s="313"/>
    </row>
    <row r="205">
      <c r="A205" s="313"/>
      <c r="B205" s="313"/>
      <c r="C205" s="313"/>
      <c r="D205" s="313"/>
      <c r="E205" s="313"/>
      <c r="F205" s="313"/>
      <c r="G205" s="313"/>
    </row>
    <row r="206">
      <c r="A206" s="313"/>
      <c r="B206" s="313"/>
      <c r="C206" s="313"/>
      <c r="D206" s="313"/>
      <c r="E206" s="313"/>
      <c r="F206" s="313"/>
      <c r="G206" s="313"/>
    </row>
    <row r="207">
      <c r="A207" s="313"/>
      <c r="B207" s="313"/>
      <c r="C207" s="313"/>
      <c r="D207" s="313"/>
      <c r="E207" s="313"/>
      <c r="F207" s="313"/>
      <c r="G207" s="313"/>
    </row>
    <row r="208">
      <c r="A208" s="313"/>
      <c r="B208" s="313"/>
      <c r="C208" s="313"/>
      <c r="D208" s="313"/>
      <c r="E208" s="313"/>
      <c r="F208" s="313"/>
      <c r="G208" s="313"/>
    </row>
    <row r="209">
      <c r="A209" s="313"/>
      <c r="B209" s="313"/>
      <c r="C209" s="313"/>
      <c r="D209" s="313"/>
      <c r="E209" s="313"/>
      <c r="F209" s="313"/>
      <c r="G209" s="313"/>
    </row>
    <row r="210">
      <c r="A210" s="313"/>
      <c r="B210" s="313"/>
      <c r="C210" s="313"/>
      <c r="D210" s="313"/>
      <c r="E210" s="313"/>
      <c r="F210" s="313"/>
      <c r="G210" s="313"/>
    </row>
    <row r="211">
      <c r="A211" s="313"/>
      <c r="B211" s="313"/>
      <c r="C211" s="313"/>
      <c r="D211" s="313"/>
      <c r="E211" s="313"/>
      <c r="F211" s="313"/>
      <c r="G211" s="313"/>
    </row>
    <row r="212">
      <c r="A212" s="313"/>
      <c r="B212" s="313"/>
      <c r="C212" s="313"/>
      <c r="D212" s="313"/>
      <c r="E212" s="313"/>
      <c r="F212" s="313"/>
      <c r="G212" s="313"/>
    </row>
    <row r="213">
      <c r="A213" s="313"/>
      <c r="B213" s="313"/>
      <c r="C213" s="313"/>
      <c r="D213" s="313"/>
      <c r="E213" s="313"/>
      <c r="F213" s="313"/>
      <c r="G213" s="313"/>
    </row>
    <row r="214">
      <c r="A214" s="313"/>
      <c r="B214" s="313"/>
      <c r="C214" s="313"/>
      <c r="D214" s="313"/>
      <c r="E214" s="313"/>
      <c r="F214" s="313"/>
      <c r="G214" s="313"/>
    </row>
    <row r="215">
      <c r="A215" s="313"/>
      <c r="B215" s="313"/>
      <c r="C215" s="313"/>
      <c r="D215" s="313"/>
      <c r="E215" s="313"/>
      <c r="F215" s="313"/>
      <c r="G215" s="313"/>
    </row>
    <row r="216">
      <c r="A216" s="313"/>
      <c r="B216" s="313"/>
      <c r="C216" s="313"/>
      <c r="D216" s="313"/>
      <c r="E216" s="313"/>
      <c r="F216" s="313"/>
      <c r="G216" s="313"/>
    </row>
    <row r="217">
      <c r="A217" s="313"/>
      <c r="B217" s="313"/>
      <c r="C217" s="313"/>
      <c r="D217" s="313"/>
      <c r="E217" s="313"/>
      <c r="F217" s="313"/>
      <c r="G217" s="313"/>
    </row>
    <row r="218">
      <c r="A218" s="313"/>
      <c r="B218" s="313"/>
      <c r="C218" s="313"/>
      <c r="D218" s="313"/>
      <c r="E218" s="313"/>
      <c r="F218" s="313"/>
      <c r="G218" s="313"/>
    </row>
    <row r="219">
      <c r="A219" s="313"/>
      <c r="B219" s="313"/>
      <c r="C219" s="313"/>
      <c r="D219" s="313"/>
      <c r="E219" s="313"/>
      <c r="F219" s="313"/>
      <c r="G219" s="313"/>
    </row>
    <row r="220">
      <c r="A220" s="313"/>
      <c r="B220" s="313"/>
      <c r="C220" s="313"/>
      <c r="D220" s="313"/>
      <c r="E220" s="313"/>
      <c r="F220" s="313"/>
      <c r="G220" s="313"/>
    </row>
    <row r="221">
      <c r="A221" s="313"/>
      <c r="B221" s="313"/>
      <c r="C221" s="313"/>
      <c r="D221" s="313"/>
      <c r="E221" s="313"/>
      <c r="F221" s="313"/>
      <c r="G221" s="313"/>
    </row>
    <row r="222">
      <c r="A222" s="313"/>
      <c r="B222" s="313"/>
      <c r="C222" s="313"/>
      <c r="D222" s="313"/>
      <c r="E222" s="313"/>
      <c r="F222" s="313"/>
      <c r="G222" s="313"/>
    </row>
    <row r="223">
      <c r="A223" s="313"/>
      <c r="B223" s="313"/>
      <c r="C223" s="313"/>
      <c r="D223" s="313"/>
      <c r="E223" s="313"/>
      <c r="F223" s="313"/>
      <c r="G223" s="313"/>
    </row>
    <row r="224">
      <c r="A224" s="313"/>
      <c r="B224" s="313"/>
      <c r="C224" s="313"/>
      <c r="D224" s="313"/>
      <c r="E224" s="313"/>
      <c r="F224" s="313"/>
      <c r="G224" s="313"/>
    </row>
    <row r="225">
      <c r="A225" s="313"/>
      <c r="B225" s="313"/>
      <c r="C225" s="313"/>
      <c r="D225" s="313"/>
      <c r="E225" s="313"/>
      <c r="F225" s="313"/>
      <c r="G225" s="313"/>
    </row>
    <row r="226">
      <c r="A226" s="313"/>
      <c r="B226" s="313"/>
      <c r="C226" s="313"/>
      <c r="D226" s="313"/>
      <c r="E226" s="313"/>
      <c r="F226" s="313"/>
      <c r="G226" s="313"/>
    </row>
    <row r="227">
      <c r="A227" s="313"/>
      <c r="B227" s="313"/>
      <c r="C227" s="313"/>
      <c r="D227" s="313"/>
      <c r="E227" s="313"/>
      <c r="F227" s="313"/>
      <c r="G227" s="313"/>
    </row>
    <row r="228">
      <c r="A228" s="313"/>
      <c r="B228" s="313"/>
      <c r="C228" s="313"/>
      <c r="D228" s="313"/>
      <c r="E228" s="313"/>
      <c r="F228" s="313"/>
      <c r="G228" s="313"/>
    </row>
    <row r="229">
      <c r="A229" s="313"/>
      <c r="B229" s="313"/>
      <c r="C229" s="313"/>
      <c r="D229" s="313"/>
      <c r="E229" s="313"/>
      <c r="F229" s="313"/>
      <c r="G229" s="313"/>
    </row>
    <row r="230">
      <c r="A230" s="313"/>
      <c r="B230" s="313"/>
      <c r="C230" s="313"/>
      <c r="D230" s="313"/>
      <c r="E230" s="313"/>
      <c r="F230" s="313"/>
      <c r="G230" s="313"/>
    </row>
    <row r="231">
      <c r="A231" s="313"/>
      <c r="B231" s="313"/>
      <c r="C231" s="313"/>
      <c r="D231" s="313"/>
      <c r="E231" s="313"/>
      <c r="F231" s="313"/>
      <c r="G231" s="313"/>
    </row>
    <row r="232">
      <c r="A232" s="313"/>
      <c r="B232" s="313"/>
      <c r="C232" s="313"/>
      <c r="D232" s="313"/>
      <c r="E232" s="313"/>
      <c r="F232" s="313"/>
      <c r="G232" s="313"/>
    </row>
    <row r="233">
      <c r="A233" s="313"/>
      <c r="B233" s="313"/>
      <c r="C233" s="313"/>
      <c r="D233" s="313"/>
      <c r="E233" s="313"/>
      <c r="F233" s="313"/>
      <c r="G233" s="313"/>
    </row>
    <row r="234">
      <c r="A234" s="313"/>
      <c r="B234" s="313"/>
      <c r="C234" s="313"/>
      <c r="D234" s="313"/>
      <c r="E234" s="313"/>
      <c r="F234" s="313"/>
      <c r="G234" s="313"/>
    </row>
    <row r="235">
      <c r="A235" s="313"/>
      <c r="B235" s="313"/>
      <c r="C235" s="313"/>
      <c r="D235" s="313"/>
      <c r="E235" s="313"/>
      <c r="F235" s="313"/>
      <c r="G235" s="313"/>
    </row>
    <row r="236">
      <c r="A236" s="313"/>
      <c r="B236" s="313"/>
      <c r="C236" s="313"/>
      <c r="D236" s="313"/>
      <c r="E236" s="313"/>
      <c r="F236" s="313"/>
      <c r="G236" s="313"/>
    </row>
    <row r="237">
      <c r="A237" s="313"/>
      <c r="B237" s="313"/>
      <c r="C237" s="313"/>
      <c r="D237" s="313"/>
      <c r="E237" s="313"/>
      <c r="F237" s="313"/>
      <c r="G237" s="313"/>
    </row>
    <row r="238">
      <c r="A238" s="313"/>
      <c r="B238" s="313"/>
      <c r="C238" s="313"/>
      <c r="D238" s="313"/>
      <c r="E238" s="313"/>
      <c r="F238" s="313"/>
      <c r="G238" s="313"/>
    </row>
    <row r="239">
      <c r="A239" s="313"/>
      <c r="B239" s="313"/>
      <c r="C239" s="313"/>
      <c r="D239" s="313"/>
      <c r="E239" s="313"/>
      <c r="F239" s="313"/>
      <c r="G239" s="313"/>
    </row>
    <row r="240">
      <c r="A240" s="313"/>
      <c r="B240" s="313"/>
      <c r="C240" s="313"/>
      <c r="D240" s="313"/>
      <c r="E240" s="313"/>
      <c r="F240" s="313"/>
      <c r="G240" s="313"/>
    </row>
    <row r="241">
      <c r="A241" s="313"/>
      <c r="B241" s="313"/>
      <c r="C241" s="313"/>
      <c r="D241" s="313"/>
      <c r="E241" s="313"/>
      <c r="F241" s="313"/>
      <c r="G241" s="313"/>
    </row>
    <row r="242">
      <c r="A242" s="313"/>
      <c r="B242" s="313"/>
      <c r="C242" s="313"/>
      <c r="D242" s="313"/>
      <c r="E242" s="313"/>
      <c r="F242" s="313"/>
      <c r="G242" s="313"/>
    </row>
    <row r="243">
      <c r="A243" s="313"/>
      <c r="B243" s="313"/>
      <c r="C243" s="313"/>
      <c r="D243" s="313"/>
      <c r="E243" s="313"/>
      <c r="F243" s="313"/>
      <c r="G243" s="313"/>
    </row>
    <row r="244">
      <c r="A244" s="313"/>
      <c r="B244" s="313"/>
      <c r="C244" s="313"/>
      <c r="D244" s="313"/>
      <c r="E244" s="313"/>
      <c r="F244" s="313"/>
      <c r="G244" s="313"/>
    </row>
    <row r="245">
      <c r="A245" s="313"/>
      <c r="B245" s="313"/>
      <c r="C245" s="313"/>
      <c r="D245" s="313"/>
      <c r="E245" s="313"/>
      <c r="F245" s="313"/>
      <c r="G245" s="313"/>
    </row>
    <row r="246">
      <c r="A246" s="313"/>
      <c r="B246" s="313"/>
      <c r="C246" s="313"/>
      <c r="D246" s="313"/>
      <c r="E246" s="313"/>
      <c r="F246" s="313"/>
      <c r="G246" s="313"/>
    </row>
    <row r="247">
      <c r="A247" s="313"/>
      <c r="B247" s="313"/>
      <c r="C247" s="313"/>
      <c r="D247" s="313"/>
      <c r="E247" s="313"/>
      <c r="F247" s="313"/>
      <c r="G247" s="313"/>
    </row>
    <row r="248">
      <c r="A248" s="313"/>
      <c r="B248" s="313"/>
      <c r="C248" s="313"/>
      <c r="D248" s="313"/>
      <c r="E248" s="313"/>
      <c r="F248" s="313"/>
      <c r="G248" s="313"/>
    </row>
    <row r="249">
      <c r="A249" s="313"/>
      <c r="B249" s="313"/>
      <c r="C249" s="313"/>
      <c r="D249" s="313"/>
      <c r="E249" s="313"/>
      <c r="F249" s="313"/>
      <c r="G249" s="313"/>
    </row>
    <row r="250">
      <c r="A250" s="313"/>
      <c r="B250" s="313"/>
      <c r="C250" s="313"/>
      <c r="D250" s="313"/>
      <c r="E250" s="313"/>
      <c r="F250" s="313"/>
      <c r="G250" s="313"/>
    </row>
    <row r="251">
      <c r="A251" s="313"/>
      <c r="B251" s="313"/>
      <c r="C251" s="313"/>
      <c r="D251" s="313"/>
      <c r="E251" s="313"/>
      <c r="F251" s="313"/>
      <c r="G251" s="313"/>
    </row>
    <row r="252">
      <c r="A252" s="313"/>
      <c r="B252" s="313"/>
      <c r="C252" s="313"/>
      <c r="D252" s="313"/>
      <c r="E252" s="313"/>
      <c r="F252" s="313"/>
      <c r="G252" s="313"/>
    </row>
    <row r="253">
      <c r="A253" s="313"/>
      <c r="B253" s="313"/>
      <c r="C253" s="313"/>
      <c r="D253" s="313"/>
      <c r="E253" s="313"/>
      <c r="F253" s="313"/>
      <c r="G253" s="313"/>
    </row>
    <row r="254">
      <c r="A254" s="313"/>
      <c r="B254" s="313"/>
      <c r="C254" s="313"/>
      <c r="D254" s="313"/>
      <c r="E254" s="313"/>
      <c r="F254" s="313"/>
      <c r="G254" s="313"/>
    </row>
    <row r="255">
      <c r="A255" s="313"/>
      <c r="B255" s="313"/>
      <c r="C255" s="313"/>
      <c r="D255" s="313"/>
      <c r="E255" s="313"/>
      <c r="F255" s="313"/>
      <c r="G255" s="313"/>
    </row>
    <row r="256">
      <c r="A256" s="313"/>
      <c r="B256" s="313"/>
      <c r="C256" s="313"/>
      <c r="D256" s="313"/>
      <c r="E256" s="313"/>
      <c r="F256" s="313"/>
      <c r="G256" s="313"/>
    </row>
    <row r="257">
      <c r="A257" s="313"/>
      <c r="B257" s="313"/>
      <c r="C257" s="313"/>
      <c r="D257" s="313"/>
      <c r="E257" s="313"/>
      <c r="F257" s="313"/>
      <c r="G257" s="313"/>
    </row>
    <row r="258">
      <c r="A258" s="313"/>
      <c r="B258" s="313"/>
      <c r="C258" s="313"/>
      <c r="D258" s="313"/>
      <c r="E258" s="313"/>
      <c r="F258" s="313"/>
      <c r="G258" s="313"/>
    </row>
    <row r="259">
      <c r="A259" s="313"/>
      <c r="B259" s="313"/>
      <c r="C259" s="313"/>
      <c r="D259" s="313"/>
      <c r="E259" s="313"/>
      <c r="F259" s="313"/>
      <c r="G259" s="313"/>
    </row>
    <row r="260">
      <c r="A260" s="313"/>
      <c r="B260" s="313"/>
      <c r="C260" s="313"/>
      <c r="D260" s="313"/>
      <c r="E260" s="313"/>
      <c r="F260" s="313"/>
      <c r="G260" s="313"/>
    </row>
    <row r="261">
      <c r="A261" s="313"/>
      <c r="B261" s="313"/>
      <c r="C261" s="313"/>
      <c r="D261" s="313"/>
      <c r="E261" s="313"/>
      <c r="F261" s="313"/>
      <c r="G261" s="313"/>
    </row>
    <row r="262">
      <c r="A262" s="313"/>
      <c r="B262" s="313"/>
      <c r="C262" s="313"/>
      <c r="D262" s="313"/>
      <c r="E262" s="313"/>
      <c r="F262" s="313"/>
      <c r="G262" s="313"/>
    </row>
    <row r="263">
      <c r="A263" s="313"/>
      <c r="B263" s="313"/>
      <c r="C263" s="313"/>
      <c r="D263" s="313"/>
      <c r="E263" s="313"/>
      <c r="F263" s="313"/>
      <c r="G263" s="313"/>
    </row>
    <row r="264">
      <c r="A264" s="313"/>
      <c r="B264" s="313"/>
      <c r="C264" s="313"/>
      <c r="D264" s="313"/>
      <c r="E264" s="313"/>
      <c r="F264" s="313"/>
      <c r="G264" s="313"/>
    </row>
    <row r="265">
      <c r="A265" s="313"/>
      <c r="B265" s="313"/>
      <c r="C265" s="313"/>
      <c r="D265" s="313"/>
      <c r="E265" s="313"/>
      <c r="F265" s="313"/>
      <c r="G265" s="313"/>
    </row>
    <row r="266">
      <c r="A266" s="313"/>
      <c r="B266" s="313"/>
      <c r="C266" s="313"/>
      <c r="D266" s="313"/>
      <c r="E266" s="313"/>
      <c r="F266" s="313"/>
      <c r="G266" s="313"/>
    </row>
    <row r="267">
      <c r="A267" s="313"/>
      <c r="B267" s="313"/>
      <c r="C267" s="313"/>
      <c r="D267" s="313"/>
      <c r="E267" s="313"/>
      <c r="F267" s="313"/>
      <c r="G267" s="313"/>
    </row>
    <row r="268">
      <c r="A268" s="313"/>
      <c r="B268" s="313"/>
      <c r="C268" s="313"/>
      <c r="D268" s="313"/>
      <c r="E268" s="313"/>
      <c r="F268" s="313"/>
      <c r="G268" s="313"/>
    </row>
    <row r="269">
      <c r="A269" s="313"/>
      <c r="B269" s="313"/>
      <c r="C269" s="313"/>
      <c r="D269" s="313"/>
      <c r="E269" s="313"/>
      <c r="F269" s="313"/>
      <c r="G269" s="313"/>
    </row>
    <row r="270">
      <c r="A270" s="313"/>
      <c r="B270" s="313"/>
      <c r="C270" s="313"/>
      <c r="D270" s="313"/>
      <c r="E270" s="313"/>
      <c r="F270" s="313"/>
      <c r="G270" s="313"/>
    </row>
    <row r="271">
      <c r="A271" s="313"/>
      <c r="B271" s="313"/>
      <c r="C271" s="313"/>
      <c r="D271" s="313"/>
      <c r="E271" s="313"/>
      <c r="F271" s="313"/>
      <c r="G271" s="313"/>
    </row>
    <row r="272">
      <c r="A272" s="313"/>
      <c r="B272" s="313"/>
      <c r="C272" s="313"/>
      <c r="D272" s="313"/>
      <c r="E272" s="313"/>
      <c r="F272" s="313"/>
      <c r="G272" s="313"/>
    </row>
    <row r="273">
      <c r="A273" s="313"/>
      <c r="B273" s="313"/>
      <c r="C273" s="313"/>
      <c r="D273" s="313"/>
      <c r="E273" s="313"/>
      <c r="F273" s="313"/>
      <c r="G273" s="313"/>
    </row>
    <row r="274">
      <c r="A274" s="313"/>
      <c r="B274" s="313"/>
      <c r="C274" s="313"/>
      <c r="D274" s="313"/>
      <c r="E274" s="313"/>
      <c r="F274" s="313"/>
      <c r="G274" s="313"/>
    </row>
    <row r="275">
      <c r="A275" s="313"/>
      <c r="B275" s="313"/>
      <c r="C275" s="313"/>
      <c r="D275" s="313"/>
      <c r="E275" s="313"/>
      <c r="F275" s="313"/>
      <c r="G275" s="313"/>
    </row>
    <row r="276">
      <c r="A276" s="313"/>
      <c r="B276" s="313"/>
      <c r="C276" s="313"/>
      <c r="D276" s="313"/>
      <c r="E276" s="313"/>
      <c r="F276" s="313"/>
      <c r="G276" s="313"/>
    </row>
    <row r="277">
      <c r="A277" s="313"/>
      <c r="B277" s="313"/>
      <c r="C277" s="313"/>
      <c r="D277" s="313"/>
      <c r="E277" s="313"/>
      <c r="F277" s="313"/>
      <c r="G277" s="313"/>
    </row>
    <row r="278">
      <c r="A278" s="313"/>
      <c r="B278" s="313"/>
      <c r="C278" s="313"/>
      <c r="D278" s="313"/>
      <c r="E278" s="313"/>
      <c r="F278" s="313"/>
      <c r="G278" s="313"/>
    </row>
    <row r="279">
      <c r="A279" s="313"/>
      <c r="B279" s="313"/>
      <c r="C279" s="313"/>
      <c r="D279" s="313"/>
      <c r="E279" s="313"/>
      <c r="F279" s="313"/>
      <c r="G279" s="313"/>
    </row>
    <row r="280">
      <c r="A280" s="313"/>
      <c r="B280" s="313"/>
      <c r="C280" s="313"/>
      <c r="D280" s="313"/>
      <c r="E280" s="313"/>
      <c r="F280" s="313"/>
      <c r="G280" s="313"/>
    </row>
    <row r="281">
      <c r="A281" s="313"/>
      <c r="B281" s="313"/>
      <c r="C281" s="313"/>
      <c r="D281" s="313"/>
      <c r="E281" s="313"/>
      <c r="F281" s="313"/>
      <c r="G281" s="313"/>
    </row>
    <row r="282">
      <c r="A282" s="313"/>
      <c r="B282" s="313"/>
      <c r="C282" s="313"/>
      <c r="D282" s="313"/>
      <c r="E282" s="313"/>
      <c r="F282" s="313"/>
      <c r="G282" s="313"/>
    </row>
    <row r="283">
      <c r="A283" s="313"/>
      <c r="B283" s="313"/>
      <c r="C283" s="313"/>
      <c r="D283" s="313"/>
      <c r="E283" s="313"/>
      <c r="F283" s="313"/>
      <c r="G283" s="313"/>
    </row>
    <row r="284">
      <c r="A284" s="313"/>
      <c r="B284" s="313"/>
      <c r="C284" s="313"/>
      <c r="D284" s="313"/>
      <c r="E284" s="313"/>
      <c r="F284" s="313"/>
      <c r="G284" s="313"/>
    </row>
    <row r="285">
      <c r="A285" s="313"/>
      <c r="B285" s="313"/>
      <c r="C285" s="313"/>
      <c r="D285" s="313"/>
      <c r="E285" s="313"/>
      <c r="F285" s="313"/>
      <c r="G285" s="313"/>
    </row>
    <row r="286">
      <c r="A286" s="313"/>
      <c r="B286" s="313"/>
      <c r="C286" s="313"/>
      <c r="D286" s="313"/>
      <c r="E286" s="313"/>
      <c r="F286" s="313"/>
      <c r="G286" s="313"/>
    </row>
    <row r="287">
      <c r="A287" s="313"/>
      <c r="B287" s="313"/>
      <c r="C287" s="313"/>
      <c r="D287" s="313"/>
      <c r="E287" s="313"/>
      <c r="F287" s="313"/>
      <c r="G287" s="313"/>
    </row>
    <row r="288">
      <c r="A288" s="313"/>
      <c r="B288" s="313"/>
      <c r="C288" s="313"/>
      <c r="D288" s="313"/>
      <c r="E288" s="313"/>
      <c r="F288" s="313"/>
      <c r="G288" s="313"/>
    </row>
    <row r="289">
      <c r="A289" s="313"/>
      <c r="B289" s="313"/>
      <c r="C289" s="313"/>
      <c r="D289" s="313"/>
      <c r="E289" s="313"/>
      <c r="F289" s="313"/>
      <c r="G289" s="313"/>
    </row>
    <row r="290">
      <c r="A290" s="313"/>
      <c r="B290" s="313"/>
      <c r="C290" s="313"/>
      <c r="D290" s="313"/>
      <c r="E290" s="313"/>
      <c r="F290" s="313"/>
      <c r="G290" s="313"/>
    </row>
    <row r="291">
      <c r="A291" s="313"/>
      <c r="B291" s="313"/>
      <c r="C291" s="313"/>
      <c r="D291" s="313"/>
      <c r="E291" s="313"/>
      <c r="F291" s="313"/>
      <c r="G291" s="313"/>
    </row>
    <row r="292">
      <c r="A292" s="313"/>
      <c r="B292" s="313"/>
      <c r="C292" s="313"/>
      <c r="D292" s="313"/>
      <c r="E292" s="313"/>
      <c r="F292" s="313"/>
      <c r="G292" s="313"/>
    </row>
    <row r="293">
      <c r="A293" s="313"/>
      <c r="B293" s="313"/>
      <c r="C293" s="313"/>
      <c r="D293" s="313"/>
      <c r="E293" s="313"/>
      <c r="F293" s="313"/>
      <c r="G293" s="313"/>
    </row>
    <row r="294">
      <c r="A294" s="313"/>
      <c r="B294" s="313"/>
      <c r="C294" s="313"/>
      <c r="D294" s="313"/>
      <c r="E294" s="313"/>
      <c r="F294" s="313"/>
      <c r="G294" s="313"/>
    </row>
    <row r="295">
      <c r="A295" s="313"/>
      <c r="B295" s="313"/>
      <c r="C295" s="313"/>
      <c r="D295" s="313"/>
      <c r="E295" s="313"/>
      <c r="F295" s="313"/>
      <c r="G295" s="313"/>
    </row>
    <row r="296">
      <c r="A296" s="313"/>
      <c r="B296" s="313"/>
      <c r="C296" s="313"/>
      <c r="D296" s="313"/>
      <c r="E296" s="313"/>
      <c r="F296" s="313"/>
      <c r="G296" s="313"/>
    </row>
    <row r="297">
      <c r="A297" s="313"/>
      <c r="B297" s="313"/>
      <c r="C297" s="313"/>
      <c r="D297" s="313"/>
      <c r="E297" s="313"/>
      <c r="F297" s="313"/>
      <c r="G297" s="313"/>
    </row>
    <row r="298">
      <c r="A298" s="313"/>
      <c r="B298" s="313"/>
      <c r="C298" s="313"/>
      <c r="D298" s="313"/>
      <c r="E298" s="313"/>
      <c r="F298" s="313"/>
      <c r="G298" s="313"/>
    </row>
    <row r="299">
      <c r="A299" s="313"/>
      <c r="B299" s="313"/>
      <c r="C299" s="313"/>
      <c r="D299" s="313"/>
      <c r="E299" s="313"/>
      <c r="F299" s="313"/>
      <c r="G299" s="313"/>
    </row>
    <row r="300">
      <c r="A300" s="313"/>
      <c r="B300" s="313"/>
      <c r="C300" s="313"/>
      <c r="D300" s="313"/>
      <c r="E300" s="313"/>
      <c r="F300" s="313"/>
      <c r="G300" s="313"/>
    </row>
    <row r="301">
      <c r="A301" s="313"/>
      <c r="B301" s="313"/>
      <c r="C301" s="313"/>
      <c r="D301" s="313"/>
      <c r="E301" s="313"/>
      <c r="F301" s="313"/>
      <c r="G301" s="313"/>
    </row>
    <row r="302">
      <c r="A302" s="313"/>
      <c r="B302" s="313"/>
      <c r="C302" s="313"/>
      <c r="D302" s="313"/>
      <c r="E302" s="313"/>
      <c r="F302" s="313"/>
      <c r="G302" s="313"/>
    </row>
    <row r="303">
      <c r="A303" s="313"/>
      <c r="B303" s="313"/>
      <c r="C303" s="313"/>
      <c r="D303" s="313"/>
      <c r="E303" s="313"/>
      <c r="F303" s="313"/>
      <c r="G303" s="313"/>
    </row>
    <row r="304">
      <c r="A304" s="313"/>
      <c r="B304" s="313"/>
      <c r="C304" s="313"/>
      <c r="D304" s="313"/>
      <c r="E304" s="313"/>
      <c r="F304" s="313"/>
      <c r="G304" s="313"/>
    </row>
    <row r="305">
      <c r="A305" s="313"/>
      <c r="B305" s="313"/>
      <c r="C305" s="313"/>
      <c r="D305" s="313"/>
      <c r="E305" s="313"/>
      <c r="F305" s="313"/>
      <c r="G305" s="313"/>
    </row>
    <row r="306">
      <c r="A306" s="313"/>
      <c r="B306" s="313"/>
      <c r="C306" s="313"/>
      <c r="D306" s="313"/>
      <c r="E306" s="313"/>
      <c r="F306" s="313"/>
      <c r="G306" s="313"/>
    </row>
    <row r="307">
      <c r="A307" s="313"/>
      <c r="B307" s="313"/>
      <c r="C307" s="313"/>
      <c r="D307" s="313"/>
      <c r="E307" s="313"/>
      <c r="F307" s="313"/>
      <c r="G307" s="313"/>
    </row>
    <row r="308">
      <c r="A308" s="313"/>
      <c r="B308" s="313"/>
      <c r="C308" s="313"/>
      <c r="D308" s="313"/>
      <c r="E308" s="313"/>
      <c r="F308" s="313"/>
      <c r="G308" s="313"/>
    </row>
    <row r="309">
      <c r="A309" s="313"/>
      <c r="B309" s="313"/>
      <c r="C309" s="313"/>
      <c r="D309" s="313"/>
      <c r="E309" s="313"/>
      <c r="F309" s="313"/>
      <c r="G309" s="313"/>
    </row>
    <row r="310">
      <c r="A310" s="313"/>
      <c r="B310" s="313"/>
      <c r="C310" s="313"/>
      <c r="D310" s="313"/>
      <c r="E310" s="313"/>
      <c r="F310" s="313"/>
      <c r="G310" s="313"/>
    </row>
    <row r="311">
      <c r="A311" s="313"/>
      <c r="B311" s="313"/>
      <c r="C311" s="313"/>
      <c r="D311" s="313"/>
      <c r="E311" s="313"/>
      <c r="F311" s="313"/>
      <c r="G311" s="313"/>
    </row>
    <row r="312">
      <c r="A312" s="313"/>
      <c r="B312" s="313"/>
      <c r="C312" s="313"/>
      <c r="D312" s="313"/>
      <c r="E312" s="313"/>
      <c r="F312" s="313"/>
      <c r="G312" s="313"/>
    </row>
    <row r="313">
      <c r="A313" s="313"/>
      <c r="B313" s="313"/>
      <c r="C313" s="313"/>
      <c r="D313" s="313"/>
      <c r="E313" s="313"/>
      <c r="F313" s="313"/>
      <c r="G313" s="313"/>
    </row>
    <row r="314">
      <c r="A314" s="313"/>
      <c r="B314" s="313"/>
      <c r="C314" s="313"/>
      <c r="D314" s="313"/>
      <c r="E314" s="313"/>
      <c r="F314" s="313"/>
      <c r="G314" s="313"/>
    </row>
    <row r="315">
      <c r="A315" s="313"/>
      <c r="B315" s="313"/>
      <c r="C315" s="313"/>
      <c r="D315" s="313"/>
      <c r="E315" s="313"/>
      <c r="F315" s="313"/>
      <c r="G315" s="313"/>
    </row>
    <row r="316">
      <c r="A316" s="313"/>
      <c r="B316" s="313"/>
      <c r="C316" s="313"/>
      <c r="D316" s="313"/>
      <c r="E316" s="313"/>
      <c r="F316" s="313"/>
      <c r="G316" s="313"/>
    </row>
    <row r="317">
      <c r="A317" s="313"/>
      <c r="B317" s="313"/>
      <c r="C317" s="313"/>
      <c r="D317" s="313"/>
      <c r="E317" s="313"/>
      <c r="F317" s="313"/>
      <c r="G317" s="313"/>
    </row>
    <row r="318">
      <c r="A318" s="313"/>
      <c r="B318" s="313"/>
      <c r="C318" s="313"/>
      <c r="D318" s="313"/>
      <c r="E318" s="313"/>
      <c r="F318" s="313"/>
      <c r="G318" s="313"/>
    </row>
    <row r="319">
      <c r="A319" s="313"/>
      <c r="B319" s="313"/>
      <c r="C319" s="313"/>
      <c r="D319" s="313"/>
      <c r="E319" s="313"/>
      <c r="F319" s="313"/>
      <c r="G319" s="313"/>
    </row>
    <row r="320">
      <c r="A320" s="313"/>
      <c r="B320" s="313"/>
      <c r="C320" s="313"/>
      <c r="D320" s="313"/>
      <c r="E320" s="313"/>
      <c r="F320" s="313"/>
      <c r="G320" s="313"/>
    </row>
    <row r="321">
      <c r="A321" s="313"/>
      <c r="B321" s="313"/>
      <c r="C321" s="313"/>
      <c r="D321" s="313"/>
      <c r="E321" s="313"/>
      <c r="F321" s="313"/>
      <c r="G321" s="313"/>
    </row>
    <row r="322">
      <c r="A322" s="313"/>
      <c r="B322" s="313"/>
      <c r="C322" s="313"/>
      <c r="D322" s="313"/>
      <c r="E322" s="313"/>
      <c r="F322" s="313"/>
      <c r="G322" s="313"/>
    </row>
    <row r="323">
      <c r="A323" s="313"/>
      <c r="B323" s="313"/>
      <c r="C323" s="313"/>
      <c r="D323" s="313"/>
      <c r="E323" s="313"/>
      <c r="F323" s="313"/>
      <c r="G323" s="313"/>
    </row>
    <row r="324">
      <c r="A324" s="313"/>
      <c r="B324" s="313"/>
      <c r="C324" s="313"/>
      <c r="D324" s="313"/>
      <c r="E324" s="313"/>
      <c r="F324" s="313"/>
      <c r="G324" s="313"/>
    </row>
    <row r="325">
      <c r="A325" s="313"/>
      <c r="B325" s="313"/>
      <c r="C325" s="313"/>
      <c r="D325" s="313"/>
      <c r="E325" s="313"/>
      <c r="F325" s="313"/>
      <c r="G325" s="313"/>
    </row>
    <row r="326">
      <c r="A326" s="313"/>
      <c r="B326" s="313"/>
      <c r="C326" s="313"/>
      <c r="D326" s="313"/>
      <c r="E326" s="313"/>
      <c r="F326" s="313"/>
      <c r="G326" s="313"/>
    </row>
    <row r="327">
      <c r="A327" s="313"/>
      <c r="B327" s="313"/>
      <c r="C327" s="313"/>
      <c r="D327" s="313"/>
      <c r="E327" s="313"/>
      <c r="F327" s="313"/>
      <c r="G327" s="313"/>
    </row>
    <row r="328">
      <c r="A328" s="313"/>
      <c r="B328" s="313"/>
      <c r="C328" s="313"/>
      <c r="D328" s="313"/>
      <c r="E328" s="313"/>
      <c r="F328" s="313"/>
      <c r="G328" s="313"/>
    </row>
    <row r="329">
      <c r="A329" s="313"/>
      <c r="B329" s="313"/>
      <c r="C329" s="313"/>
      <c r="D329" s="313"/>
      <c r="E329" s="313"/>
      <c r="F329" s="313"/>
      <c r="G329" s="313"/>
    </row>
    <row r="330">
      <c r="A330" s="313"/>
      <c r="B330" s="313"/>
      <c r="C330" s="313"/>
      <c r="D330" s="313"/>
      <c r="E330" s="313"/>
      <c r="F330" s="313"/>
      <c r="G330" s="313"/>
    </row>
    <row r="331">
      <c r="A331" s="313"/>
      <c r="B331" s="313"/>
      <c r="C331" s="313"/>
      <c r="D331" s="313"/>
      <c r="E331" s="313"/>
      <c r="F331" s="313"/>
      <c r="G331" s="313"/>
    </row>
    <row r="332">
      <c r="A332" s="313"/>
      <c r="B332" s="313"/>
      <c r="C332" s="313"/>
      <c r="D332" s="313"/>
      <c r="E332" s="313"/>
      <c r="F332" s="313"/>
      <c r="G332" s="313"/>
    </row>
    <row r="333">
      <c r="A333" s="313"/>
      <c r="B333" s="313"/>
      <c r="C333" s="313"/>
      <c r="D333" s="313"/>
      <c r="E333" s="313"/>
      <c r="F333" s="313"/>
      <c r="G333" s="313"/>
    </row>
    <row r="334">
      <c r="A334" s="313"/>
      <c r="B334" s="313"/>
      <c r="C334" s="313"/>
      <c r="D334" s="313"/>
      <c r="E334" s="313"/>
      <c r="F334" s="313"/>
      <c r="G334" s="313"/>
    </row>
    <row r="335">
      <c r="A335" s="313"/>
      <c r="B335" s="313"/>
      <c r="C335" s="313"/>
      <c r="D335" s="313"/>
      <c r="E335" s="313"/>
      <c r="F335" s="313"/>
      <c r="G335" s="313"/>
    </row>
    <row r="336">
      <c r="A336" s="313"/>
      <c r="B336" s="313"/>
      <c r="C336" s="313"/>
      <c r="D336" s="313"/>
      <c r="E336" s="313"/>
      <c r="F336" s="313"/>
      <c r="G336" s="313"/>
    </row>
    <row r="337">
      <c r="A337" s="313"/>
      <c r="B337" s="313"/>
      <c r="C337" s="313"/>
      <c r="D337" s="313"/>
      <c r="E337" s="313"/>
      <c r="F337" s="313"/>
      <c r="G337" s="313"/>
    </row>
    <row r="338">
      <c r="A338" s="313"/>
      <c r="B338" s="313"/>
      <c r="C338" s="313"/>
      <c r="D338" s="313"/>
      <c r="E338" s="313"/>
      <c r="F338" s="313"/>
      <c r="G338" s="313"/>
    </row>
    <row r="339">
      <c r="A339" s="313"/>
      <c r="B339" s="313"/>
      <c r="C339" s="313"/>
      <c r="D339" s="313"/>
      <c r="E339" s="313"/>
      <c r="F339" s="313"/>
      <c r="G339" s="313"/>
    </row>
    <row r="340">
      <c r="A340" s="313"/>
      <c r="B340" s="313"/>
      <c r="C340" s="313"/>
      <c r="D340" s="313"/>
      <c r="E340" s="313"/>
      <c r="F340" s="313"/>
      <c r="G340" s="313"/>
    </row>
    <row r="341">
      <c r="A341" s="313"/>
      <c r="B341" s="313"/>
      <c r="C341" s="313"/>
      <c r="D341" s="313"/>
      <c r="E341" s="313"/>
      <c r="F341" s="313"/>
      <c r="G341" s="313"/>
    </row>
    <row r="342">
      <c r="A342" s="313"/>
      <c r="B342" s="313"/>
      <c r="C342" s="313"/>
      <c r="D342" s="313"/>
      <c r="E342" s="313"/>
      <c r="F342" s="313"/>
      <c r="G342" s="313"/>
    </row>
    <row r="343">
      <c r="A343" s="313"/>
      <c r="B343" s="313"/>
      <c r="C343" s="313"/>
      <c r="D343" s="313"/>
      <c r="E343" s="313"/>
      <c r="F343" s="313"/>
      <c r="G343" s="313"/>
    </row>
    <row r="344">
      <c r="A344" s="313"/>
      <c r="B344" s="313"/>
      <c r="C344" s="313"/>
      <c r="D344" s="313"/>
      <c r="E344" s="313"/>
      <c r="F344" s="313"/>
      <c r="G344" s="313"/>
    </row>
    <row r="345">
      <c r="A345" s="313"/>
      <c r="B345" s="313"/>
      <c r="C345" s="313"/>
      <c r="D345" s="313"/>
      <c r="E345" s="313"/>
      <c r="F345" s="313"/>
      <c r="G345" s="313"/>
    </row>
    <row r="346">
      <c r="A346" s="313"/>
      <c r="B346" s="313"/>
      <c r="C346" s="313"/>
      <c r="D346" s="313"/>
      <c r="E346" s="313"/>
      <c r="F346" s="313"/>
      <c r="G346" s="313"/>
    </row>
    <row r="347">
      <c r="A347" s="313"/>
      <c r="B347" s="313"/>
      <c r="C347" s="313"/>
      <c r="D347" s="313"/>
      <c r="E347" s="313"/>
      <c r="F347" s="313"/>
      <c r="G347" s="313"/>
    </row>
    <row r="348">
      <c r="A348" s="313"/>
      <c r="B348" s="313"/>
      <c r="C348" s="313"/>
      <c r="D348" s="313"/>
      <c r="E348" s="313"/>
      <c r="F348" s="313"/>
      <c r="G348" s="313"/>
    </row>
    <row r="349">
      <c r="A349" s="313"/>
      <c r="B349" s="313"/>
      <c r="C349" s="313"/>
      <c r="D349" s="313"/>
      <c r="E349" s="313"/>
      <c r="F349" s="313"/>
      <c r="G349" s="313"/>
    </row>
    <row r="350">
      <c r="A350" s="313"/>
      <c r="B350" s="313"/>
      <c r="C350" s="313"/>
      <c r="D350" s="313"/>
      <c r="E350" s="313"/>
      <c r="F350" s="313"/>
      <c r="G350" s="313"/>
    </row>
    <row r="351">
      <c r="A351" s="313"/>
      <c r="B351" s="313"/>
      <c r="C351" s="313"/>
      <c r="D351" s="313"/>
      <c r="E351" s="313"/>
      <c r="F351" s="313"/>
      <c r="G351" s="313"/>
    </row>
    <row r="352">
      <c r="A352" s="313"/>
      <c r="B352" s="313"/>
      <c r="C352" s="313"/>
      <c r="D352" s="313"/>
      <c r="E352" s="313"/>
      <c r="F352" s="313"/>
      <c r="G352" s="313"/>
    </row>
    <row r="353">
      <c r="A353" s="313"/>
      <c r="B353" s="313"/>
      <c r="C353" s="313"/>
      <c r="D353" s="313"/>
      <c r="E353" s="313"/>
      <c r="F353" s="313"/>
      <c r="G353" s="313"/>
    </row>
    <row r="354">
      <c r="A354" s="313"/>
      <c r="B354" s="313"/>
      <c r="C354" s="313"/>
      <c r="D354" s="313"/>
      <c r="E354" s="313"/>
      <c r="F354" s="313"/>
      <c r="G354" s="313"/>
    </row>
    <row r="355">
      <c r="A355" s="313"/>
      <c r="B355" s="313"/>
      <c r="C355" s="313"/>
      <c r="D355" s="313"/>
      <c r="E355" s="313"/>
      <c r="F355" s="313"/>
      <c r="G355" s="313"/>
    </row>
    <row r="356">
      <c r="A356" s="313"/>
      <c r="B356" s="313"/>
      <c r="C356" s="313"/>
      <c r="D356" s="313"/>
      <c r="E356" s="313"/>
      <c r="F356" s="313"/>
      <c r="G356" s="313"/>
    </row>
    <row r="357">
      <c r="A357" s="313"/>
      <c r="B357" s="313"/>
      <c r="C357" s="313"/>
      <c r="D357" s="313"/>
      <c r="E357" s="313"/>
      <c r="F357" s="313"/>
      <c r="G357" s="313"/>
    </row>
    <row r="358">
      <c r="A358" s="313"/>
      <c r="B358" s="313"/>
      <c r="C358" s="313"/>
      <c r="D358" s="313"/>
      <c r="E358" s="313"/>
      <c r="F358" s="313"/>
      <c r="G358" s="313"/>
    </row>
    <row r="359">
      <c r="A359" s="313"/>
      <c r="B359" s="313"/>
      <c r="C359" s="313"/>
      <c r="D359" s="313"/>
      <c r="E359" s="313"/>
      <c r="F359" s="313"/>
      <c r="G359" s="313"/>
    </row>
    <row r="360">
      <c r="A360" s="313"/>
      <c r="B360" s="313"/>
      <c r="C360" s="313"/>
      <c r="D360" s="313"/>
      <c r="E360" s="313"/>
      <c r="F360" s="313"/>
      <c r="G360" s="313"/>
    </row>
    <row r="361">
      <c r="A361" s="313"/>
      <c r="B361" s="313"/>
      <c r="C361" s="313"/>
      <c r="D361" s="313"/>
      <c r="E361" s="313"/>
      <c r="F361" s="313"/>
      <c r="G361" s="313"/>
    </row>
    <row r="362">
      <c r="A362" s="313"/>
      <c r="B362" s="313"/>
      <c r="C362" s="313"/>
      <c r="D362" s="313"/>
      <c r="E362" s="313"/>
      <c r="F362" s="313"/>
      <c r="G362" s="313"/>
    </row>
    <row r="363">
      <c r="A363" s="313"/>
      <c r="B363" s="313"/>
      <c r="C363" s="313"/>
      <c r="D363" s="313"/>
      <c r="E363" s="313"/>
      <c r="F363" s="313"/>
      <c r="G363" s="313"/>
    </row>
    <row r="364">
      <c r="A364" s="313"/>
      <c r="B364" s="313"/>
      <c r="C364" s="313"/>
      <c r="D364" s="313"/>
      <c r="E364" s="313"/>
      <c r="F364" s="313"/>
      <c r="G364" s="313"/>
    </row>
    <row r="365">
      <c r="A365" s="313"/>
      <c r="B365" s="313"/>
      <c r="C365" s="313"/>
      <c r="D365" s="313"/>
      <c r="E365" s="313"/>
      <c r="F365" s="313"/>
      <c r="G365" s="313"/>
    </row>
    <row r="366">
      <c r="A366" s="313"/>
      <c r="B366" s="313"/>
      <c r="C366" s="313"/>
      <c r="D366" s="313"/>
      <c r="E366" s="313"/>
      <c r="F366" s="313"/>
      <c r="G366" s="313"/>
    </row>
    <row r="367">
      <c r="A367" s="313"/>
      <c r="B367" s="313"/>
      <c r="C367" s="313"/>
      <c r="D367" s="313"/>
      <c r="E367" s="313"/>
      <c r="F367" s="313"/>
      <c r="G367" s="313"/>
    </row>
    <row r="368">
      <c r="A368" s="313"/>
      <c r="B368" s="313"/>
      <c r="C368" s="313"/>
      <c r="D368" s="313"/>
      <c r="E368" s="313"/>
      <c r="F368" s="313"/>
      <c r="G368" s="313"/>
    </row>
    <row r="369">
      <c r="A369" s="313"/>
      <c r="B369" s="313"/>
      <c r="C369" s="313"/>
      <c r="D369" s="313"/>
      <c r="E369" s="313"/>
      <c r="F369" s="313"/>
      <c r="G369" s="313"/>
    </row>
    <row r="370">
      <c r="A370" s="313"/>
      <c r="B370" s="313"/>
      <c r="C370" s="313"/>
      <c r="D370" s="313"/>
      <c r="E370" s="313"/>
      <c r="F370" s="313"/>
      <c r="G370" s="313"/>
    </row>
    <row r="371">
      <c r="A371" s="313"/>
      <c r="B371" s="313"/>
      <c r="C371" s="313"/>
      <c r="D371" s="313"/>
      <c r="E371" s="313"/>
      <c r="F371" s="313"/>
      <c r="G371" s="313"/>
    </row>
    <row r="372">
      <c r="A372" s="313"/>
      <c r="B372" s="313"/>
      <c r="C372" s="313"/>
      <c r="D372" s="313"/>
      <c r="E372" s="313"/>
      <c r="F372" s="313"/>
      <c r="G372" s="313"/>
    </row>
    <row r="373">
      <c r="A373" s="313"/>
      <c r="B373" s="313"/>
      <c r="C373" s="313"/>
      <c r="D373" s="313"/>
      <c r="E373" s="313"/>
      <c r="F373" s="313"/>
      <c r="G373" s="313"/>
    </row>
    <row r="374">
      <c r="A374" s="313"/>
      <c r="B374" s="313"/>
      <c r="C374" s="313"/>
      <c r="D374" s="313"/>
      <c r="E374" s="313"/>
      <c r="F374" s="313"/>
      <c r="G374" s="313"/>
    </row>
    <row r="375">
      <c r="A375" s="313"/>
      <c r="B375" s="313"/>
      <c r="C375" s="313"/>
      <c r="D375" s="313"/>
      <c r="E375" s="313"/>
      <c r="F375" s="313"/>
      <c r="G375" s="313"/>
    </row>
    <row r="376">
      <c r="A376" s="313"/>
      <c r="B376" s="313"/>
      <c r="C376" s="313"/>
      <c r="D376" s="313"/>
      <c r="E376" s="313"/>
      <c r="F376" s="313"/>
      <c r="G376" s="313"/>
    </row>
    <row r="377">
      <c r="A377" s="313"/>
      <c r="B377" s="313"/>
      <c r="C377" s="313"/>
      <c r="D377" s="313"/>
      <c r="E377" s="313"/>
      <c r="F377" s="313"/>
      <c r="G377" s="313"/>
    </row>
    <row r="378">
      <c r="A378" s="313"/>
      <c r="B378" s="313"/>
      <c r="C378" s="313"/>
      <c r="D378" s="313"/>
      <c r="E378" s="313"/>
      <c r="F378" s="313"/>
      <c r="G378" s="313"/>
    </row>
    <row r="379">
      <c r="A379" s="313"/>
      <c r="B379" s="313"/>
      <c r="C379" s="313"/>
      <c r="D379" s="313"/>
      <c r="E379" s="313"/>
      <c r="F379" s="313"/>
      <c r="G379" s="313"/>
    </row>
    <row r="380">
      <c r="A380" s="313"/>
      <c r="B380" s="313"/>
      <c r="C380" s="313"/>
      <c r="D380" s="313"/>
      <c r="E380" s="313"/>
      <c r="F380" s="313"/>
      <c r="G380" s="313"/>
    </row>
    <row r="381">
      <c r="A381" s="313"/>
      <c r="B381" s="313"/>
      <c r="C381" s="313"/>
      <c r="D381" s="313"/>
      <c r="E381" s="313"/>
      <c r="F381" s="313"/>
      <c r="G381" s="313"/>
    </row>
    <row r="382">
      <c r="A382" s="313"/>
      <c r="B382" s="313"/>
      <c r="C382" s="313"/>
      <c r="D382" s="313"/>
      <c r="E382" s="313"/>
      <c r="F382" s="313"/>
      <c r="G382" s="313"/>
    </row>
    <row r="383">
      <c r="A383" s="313"/>
      <c r="B383" s="313"/>
      <c r="C383" s="313"/>
      <c r="D383" s="313"/>
      <c r="E383" s="313"/>
      <c r="F383" s="313"/>
      <c r="G383" s="313"/>
    </row>
    <row r="384">
      <c r="A384" s="313"/>
      <c r="B384" s="313"/>
      <c r="C384" s="313"/>
      <c r="D384" s="313"/>
      <c r="E384" s="313"/>
      <c r="F384" s="313"/>
      <c r="G384" s="313"/>
    </row>
    <row r="385">
      <c r="A385" s="313"/>
      <c r="B385" s="313"/>
      <c r="C385" s="313"/>
      <c r="D385" s="313"/>
      <c r="E385" s="313"/>
      <c r="F385" s="313"/>
      <c r="G385" s="313"/>
    </row>
    <row r="386">
      <c r="A386" s="313"/>
      <c r="B386" s="313"/>
      <c r="C386" s="313"/>
      <c r="D386" s="313"/>
      <c r="E386" s="313"/>
      <c r="F386" s="313"/>
      <c r="G386" s="313"/>
    </row>
    <row r="387">
      <c r="A387" s="313"/>
      <c r="B387" s="313"/>
      <c r="C387" s="313"/>
      <c r="D387" s="313"/>
      <c r="E387" s="313"/>
      <c r="F387" s="313"/>
      <c r="G387" s="313"/>
    </row>
    <row r="388">
      <c r="A388" s="313"/>
      <c r="B388" s="313"/>
      <c r="C388" s="313"/>
      <c r="D388" s="313"/>
      <c r="E388" s="313"/>
      <c r="F388" s="313"/>
      <c r="G388" s="313"/>
    </row>
    <row r="389">
      <c r="A389" s="313"/>
      <c r="B389" s="313"/>
      <c r="C389" s="313"/>
      <c r="D389" s="313"/>
      <c r="E389" s="313"/>
      <c r="F389" s="313"/>
      <c r="G389" s="313"/>
    </row>
    <row r="390">
      <c r="A390" s="313"/>
      <c r="B390" s="313"/>
      <c r="C390" s="313"/>
      <c r="D390" s="313"/>
      <c r="E390" s="313"/>
      <c r="F390" s="313"/>
      <c r="G390" s="313"/>
    </row>
    <row r="391">
      <c r="A391" s="313"/>
      <c r="B391" s="313"/>
      <c r="C391" s="313"/>
      <c r="D391" s="313"/>
      <c r="E391" s="313"/>
      <c r="F391" s="313"/>
      <c r="G391" s="313"/>
    </row>
    <row r="392">
      <c r="A392" s="313"/>
      <c r="B392" s="313"/>
      <c r="C392" s="313"/>
      <c r="D392" s="313"/>
      <c r="E392" s="313"/>
      <c r="F392" s="313"/>
      <c r="G392" s="313"/>
    </row>
    <row r="393">
      <c r="A393" s="313"/>
      <c r="B393" s="313"/>
      <c r="C393" s="313"/>
      <c r="D393" s="313"/>
      <c r="E393" s="313"/>
      <c r="F393" s="313"/>
      <c r="G393" s="313"/>
    </row>
    <row r="394">
      <c r="A394" s="313"/>
      <c r="B394" s="313"/>
      <c r="C394" s="313"/>
      <c r="D394" s="313"/>
      <c r="E394" s="313"/>
      <c r="F394" s="313"/>
      <c r="G394" s="313"/>
    </row>
    <row r="395">
      <c r="A395" s="313"/>
      <c r="B395" s="313"/>
      <c r="C395" s="313"/>
      <c r="D395" s="313"/>
      <c r="E395" s="313"/>
      <c r="F395" s="313"/>
      <c r="G395" s="313"/>
    </row>
    <row r="396">
      <c r="A396" s="313"/>
      <c r="B396" s="313"/>
      <c r="C396" s="313"/>
      <c r="D396" s="313"/>
      <c r="E396" s="313"/>
      <c r="F396" s="313"/>
      <c r="G396" s="313"/>
    </row>
    <row r="397">
      <c r="A397" s="313"/>
      <c r="B397" s="313"/>
      <c r="C397" s="313"/>
      <c r="D397" s="313"/>
      <c r="E397" s="313"/>
      <c r="F397" s="313"/>
      <c r="G397" s="313"/>
    </row>
    <row r="398">
      <c r="A398" s="313"/>
      <c r="B398" s="313"/>
      <c r="C398" s="313"/>
      <c r="D398" s="313"/>
      <c r="E398" s="313"/>
      <c r="F398" s="313"/>
      <c r="G398" s="313"/>
    </row>
    <row r="399">
      <c r="A399" s="313"/>
      <c r="B399" s="313"/>
      <c r="C399" s="313"/>
      <c r="D399" s="313"/>
      <c r="E399" s="313"/>
      <c r="F399" s="313"/>
      <c r="G399" s="313"/>
    </row>
    <row r="400">
      <c r="A400" s="313"/>
      <c r="B400" s="313"/>
      <c r="C400" s="313"/>
      <c r="D400" s="313"/>
      <c r="E400" s="313"/>
      <c r="F400" s="313"/>
      <c r="G400" s="313"/>
    </row>
    <row r="401">
      <c r="A401" s="313"/>
      <c r="B401" s="313"/>
      <c r="C401" s="313"/>
      <c r="D401" s="313"/>
      <c r="E401" s="313"/>
      <c r="F401" s="313"/>
      <c r="G401" s="313"/>
    </row>
    <row r="402">
      <c r="A402" s="313"/>
      <c r="B402" s="313"/>
      <c r="C402" s="313"/>
      <c r="D402" s="313"/>
      <c r="E402" s="313"/>
      <c r="F402" s="313"/>
      <c r="G402" s="313"/>
    </row>
    <row r="403">
      <c r="A403" s="313"/>
      <c r="B403" s="313"/>
      <c r="C403" s="313"/>
      <c r="D403" s="313"/>
      <c r="E403" s="313"/>
      <c r="F403" s="313"/>
      <c r="G403" s="313"/>
    </row>
    <row r="404">
      <c r="A404" s="313"/>
      <c r="B404" s="313"/>
      <c r="C404" s="313"/>
      <c r="D404" s="313"/>
      <c r="E404" s="313"/>
      <c r="F404" s="313"/>
      <c r="G404" s="313"/>
    </row>
    <row r="405">
      <c r="A405" s="313"/>
      <c r="B405" s="313"/>
      <c r="C405" s="313"/>
      <c r="D405" s="313"/>
      <c r="E405" s="313"/>
      <c r="F405" s="313"/>
      <c r="G405" s="313"/>
    </row>
    <row r="406">
      <c r="A406" s="313"/>
      <c r="B406" s="313"/>
      <c r="C406" s="313"/>
      <c r="D406" s="313"/>
      <c r="E406" s="313"/>
      <c r="F406" s="313"/>
      <c r="G406" s="313"/>
    </row>
    <row r="407">
      <c r="A407" s="313"/>
      <c r="B407" s="313"/>
      <c r="C407" s="313"/>
      <c r="D407" s="313"/>
      <c r="E407" s="313"/>
      <c r="F407" s="313"/>
      <c r="G407" s="313"/>
    </row>
    <row r="408">
      <c r="A408" s="313"/>
      <c r="B408" s="313"/>
      <c r="C408" s="313"/>
      <c r="D408" s="313"/>
      <c r="E408" s="313"/>
      <c r="F408" s="313"/>
      <c r="G408" s="313"/>
    </row>
    <row r="409">
      <c r="A409" s="313"/>
      <c r="B409" s="313"/>
      <c r="C409" s="313"/>
      <c r="D409" s="313"/>
      <c r="E409" s="313"/>
      <c r="F409" s="313"/>
      <c r="G409" s="313"/>
    </row>
    <row r="410">
      <c r="A410" s="313"/>
      <c r="B410" s="313"/>
      <c r="C410" s="313"/>
      <c r="D410" s="313"/>
      <c r="E410" s="313"/>
      <c r="F410" s="313"/>
      <c r="G410" s="313"/>
    </row>
    <row r="411">
      <c r="A411" s="313"/>
      <c r="B411" s="313"/>
      <c r="C411" s="313"/>
      <c r="D411" s="313"/>
      <c r="E411" s="313"/>
      <c r="F411" s="313"/>
      <c r="G411" s="313"/>
    </row>
    <row r="412">
      <c r="A412" s="313"/>
      <c r="B412" s="313"/>
      <c r="C412" s="313"/>
      <c r="D412" s="313"/>
      <c r="E412" s="313"/>
      <c r="F412" s="313"/>
      <c r="G412" s="313"/>
    </row>
    <row r="413">
      <c r="A413" s="313"/>
      <c r="B413" s="313"/>
      <c r="C413" s="313"/>
      <c r="D413" s="313"/>
      <c r="E413" s="313"/>
      <c r="F413" s="313"/>
      <c r="G413" s="313"/>
    </row>
    <row r="414">
      <c r="A414" s="313"/>
      <c r="B414" s="313"/>
      <c r="C414" s="313"/>
      <c r="D414" s="313"/>
      <c r="E414" s="313"/>
      <c r="F414" s="313"/>
      <c r="G414" s="313"/>
    </row>
    <row r="415">
      <c r="A415" s="313"/>
      <c r="B415" s="313"/>
      <c r="C415" s="313"/>
      <c r="D415" s="313"/>
      <c r="E415" s="313"/>
      <c r="F415" s="313"/>
      <c r="G415" s="313"/>
    </row>
    <row r="416">
      <c r="A416" s="313"/>
      <c r="B416" s="313"/>
      <c r="C416" s="313"/>
      <c r="D416" s="313"/>
      <c r="E416" s="313"/>
      <c r="F416" s="313"/>
      <c r="G416" s="313"/>
    </row>
    <row r="417">
      <c r="A417" s="313"/>
      <c r="B417" s="313"/>
      <c r="C417" s="313"/>
      <c r="D417" s="313"/>
      <c r="E417" s="313"/>
      <c r="F417" s="313"/>
      <c r="G417" s="313"/>
    </row>
    <row r="418">
      <c r="A418" s="313"/>
      <c r="B418" s="313"/>
      <c r="C418" s="313"/>
      <c r="D418" s="313"/>
      <c r="E418" s="313"/>
      <c r="F418" s="313"/>
      <c r="G418" s="313"/>
    </row>
    <row r="419">
      <c r="A419" s="313"/>
      <c r="B419" s="313"/>
      <c r="C419" s="313"/>
      <c r="D419" s="313"/>
      <c r="E419" s="313"/>
      <c r="F419" s="313"/>
      <c r="G419" s="313"/>
    </row>
    <row r="420">
      <c r="A420" s="313"/>
      <c r="B420" s="313"/>
      <c r="C420" s="313"/>
      <c r="D420" s="313"/>
      <c r="E420" s="313"/>
      <c r="F420" s="313"/>
      <c r="G420" s="313"/>
    </row>
    <row r="421">
      <c r="A421" s="313"/>
      <c r="B421" s="313"/>
      <c r="C421" s="313"/>
      <c r="D421" s="313"/>
      <c r="E421" s="313"/>
      <c r="F421" s="313"/>
      <c r="G421" s="313"/>
    </row>
    <row r="422">
      <c r="A422" s="313"/>
      <c r="B422" s="313"/>
      <c r="C422" s="313"/>
      <c r="D422" s="313"/>
      <c r="E422" s="313"/>
      <c r="F422" s="313"/>
      <c r="G422" s="313"/>
    </row>
    <row r="423">
      <c r="A423" s="313"/>
      <c r="B423" s="313"/>
      <c r="C423" s="313"/>
      <c r="D423" s="313"/>
      <c r="E423" s="313"/>
      <c r="F423" s="313"/>
      <c r="G423" s="313"/>
    </row>
    <row r="424">
      <c r="A424" s="313"/>
      <c r="B424" s="313"/>
      <c r="C424" s="313"/>
      <c r="D424" s="313"/>
      <c r="E424" s="313"/>
      <c r="F424" s="313"/>
      <c r="G424" s="313"/>
    </row>
    <row r="425">
      <c r="A425" s="313"/>
      <c r="B425" s="313"/>
      <c r="C425" s="313"/>
      <c r="D425" s="313"/>
      <c r="E425" s="313"/>
      <c r="F425" s="313"/>
      <c r="G425" s="313"/>
    </row>
    <row r="426">
      <c r="A426" s="313"/>
      <c r="B426" s="313"/>
      <c r="C426" s="313"/>
      <c r="D426" s="313"/>
      <c r="E426" s="313"/>
      <c r="F426" s="313"/>
      <c r="G426" s="313"/>
    </row>
    <row r="427">
      <c r="A427" s="313"/>
      <c r="B427" s="313"/>
      <c r="C427" s="313"/>
      <c r="D427" s="313"/>
      <c r="E427" s="313"/>
      <c r="F427" s="313"/>
      <c r="G427" s="313"/>
    </row>
    <row r="428">
      <c r="A428" s="313"/>
      <c r="B428" s="313"/>
      <c r="C428" s="313"/>
      <c r="D428" s="313"/>
      <c r="E428" s="313"/>
      <c r="F428" s="313"/>
      <c r="G428" s="313"/>
    </row>
    <row r="429">
      <c r="A429" s="313"/>
      <c r="B429" s="313"/>
      <c r="C429" s="313"/>
      <c r="D429" s="313"/>
      <c r="E429" s="313"/>
      <c r="F429" s="313"/>
      <c r="G429" s="313"/>
    </row>
    <row r="430">
      <c r="A430" s="313"/>
      <c r="B430" s="313"/>
      <c r="C430" s="313"/>
      <c r="D430" s="313"/>
      <c r="E430" s="313"/>
      <c r="F430" s="313"/>
      <c r="G430" s="313"/>
    </row>
    <row r="431">
      <c r="A431" s="313"/>
      <c r="B431" s="313"/>
      <c r="C431" s="313"/>
      <c r="D431" s="313"/>
      <c r="E431" s="313"/>
      <c r="F431" s="313"/>
      <c r="G431" s="313"/>
    </row>
    <row r="432">
      <c r="A432" s="313"/>
      <c r="B432" s="313"/>
      <c r="C432" s="313"/>
      <c r="D432" s="313"/>
      <c r="E432" s="313"/>
      <c r="F432" s="313"/>
      <c r="G432" s="313"/>
    </row>
    <row r="433">
      <c r="A433" s="313"/>
      <c r="B433" s="313"/>
      <c r="C433" s="313"/>
      <c r="D433" s="313"/>
      <c r="E433" s="313"/>
      <c r="F433" s="313"/>
      <c r="G433" s="313"/>
    </row>
    <row r="434">
      <c r="A434" s="313"/>
      <c r="B434" s="313"/>
      <c r="C434" s="313"/>
      <c r="D434" s="313"/>
      <c r="E434" s="313"/>
      <c r="F434" s="313"/>
      <c r="G434" s="313"/>
    </row>
    <row r="435">
      <c r="A435" s="313"/>
      <c r="B435" s="313"/>
      <c r="C435" s="313"/>
      <c r="D435" s="313"/>
      <c r="E435" s="313"/>
      <c r="F435" s="313"/>
      <c r="G435" s="313"/>
    </row>
    <row r="436">
      <c r="A436" s="313"/>
      <c r="B436" s="313"/>
      <c r="C436" s="313"/>
      <c r="D436" s="313"/>
      <c r="E436" s="313"/>
      <c r="F436" s="313"/>
      <c r="G436" s="313"/>
    </row>
    <row r="437">
      <c r="A437" s="313"/>
      <c r="B437" s="313"/>
      <c r="C437" s="313"/>
      <c r="D437" s="313"/>
      <c r="E437" s="313"/>
      <c r="F437" s="313"/>
      <c r="G437" s="313"/>
    </row>
    <row r="438">
      <c r="A438" s="313"/>
      <c r="B438" s="313"/>
      <c r="C438" s="313"/>
      <c r="D438" s="313"/>
      <c r="E438" s="313"/>
      <c r="F438" s="313"/>
      <c r="G438" s="313"/>
    </row>
    <row r="439">
      <c r="A439" s="313"/>
      <c r="B439" s="313"/>
      <c r="C439" s="313"/>
      <c r="D439" s="313"/>
      <c r="E439" s="313"/>
      <c r="F439" s="313"/>
      <c r="G439" s="313"/>
    </row>
    <row r="440">
      <c r="A440" s="313"/>
      <c r="B440" s="313"/>
      <c r="C440" s="313"/>
      <c r="D440" s="313"/>
      <c r="E440" s="313"/>
      <c r="F440" s="313"/>
      <c r="G440" s="313"/>
    </row>
    <row r="441">
      <c r="A441" s="313"/>
      <c r="B441" s="313"/>
      <c r="C441" s="313"/>
      <c r="D441" s="313"/>
      <c r="E441" s="313"/>
      <c r="F441" s="313"/>
      <c r="G441" s="313"/>
    </row>
    <row r="442">
      <c r="A442" s="313"/>
      <c r="B442" s="313"/>
      <c r="C442" s="313"/>
      <c r="D442" s="313"/>
      <c r="E442" s="313"/>
      <c r="F442" s="313"/>
      <c r="G442" s="313"/>
    </row>
    <row r="443">
      <c r="A443" s="313"/>
      <c r="B443" s="313"/>
      <c r="C443" s="313"/>
      <c r="D443" s="313"/>
      <c r="E443" s="313"/>
      <c r="F443" s="313"/>
      <c r="G443" s="313"/>
    </row>
    <row r="444">
      <c r="A444" s="313"/>
      <c r="B444" s="313"/>
      <c r="C444" s="313"/>
      <c r="D444" s="313"/>
      <c r="E444" s="313"/>
      <c r="F444" s="313"/>
      <c r="G444" s="313"/>
    </row>
    <row r="445">
      <c r="A445" s="313"/>
      <c r="B445" s="313"/>
      <c r="C445" s="313"/>
      <c r="D445" s="313"/>
      <c r="E445" s="313"/>
      <c r="F445" s="313"/>
      <c r="G445" s="313"/>
    </row>
    <row r="446">
      <c r="A446" s="313"/>
      <c r="B446" s="313"/>
      <c r="C446" s="313"/>
      <c r="D446" s="313"/>
      <c r="E446" s="313"/>
      <c r="F446" s="313"/>
      <c r="G446" s="313"/>
    </row>
    <row r="447">
      <c r="A447" s="313"/>
      <c r="B447" s="313"/>
      <c r="C447" s="313"/>
      <c r="D447" s="313"/>
      <c r="E447" s="313"/>
      <c r="F447" s="313"/>
      <c r="G447" s="313"/>
    </row>
    <row r="448">
      <c r="A448" s="313"/>
      <c r="B448" s="313"/>
      <c r="C448" s="313"/>
      <c r="D448" s="313"/>
      <c r="E448" s="313"/>
      <c r="F448" s="313"/>
      <c r="G448" s="313"/>
    </row>
    <row r="449">
      <c r="A449" s="313"/>
      <c r="B449" s="313"/>
      <c r="C449" s="313"/>
      <c r="D449" s="313"/>
      <c r="E449" s="313"/>
      <c r="F449" s="313"/>
      <c r="G449" s="313"/>
    </row>
    <row r="450">
      <c r="A450" s="313"/>
      <c r="B450" s="313"/>
      <c r="C450" s="313"/>
      <c r="D450" s="313"/>
      <c r="E450" s="313"/>
      <c r="F450" s="313"/>
      <c r="G450" s="313"/>
    </row>
    <row r="451">
      <c r="A451" s="313"/>
      <c r="B451" s="313"/>
      <c r="C451" s="313"/>
      <c r="D451" s="313"/>
      <c r="E451" s="313"/>
      <c r="F451" s="313"/>
      <c r="G451" s="313"/>
    </row>
    <row r="452">
      <c r="A452" s="313"/>
      <c r="B452" s="313"/>
      <c r="C452" s="313"/>
      <c r="D452" s="313"/>
      <c r="E452" s="313"/>
      <c r="F452" s="313"/>
      <c r="G452" s="313"/>
    </row>
    <row r="453">
      <c r="A453" s="313"/>
      <c r="B453" s="313"/>
      <c r="C453" s="313"/>
      <c r="D453" s="313"/>
      <c r="E453" s="313"/>
      <c r="F453" s="313"/>
      <c r="G453" s="313"/>
    </row>
    <row r="454">
      <c r="A454" s="313"/>
      <c r="B454" s="313"/>
      <c r="C454" s="313"/>
      <c r="D454" s="313"/>
      <c r="E454" s="313"/>
      <c r="F454" s="313"/>
      <c r="G454" s="313"/>
    </row>
    <row r="455">
      <c r="A455" s="313"/>
      <c r="B455" s="313"/>
      <c r="C455" s="313"/>
      <c r="D455" s="313"/>
      <c r="E455" s="313"/>
      <c r="F455" s="313"/>
      <c r="G455" s="313"/>
    </row>
    <row r="456">
      <c r="A456" s="313"/>
      <c r="B456" s="313"/>
      <c r="C456" s="313"/>
      <c r="D456" s="313"/>
      <c r="E456" s="313"/>
      <c r="F456" s="313"/>
      <c r="G456" s="313"/>
    </row>
    <row r="457">
      <c r="A457" s="313"/>
      <c r="B457" s="313"/>
      <c r="C457" s="313"/>
      <c r="D457" s="313"/>
      <c r="E457" s="313"/>
      <c r="F457" s="313"/>
      <c r="G457" s="313"/>
    </row>
    <row r="458">
      <c r="A458" s="313"/>
      <c r="B458" s="313"/>
      <c r="C458" s="313"/>
      <c r="D458" s="313"/>
      <c r="E458" s="313"/>
      <c r="F458" s="313"/>
      <c r="G458" s="313"/>
    </row>
    <row r="459">
      <c r="A459" s="313"/>
      <c r="B459" s="313"/>
      <c r="C459" s="313"/>
      <c r="D459" s="313"/>
      <c r="E459" s="313"/>
      <c r="F459" s="313"/>
      <c r="G459" s="313"/>
    </row>
    <row r="460">
      <c r="A460" s="313"/>
      <c r="B460" s="313"/>
      <c r="C460" s="313"/>
      <c r="D460" s="313"/>
      <c r="E460" s="313"/>
      <c r="F460" s="313"/>
      <c r="G460" s="313"/>
    </row>
    <row r="461">
      <c r="A461" s="313"/>
      <c r="B461" s="313"/>
      <c r="C461" s="313"/>
      <c r="D461" s="313"/>
      <c r="E461" s="313"/>
      <c r="F461" s="313"/>
      <c r="G461" s="313"/>
    </row>
    <row r="462">
      <c r="A462" s="313"/>
      <c r="B462" s="313"/>
      <c r="C462" s="313"/>
      <c r="D462" s="313"/>
      <c r="E462" s="313"/>
      <c r="F462" s="313"/>
      <c r="G462" s="313"/>
    </row>
    <row r="463">
      <c r="A463" s="313"/>
      <c r="B463" s="313"/>
      <c r="C463" s="313"/>
      <c r="D463" s="313"/>
      <c r="E463" s="313"/>
      <c r="F463" s="313"/>
      <c r="G463" s="313"/>
    </row>
    <row r="464">
      <c r="A464" s="313"/>
      <c r="B464" s="313"/>
      <c r="C464" s="313"/>
      <c r="D464" s="313"/>
      <c r="E464" s="313"/>
      <c r="F464" s="313"/>
      <c r="G464" s="313"/>
    </row>
    <row r="465">
      <c r="A465" s="313"/>
      <c r="B465" s="313"/>
      <c r="C465" s="313"/>
      <c r="D465" s="313"/>
      <c r="E465" s="313"/>
      <c r="F465" s="313"/>
      <c r="G465" s="313"/>
    </row>
    <row r="466">
      <c r="A466" s="313"/>
      <c r="B466" s="313"/>
      <c r="C466" s="313"/>
      <c r="D466" s="313"/>
      <c r="E466" s="313"/>
      <c r="F466" s="313"/>
      <c r="G466" s="313"/>
    </row>
    <row r="467">
      <c r="A467" s="313"/>
      <c r="B467" s="313"/>
      <c r="C467" s="313"/>
      <c r="D467" s="313"/>
      <c r="E467" s="313"/>
      <c r="F467" s="313"/>
      <c r="G467" s="313"/>
    </row>
    <row r="468">
      <c r="A468" s="313"/>
      <c r="B468" s="313"/>
      <c r="C468" s="313"/>
      <c r="D468" s="313"/>
      <c r="E468" s="313"/>
      <c r="F468" s="313"/>
      <c r="G468" s="313"/>
    </row>
    <row r="469">
      <c r="A469" s="313"/>
      <c r="B469" s="313"/>
      <c r="C469" s="313"/>
      <c r="D469" s="313"/>
      <c r="E469" s="313"/>
      <c r="F469" s="313"/>
      <c r="G469" s="313"/>
    </row>
    <row r="470">
      <c r="A470" s="313"/>
      <c r="B470" s="313"/>
      <c r="C470" s="313"/>
      <c r="D470" s="313"/>
      <c r="E470" s="313"/>
      <c r="F470" s="313"/>
      <c r="G470" s="313"/>
    </row>
    <row r="471">
      <c r="A471" s="313"/>
      <c r="B471" s="313"/>
      <c r="C471" s="313"/>
      <c r="D471" s="313"/>
      <c r="E471" s="313"/>
      <c r="F471" s="313"/>
      <c r="G471" s="313"/>
    </row>
    <row r="472">
      <c r="A472" s="313"/>
      <c r="B472" s="313"/>
      <c r="C472" s="313"/>
      <c r="D472" s="313"/>
      <c r="E472" s="313"/>
      <c r="F472" s="313"/>
      <c r="G472" s="313"/>
    </row>
    <row r="473">
      <c r="A473" s="313"/>
      <c r="B473" s="313"/>
      <c r="C473" s="313"/>
      <c r="D473" s="313"/>
      <c r="E473" s="313"/>
      <c r="F473" s="313"/>
      <c r="G473" s="313"/>
    </row>
    <row r="474">
      <c r="A474" s="313"/>
      <c r="B474" s="313"/>
      <c r="C474" s="313"/>
      <c r="D474" s="313"/>
      <c r="E474" s="313"/>
      <c r="F474" s="313"/>
      <c r="G474" s="313"/>
    </row>
    <row r="475">
      <c r="A475" s="313"/>
      <c r="B475" s="313"/>
      <c r="C475" s="313"/>
      <c r="D475" s="313"/>
      <c r="E475" s="313"/>
      <c r="F475" s="313"/>
      <c r="G475" s="313"/>
    </row>
    <row r="476">
      <c r="A476" s="313"/>
      <c r="B476" s="313"/>
      <c r="C476" s="313"/>
      <c r="D476" s="313"/>
      <c r="E476" s="313"/>
      <c r="F476" s="313"/>
      <c r="G476" s="313"/>
    </row>
    <row r="477">
      <c r="A477" s="313"/>
      <c r="B477" s="313"/>
      <c r="C477" s="313"/>
      <c r="D477" s="313"/>
      <c r="E477" s="313"/>
      <c r="F477" s="313"/>
      <c r="G477" s="313"/>
    </row>
    <row r="478">
      <c r="A478" s="313"/>
      <c r="B478" s="313"/>
      <c r="C478" s="313"/>
      <c r="D478" s="313"/>
      <c r="E478" s="313"/>
      <c r="F478" s="313"/>
      <c r="G478" s="313"/>
    </row>
    <row r="479">
      <c r="A479" s="313"/>
      <c r="B479" s="313"/>
      <c r="C479" s="313"/>
      <c r="D479" s="313"/>
      <c r="E479" s="313"/>
      <c r="F479" s="313"/>
      <c r="G479" s="313"/>
    </row>
    <row r="480">
      <c r="A480" s="313"/>
      <c r="B480" s="313"/>
      <c r="C480" s="313"/>
      <c r="D480" s="313"/>
      <c r="E480" s="313"/>
      <c r="F480" s="313"/>
      <c r="G480" s="313"/>
    </row>
    <row r="481">
      <c r="A481" s="313"/>
      <c r="B481" s="313"/>
      <c r="C481" s="313"/>
      <c r="D481" s="313"/>
      <c r="E481" s="313"/>
      <c r="F481" s="313"/>
      <c r="G481" s="313"/>
    </row>
    <row r="482">
      <c r="A482" s="313"/>
      <c r="B482" s="313"/>
      <c r="C482" s="313"/>
      <c r="D482" s="313"/>
      <c r="E482" s="313"/>
      <c r="F482" s="313"/>
      <c r="G482" s="313"/>
    </row>
    <row r="483">
      <c r="A483" s="313"/>
      <c r="B483" s="313"/>
      <c r="C483" s="313"/>
      <c r="D483" s="313"/>
      <c r="E483" s="313"/>
      <c r="F483" s="313"/>
      <c r="G483" s="313"/>
    </row>
    <row r="484">
      <c r="A484" s="313"/>
      <c r="B484" s="313"/>
      <c r="C484" s="313"/>
      <c r="D484" s="313"/>
      <c r="E484" s="313"/>
      <c r="F484" s="313"/>
      <c r="G484" s="313"/>
    </row>
    <row r="485">
      <c r="A485" s="313"/>
      <c r="B485" s="313"/>
      <c r="C485" s="313"/>
      <c r="D485" s="313"/>
      <c r="E485" s="313"/>
      <c r="F485" s="313"/>
      <c r="G485" s="313"/>
    </row>
    <row r="486">
      <c r="A486" s="313"/>
      <c r="B486" s="313"/>
      <c r="C486" s="313"/>
      <c r="D486" s="313"/>
      <c r="E486" s="313"/>
      <c r="F486" s="313"/>
      <c r="G486" s="313"/>
    </row>
    <row r="487">
      <c r="A487" s="313"/>
      <c r="B487" s="313"/>
      <c r="C487" s="313"/>
      <c r="D487" s="313"/>
      <c r="E487" s="313"/>
      <c r="F487" s="313"/>
      <c r="G487" s="313"/>
    </row>
    <row r="488">
      <c r="A488" s="313"/>
      <c r="B488" s="313"/>
      <c r="C488" s="313"/>
      <c r="D488" s="313"/>
      <c r="E488" s="313"/>
      <c r="F488" s="313"/>
      <c r="G488" s="313"/>
    </row>
    <row r="489">
      <c r="A489" s="313"/>
      <c r="B489" s="313"/>
      <c r="C489" s="313"/>
      <c r="D489" s="313"/>
      <c r="E489" s="313"/>
      <c r="F489" s="313"/>
      <c r="G489" s="313"/>
    </row>
    <row r="490">
      <c r="A490" s="313"/>
      <c r="B490" s="313"/>
      <c r="C490" s="313"/>
      <c r="D490" s="313"/>
      <c r="E490" s="313"/>
      <c r="F490" s="313"/>
      <c r="G490" s="313"/>
    </row>
    <row r="491">
      <c r="A491" s="313"/>
      <c r="B491" s="313"/>
      <c r="C491" s="313"/>
      <c r="D491" s="313"/>
      <c r="E491" s="313"/>
      <c r="F491" s="313"/>
      <c r="G491" s="313"/>
    </row>
    <row r="492">
      <c r="A492" s="313"/>
      <c r="B492" s="313"/>
      <c r="C492" s="313"/>
      <c r="D492" s="313"/>
      <c r="E492" s="313"/>
      <c r="F492" s="313"/>
      <c r="G492" s="313"/>
    </row>
    <row r="493">
      <c r="A493" s="313"/>
      <c r="B493" s="313"/>
      <c r="C493" s="313"/>
      <c r="D493" s="313"/>
      <c r="E493" s="313"/>
      <c r="F493" s="313"/>
      <c r="G493" s="313"/>
    </row>
    <row r="494">
      <c r="A494" s="313"/>
      <c r="B494" s="313"/>
      <c r="C494" s="313"/>
      <c r="D494" s="313"/>
      <c r="E494" s="313"/>
      <c r="F494" s="313"/>
      <c r="G494" s="313"/>
    </row>
    <row r="495">
      <c r="A495" s="313"/>
      <c r="B495" s="313"/>
      <c r="C495" s="313"/>
      <c r="D495" s="313"/>
      <c r="E495" s="313"/>
      <c r="F495" s="313"/>
      <c r="G495" s="313"/>
    </row>
    <row r="496">
      <c r="A496" s="313"/>
      <c r="B496" s="313"/>
      <c r="C496" s="313"/>
      <c r="D496" s="313"/>
      <c r="E496" s="313"/>
      <c r="F496" s="313"/>
      <c r="G496" s="313"/>
    </row>
    <row r="497">
      <c r="A497" s="313"/>
      <c r="B497" s="313"/>
      <c r="C497" s="313"/>
      <c r="D497" s="313"/>
      <c r="E497" s="313"/>
      <c r="F497" s="313"/>
      <c r="G497" s="313"/>
    </row>
    <row r="498">
      <c r="A498" s="313"/>
      <c r="B498" s="313"/>
      <c r="C498" s="313"/>
      <c r="D498" s="313"/>
      <c r="E498" s="313"/>
      <c r="F498" s="313"/>
      <c r="G498" s="313"/>
    </row>
    <row r="499">
      <c r="A499" s="313"/>
      <c r="B499" s="313"/>
      <c r="C499" s="313"/>
      <c r="D499" s="313"/>
      <c r="E499" s="313"/>
      <c r="F499" s="313"/>
      <c r="G499" s="313"/>
    </row>
    <row r="500">
      <c r="A500" s="313"/>
      <c r="B500" s="313"/>
      <c r="C500" s="313"/>
      <c r="D500" s="313"/>
      <c r="E500" s="313"/>
      <c r="F500" s="313"/>
      <c r="G500" s="313"/>
    </row>
    <row r="501">
      <c r="A501" s="313"/>
      <c r="B501" s="313"/>
      <c r="C501" s="313"/>
      <c r="D501" s="313"/>
      <c r="E501" s="313"/>
      <c r="F501" s="313"/>
      <c r="G501" s="313"/>
    </row>
    <row r="502">
      <c r="A502" s="313"/>
      <c r="B502" s="313"/>
      <c r="C502" s="313"/>
      <c r="D502" s="313"/>
      <c r="E502" s="313"/>
      <c r="F502" s="313"/>
      <c r="G502" s="313"/>
    </row>
    <row r="503">
      <c r="A503" s="313"/>
      <c r="B503" s="313"/>
      <c r="C503" s="313"/>
      <c r="D503" s="313"/>
      <c r="E503" s="313"/>
      <c r="F503" s="313"/>
      <c r="G503" s="313"/>
    </row>
    <row r="504">
      <c r="A504" s="313"/>
      <c r="B504" s="313"/>
      <c r="C504" s="313"/>
      <c r="D504" s="313"/>
      <c r="E504" s="313"/>
      <c r="F504" s="313"/>
      <c r="G504" s="313"/>
    </row>
    <row r="505">
      <c r="A505" s="313"/>
      <c r="B505" s="313"/>
      <c r="C505" s="313"/>
      <c r="D505" s="313"/>
      <c r="E505" s="313"/>
      <c r="F505" s="313"/>
      <c r="G505" s="313"/>
    </row>
    <row r="506">
      <c r="A506" s="313"/>
      <c r="B506" s="313"/>
      <c r="C506" s="313"/>
      <c r="D506" s="313"/>
      <c r="E506" s="313"/>
      <c r="F506" s="313"/>
      <c r="G506" s="313"/>
    </row>
    <row r="507">
      <c r="A507" s="313"/>
      <c r="B507" s="313"/>
      <c r="C507" s="313"/>
      <c r="D507" s="313"/>
      <c r="E507" s="313"/>
      <c r="F507" s="313"/>
      <c r="G507" s="313"/>
    </row>
    <row r="508">
      <c r="A508" s="313"/>
      <c r="B508" s="313"/>
      <c r="C508" s="313"/>
      <c r="D508" s="313"/>
      <c r="E508" s="313"/>
      <c r="F508" s="313"/>
      <c r="G508" s="313"/>
    </row>
    <row r="509">
      <c r="A509" s="313"/>
      <c r="B509" s="313"/>
      <c r="C509" s="313"/>
      <c r="D509" s="313"/>
      <c r="E509" s="313"/>
      <c r="F509" s="313"/>
      <c r="G509" s="313"/>
    </row>
    <row r="510">
      <c r="A510" s="313"/>
      <c r="B510" s="313"/>
      <c r="C510" s="313"/>
      <c r="D510" s="313"/>
      <c r="E510" s="313"/>
      <c r="F510" s="313"/>
      <c r="G510" s="313"/>
    </row>
    <row r="511">
      <c r="A511" s="313"/>
      <c r="B511" s="313"/>
      <c r="C511" s="313"/>
      <c r="D511" s="313"/>
      <c r="E511" s="313"/>
      <c r="F511" s="313"/>
      <c r="G511" s="313"/>
    </row>
    <row r="512">
      <c r="A512" s="313"/>
      <c r="B512" s="313"/>
      <c r="C512" s="313"/>
      <c r="D512" s="313"/>
      <c r="E512" s="313"/>
      <c r="F512" s="313"/>
      <c r="G512" s="313"/>
    </row>
    <row r="513">
      <c r="A513" s="313"/>
      <c r="B513" s="313"/>
      <c r="C513" s="313"/>
      <c r="D513" s="313"/>
      <c r="E513" s="313"/>
      <c r="F513" s="313"/>
      <c r="G513" s="313"/>
    </row>
    <row r="514">
      <c r="A514" s="313"/>
      <c r="B514" s="313"/>
      <c r="C514" s="313"/>
      <c r="D514" s="313"/>
      <c r="E514" s="313"/>
      <c r="F514" s="313"/>
      <c r="G514" s="313"/>
    </row>
    <row r="515">
      <c r="A515" s="313"/>
      <c r="B515" s="313"/>
      <c r="C515" s="313"/>
      <c r="D515" s="313"/>
      <c r="E515" s="313"/>
      <c r="F515" s="313"/>
      <c r="G515" s="313"/>
    </row>
    <row r="516">
      <c r="A516" s="313"/>
      <c r="B516" s="313"/>
      <c r="C516" s="313"/>
      <c r="D516" s="313"/>
      <c r="E516" s="313"/>
      <c r="F516" s="313"/>
      <c r="G516" s="313"/>
    </row>
    <row r="517">
      <c r="A517" s="313"/>
      <c r="B517" s="313"/>
      <c r="C517" s="313"/>
      <c r="D517" s="313"/>
      <c r="E517" s="313"/>
      <c r="F517" s="313"/>
      <c r="G517" s="313"/>
    </row>
    <row r="518">
      <c r="A518" s="313"/>
      <c r="B518" s="313"/>
      <c r="C518" s="313"/>
      <c r="D518" s="313"/>
      <c r="E518" s="313"/>
      <c r="F518" s="313"/>
      <c r="G518" s="313"/>
    </row>
    <row r="519">
      <c r="A519" s="313"/>
      <c r="B519" s="313"/>
      <c r="C519" s="313"/>
      <c r="D519" s="313"/>
      <c r="E519" s="313"/>
      <c r="F519" s="313"/>
      <c r="G519" s="313"/>
    </row>
    <row r="520">
      <c r="A520" s="313"/>
      <c r="B520" s="313"/>
      <c r="C520" s="313"/>
      <c r="D520" s="313"/>
      <c r="E520" s="313"/>
      <c r="F520" s="313"/>
      <c r="G520" s="313"/>
    </row>
    <row r="521">
      <c r="A521" s="313"/>
      <c r="B521" s="313"/>
      <c r="C521" s="313"/>
      <c r="D521" s="313"/>
      <c r="E521" s="313"/>
      <c r="F521" s="313"/>
      <c r="G521" s="313"/>
    </row>
    <row r="522">
      <c r="A522" s="313"/>
      <c r="B522" s="313"/>
      <c r="C522" s="313"/>
      <c r="D522" s="313"/>
      <c r="E522" s="313"/>
      <c r="F522" s="313"/>
      <c r="G522" s="313"/>
    </row>
    <row r="523">
      <c r="A523" s="313"/>
      <c r="B523" s="313"/>
      <c r="C523" s="313"/>
      <c r="D523" s="313"/>
      <c r="E523" s="313"/>
      <c r="F523" s="313"/>
      <c r="G523" s="313"/>
    </row>
    <row r="524">
      <c r="A524" s="313"/>
      <c r="B524" s="313"/>
      <c r="C524" s="313"/>
      <c r="D524" s="313"/>
      <c r="E524" s="313"/>
      <c r="F524" s="313"/>
      <c r="G524" s="313"/>
    </row>
    <row r="525">
      <c r="A525" s="313"/>
      <c r="B525" s="313"/>
      <c r="C525" s="313"/>
      <c r="D525" s="313"/>
      <c r="E525" s="313"/>
      <c r="F525" s="313"/>
      <c r="G525" s="313"/>
    </row>
    <row r="526">
      <c r="A526" s="313"/>
      <c r="B526" s="313"/>
      <c r="C526" s="313"/>
      <c r="D526" s="313"/>
      <c r="E526" s="313"/>
      <c r="F526" s="313"/>
      <c r="G526" s="313"/>
    </row>
    <row r="527">
      <c r="A527" s="313"/>
      <c r="B527" s="313"/>
      <c r="C527" s="313"/>
      <c r="D527" s="313"/>
      <c r="E527" s="313"/>
      <c r="F527" s="313"/>
      <c r="G527" s="313"/>
    </row>
    <row r="528">
      <c r="A528" s="313"/>
      <c r="B528" s="313"/>
      <c r="C528" s="313"/>
      <c r="D528" s="313"/>
      <c r="E528" s="313"/>
      <c r="F528" s="313"/>
      <c r="G528" s="313"/>
    </row>
    <row r="529">
      <c r="A529" s="313"/>
      <c r="B529" s="313"/>
      <c r="C529" s="313"/>
      <c r="D529" s="313"/>
      <c r="E529" s="313"/>
      <c r="F529" s="313"/>
      <c r="G529" s="313"/>
    </row>
    <row r="530">
      <c r="A530" s="313"/>
      <c r="B530" s="313"/>
      <c r="C530" s="313"/>
      <c r="D530" s="313"/>
      <c r="E530" s="313"/>
      <c r="F530" s="313"/>
      <c r="G530" s="313"/>
    </row>
    <row r="531">
      <c r="A531" s="313"/>
      <c r="B531" s="313"/>
      <c r="C531" s="313"/>
      <c r="D531" s="313"/>
      <c r="E531" s="313"/>
      <c r="F531" s="313"/>
      <c r="G531" s="313"/>
    </row>
    <row r="532">
      <c r="A532" s="313"/>
      <c r="B532" s="313"/>
      <c r="C532" s="313"/>
      <c r="D532" s="313"/>
      <c r="E532" s="313"/>
      <c r="F532" s="313"/>
      <c r="G532" s="313"/>
    </row>
    <row r="533">
      <c r="A533" s="313"/>
      <c r="B533" s="313"/>
      <c r="C533" s="313"/>
      <c r="D533" s="313"/>
      <c r="E533" s="313"/>
      <c r="F533" s="313"/>
      <c r="G533" s="313"/>
    </row>
    <row r="534">
      <c r="A534" s="313"/>
      <c r="B534" s="313"/>
      <c r="C534" s="313"/>
      <c r="D534" s="313"/>
      <c r="E534" s="313"/>
      <c r="F534" s="313"/>
      <c r="G534" s="313"/>
    </row>
    <row r="535">
      <c r="A535" s="313"/>
      <c r="B535" s="313"/>
      <c r="C535" s="313"/>
      <c r="D535" s="313"/>
      <c r="E535" s="313"/>
      <c r="F535" s="313"/>
      <c r="G535" s="313"/>
    </row>
    <row r="536">
      <c r="A536" s="313"/>
      <c r="B536" s="313"/>
      <c r="C536" s="313"/>
      <c r="D536" s="313"/>
      <c r="E536" s="313"/>
      <c r="F536" s="313"/>
      <c r="G536" s="313"/>
    </row>
    <row r="537">
      <c r="A537" s="313"/>
      <c r="B537" s="313"/>
      <c r="C537" s="313"/>
      <c r="D537" s="313"/>
      <c r="E537" s="313"/>
      <c r="F537" s="313"/>
      <c r="G537" s="313"/>
    </row>
    <row r="538">
      <c r="A538" s="313"/>
      <c r="B538" s="313"/>
      <c r="C538" s="313"/>
      <c r="D538" s="313"/>
      <c r="E538" s="313"/>
      <c r="F538" s="313"/>
      <c r="G538" s="313"/>
    </row>
    <row r="539">
      <c r="A539" s="313"/>
      <c r="B539" s="313"/>
      <c r="C539" s="313"/>
      <c r="D539" s="313"/>
      <c r="E539" s="313"/>
      <c r="F539" s="313"/>
      <c r="G539" s="313"/>
    </row>
    <row r="540">
      <c r="A540" s="313"/>
      <c r="B540" s="313"/>
      <c r="C540" s="313"/>
      <c r="D540" s="313"/>
      <c r="E540" s="313"/>
      <c r="F540" s="313"/>
      <c r="G540" s="313"/>
    </row>
    <row r="541">
      <c r="A541" s="313"/>
      <c r="B541" s="313"/>
      <c r="C541" s="313"/>
      <c r="D541" s="313"/>
      <c r="E541" s="313"/>
      <c r="F541" s="313"/>
      <c r="G541" s="313"/>
    </row>
    <row r="542">
      <c r="A542" s="313"/>
      <c r="B542" s="313"/>
      <c r="C542" s="313"/>
      <c r="D542" s="313"/>
      <c r="E542" s="313"/>
      <c r="F542" s="313"/>
      <c r="G542" s="313"/>
    </row>
    <row r="543">
      <c r="A543" s="313"/>
      <c r="B543" s="313"/>
      <c r="C543" s="313"/>
      <c r="D543" s="313"/>
      <c r="E543" s="313"/>
      <c r="F543" s="313"/>
      <c r="G543" s="313"/>
    </row>
    <row r="544">
      <c r="A544" s="313"/>
      <c r="B544" s="313"/>
      <c r="C544" s="313"/>
      <c r="D544" s="313"/>
      <c r="E544" s="313"/>
      <c r="F544" s="313"/>
      <c r="G544" s="313"/>
    </row>
    <row r="545">
      <c r="A545" s="313"/>
      <c r="B545" s="313"/>
      <c r="C545" s="313"/>
      <c r="D545" s="313"/>
      <c r="E545" s="313"/>
      <c r="F545" s="313"/>
      <c r="G545" s="313"/>
    </row>
    <row r="546">
      <c r="A546" s="313"/>
      <c r="B546" s="313"/>
      <c r="C546" s="313"/>
      <c r="D546" s="313"/>
      <c r="E546" s="313"/>
      <c r="F546" s="313"/>
      <c r="G546" s="313"/>
    </row>
    <row r="547">
      <c r="A547" s="313"/>
      <c r="B547" s="313"/>
      <c r="C547" s="313"/>
      <c r="D547" s="313"/>
      <c r="E547" s="313"/>
      <c r="F547" s="313"/>
      <c r="G547" s="313"/>
    </row>
    <row r="548">
      <c r="A548" s="313"/>
      <c r="B548" s="313"/>
      <c r="C548" s="313"/>
      <c r="D548" s="313"/>
      <c r="E548" s="313"/>
      <c r="F548" s="313"/>
      <c r="G548" s="313"/>
    </row>
    <row r="549">
      <c r="A549" s="313"/>
      <c r="B549" s="313"/>
      <c r="C549" s="313"/>
      <c r="D549" s="313"/>
      <c r="E549" s="313"/>
      <c r="F549" s="313"/>
      <c r="G549" s="313"/>
    </row>
    <row r="550">
      <c r="A550" s="313"/>
      <c r="B550" s="313"/>
      <c r="C550" s="313"/>
      <c r="D550" s="313"/>
      <c r="E550" s="313"/>
      <c r="F550" s="313"/>
      <c r="G550" s="313"/>
    </row>
    <row r="551">
      <c r="A551" s="313"/>
      <c r="B551" s="313"/>
      <c r="C551" s="313"/>
      <c r="D551" s="313"/>
      <c r="E551" s="313"/>
      <c r="F551" s="313"/>
      <c r="G551" s="313"/>
    </row>
    <row r="552">
      <c r="A552" s="313"/>
      <c r="B552" s="313"/>
      <c r="C552" s="313"/>
      <c r="D552" s="313"/>
      <c r="E552" s="313"/>
      <c r="F552" s="313"/>
      <c r="G552" s="313"/>
    </row>
    <row r="553">
      <c r="A553" s="313"/>
      <c r="B553" s="313"/>
      <c r="C553" s="313"/>
      <c r="D553" s="313"/>
      <c r="E553" s="313"/>
      <c r="F553" s="313"/>
      <c r="G553" s="313"/>
    </row>
    <row r="554">
      <c r="A554" s="313"/>
      <c r="B554" s="313"/>
      <c r="C554" s="313"/>
      <c r="D554" s="313"/>
      <c r="E554" s="313"/>
      <c r="F554" s="313"/>
      <c r="G554" s="313"/>
    </row>
    <row r="555">
      <c r="A555" s="313"/>
      <c r="B555" s="313"/>
      <c r="C555" s="313"/>
      <c r="D555" s="313"/>
      <c r="E555" s="313"/>
      <c r="F555" s="313"/>
      <c r="G555" s="313"/>
    </row>
    <row r="556">
      <c r="A556" s="313"/>
      <c r="B556" s="313"/>
      <c r="C556" s="313"/>
      <c r="D556" s="313"/>
      <c r="E556" s="313"/>
      <c r="F556" s="313"/>
      <c r="G556" s="313"/>
    </row>
    <row r="557">
      <c r="A557" s="313"/>
      <c r="B557" s="313"/>
      <c r="C557" s="313"/>
      <c r="D557" s="313"/>
      <c r="E557" s="313"/>
      <c r="F557" s="313"/>
      <c r="G557" s="313"/>
    </row>
    <row r="558">
      <c r="A558" s="313"/>
      <c r="B558" s="313"/>
      <c r="C558" s="313"/>
      <c r="D558" s="313"/>
      <c r="E558" s="313"/>
      <c r="F558" s="313"/>
      <c r="G558" s="313"/>
    </row>
    <row r="559">
      <c r="A559" s="313"/>
      <c r="B559" s="313"/>
      <c r="C559" s="313"/>
      <c r="D559" s="313"/>
      <c r="E559" s="313"/>
      <c r="F559" s="313"/>
      <c r="G559" s="313"/>
    </row>
    <row r="560">
      <c r="A560" s="313"/>
      <c r="B560" s="313"/>
      <c r="C560" s="313"/>
      <c r="D560" s="313"/>
      <c r="E560" s="313"/>
      <c r="F560" s="313"/>
      <c r="G560" s="313"/>
    </row>
    <row r="561">
      <c r="A561" s="313"/>
      <c r="B561" s="313"/>
      <c r="C561" s="313"/>
      <c r="D561" s="313"/>
      <c r="E561" s="313"/>
      <c r="F561" s="313"/>
      <c r="G561" s="313"/>
    </row>
    <row r="562">
      <c r="A562" s="313"/>
      <c r="B562" s="313"/>
      <c r="C562" s="313"/>
      <c r="D562" s="313"/>
      <c r="E562" s="313"/>
      <c r="F562" s="313"/>
      <c r="G562" s="313"/>
    </row>
    <row r="563">
      <c r="A563" s="313"/>
      <c r="B563" s="313"/>
      <c r="C563" s="313"/>
      <c r="D563" s="313"/>
      <c r="E563" s="313"/>
      <c r="F563" s="313"/>
      <c r="G563" s="313"/>
    </row>
    <row r="564">
      <c r="A564" s="313"/>
      <c r="B564" s="313"/>
      <c r="C564" s="313"/>
      <c r="D564" s="313"/>
      <c r="E564" s="313"/>
      <c r="F564" s="313"/>
      <c r="G564" s="313"/>
    </row>
    <row r="565">
      <c r="A565" s="313"/>
      <c r="B565" s="313"/>
      <c r="C565" s="313"/>
      <c r="D565" s="313"/>
      <c r="E565" s="313"/>
      <c r="F565" s="313"/>
      <c r="G565" s="313"/>
    </row>
    <row r="566">
      <c r="A566" s="313"/>
      <c r="B566" s="313"/>
      <c r="C566" s="313"/>
      <c r="D566" s="313"/>
      <c r="E566" s="313"/>
      <c r="F566" s="313"/>
      <c r="G566" s="313"/>
    </row>
    <row r="567">
      <c r="A567" s="313"/>
      <c r="B567" s="313"/>
      <c r="C567" s="313"/>
      <c r="D567" s="313"/>
      <c r="E567" s="313"/>
      <c r="F567" s="313"/>
      <c r="G567" s="313"/>
    </row>
    <row r="568">
      <c r="A568" s="313"/>
      <c r="B568" s="313"/>
      <c r="C568" s="313"/>
      <c r="D568" s="313"/>
      <c r="E568" s="313"/>
      <c r="F568" s="313"/>
      <c r="G568" s="313"/>
    </row>
    <row r="569">
      <c r="A569" s="313"/>
      <c r="B569" s="313"/>
      <c r="C569" s="313"/>
      <c r="D569" s="313"/>
      <c r="E569" s="313"/>
      <c r="F569" s="313"/>
      <c r="G569" s="313"/>
    </row>
    <row r="570">
      <c r="A570" s="313"/>
      <c r="B570" s="313"/>
      <c r="C570" s="313"/>
      <c r="D570" s="313"/>
      <c r="E570" s="313"/>
      <c r="F570" s="313"/>
      <c r="G570" s="313"/>
    </row>
    <row r="571">
      <c r="A571" s="313"/>
      <c r="B571" s="313"/>
      <c r="C571" s="313"/>
      <c r="D571" s="313"/>
      <c r="E571" s="313"/>
      <c r="F571" s="313"/>
      <c r="G571" s="313"/>
    </row>
    <row r="572">
      <c r="A572" s="313"/>
      <c r="B572" s="313"/>
      <c r="C572" s="313"/>
      <c r="D572" s="313"/>
      <c r="E572" s="313"/>
      <c r="F572" s="313"/>
      <c r="G572" s="313"/>
    </row>
    <row r="573">
      <c r="A573" s="313"/>
      <c r="B573" s="313"/>
      <c r="C573" s="313"/>
      <c r="D573" s="313"/>
      <c r="E573" s="313"/>
      <c r="F573" s="313"/>
      <c r="G573" s="313"/>
    </row>
    <row r="574">
      <c r="A574" s="313"/>
      <c r="B574" s="313"/>
      <c r="C574" s="313"/>
      <c r="D574" s="313"/>
      <c r="E574" s="313"/>
      <c r="F574" s="313"/>
      <c r="G574" s="313"/>
    </row>
    <row r="575">
      <c r="A575" s="313"/>
      <c r="B575" s="313"/>
      <c r="C575" s="313"/>
      <c r="D575" s="313"/>
      <c r="E575" s="313"/>
      <c r="F575" s="313"/>
      <c r="G575" s="313"/>
    </row>
    <row r="576">
      <c r="A576" s="313"/>
      <c r="B576" s="313"/>
      <c r="C576" s="313"/>
      <c r="D576" s="313"/>
      <c r="E576" s="313"/>
      <c r="F576" s="313"/>
      <c r="G576" s="313"/>
    </row>
    <row r="577">
      <c r="A577" s="313"/>
      <c r="B577" s="313"/>
      <c r="C577" s="313"/>
      <c r="D577" s="313"/>
      <c r="E577" s="313"/>
      <c r="F577" s="313"/>
      <c r="G577" s="313"/>
    </row>
    <row r="578">
      <c r="A578" s="313"/>
      <c r="B578" s="313"/>
      <c r="C578" s="313"/>
      <c r="D578" s="313"/>
      <c r="E578" s="313"/>
      <c r="F578" s="313"/>
      <c r="G578" s="313"/>
    </row>
    <row r="579">
      <c r="A579" s="313"/>
      <c r="B579" s="313"/>
      <c r="C579" s="313"/>
      <c r="D579" s="313"/>
      <c r="E579" s="313"/>
      <c r="F579" s="313"/>
      <c r="G579" s="313"/>
    </row>
    <row r="580">
      <c r="A580" s="313"/>
      <c r="B580" s="313"/>
      <c r="C580" s="313"/>
      <c r="D580" s="313"/>
      <c r="E580" s="313"/>
      <c r="F580" s="313"/>
      <c r="G580" s="313"/>
    </row>
    <row r="581">
      <c r="A581" s="313"/>
      <c r="B581" s="313"/>
      <c r="C581" s="313"/>
      <c r="D581" s="313"/>
      <c r="E581" s="313"/>
      <c r="F581" s="313"/>
      <c r="G581" s="313"/>
    </row>
    <row r="582">
      <c r="A582" s="313"/>
      <c r="B582" s="313"/>
      <c r="C582" s="313"/>
      <c r="D582" s="313"/>
      <c r="E582" s="313"/>
      <c r="F582" s="313"/>
      <c r="G582" s="313"/>
    </row>
    <row r="583">
      <c r="A583" s="313"/>
      <c r="B583" s="313"/>
      <c r="C583" s="313"/>
      <c r="D583" s="313"/>
      <c r="E583" s="313"/>
      <c r="F583" s="313"/>
      <c r="G583" s="313"/>
    </row>
    <row r="584">
      <c r="A584" s="313"/>
      <c r="B584" s="313"/>
      <c r="C584" s="313"/>
      <c r="D584" s="313"/>
      <c r="E584" s="313"/>
      <c r="F584" s="313"/>
      <c r="G584" s="313"/>
    </row>
    <row r="585">
      <c r="A585" s="313"/>
      <c r="B585" s="313"/>
      <c r="C585" s="313"/>
      <c r="D585" s="313"/>
      <c r="E585" s="313"/>
      <c r="F585" s="313"/>
      <c r="G585" s="313"/>
    </row>
    <row r="586">
      <c r="A586" s="313"/>
      <c r="B586" s="313"/>
      <c r="C586" s="313"/>
      <c r="D586" s="313"/>
      <c r="E586" s="313"/>
      <c r="F586" s="313"/>
      <c r="G586" s="313"/>
    </row>
    <row r="587">
      <c r="A587" s="313"/>
      <c r="B587" s="313"/>
      <c r="C587" s="313"/>
      <c r="D587" s="313"/>
      <c r="E587" s="313"/>
      <c r="F587" s="313"/>
      <c r="G587" s="313"/>
    </row>
    <row r="588">
      <c r="A588" s="313"/>
      <c r="B588" s="313"/>
      <c r="C588" s="313"/>
      <c r="D588" s="313"/>
      <c r="E588" s="313"/>
      <c r="F588" s="313"/>
      <c r="G588" s="313"/>
    </row>
    <row r="589">
      <c r="A589" s="313"/>
      <c r="B589" s="313"/>
      <c r="C589" s="313"/>
      <c r="D589" s="313"/>
      <c r="E589" s="313"/>
      <c r="F589" s="313"/>
      <c r="G589" s="313"/>
    </row>
    <row r="590">
      <c r="A590" s="313"/>
      <c r="B590" s="313"/>
      <c r="C590" s="313"/>
      <c r="D590" s="313"/>
      <c r="E590" s="313"/>
      <c r="F590" s="313"/>
      <c r="G590" s="313"/>
    </row>
    <row r="591">
      <c r="A591" s="313"/>
      <c r="B591" s="313"/>
      <c r="C591" s="313"/>
      <c r="D591" s="313"/>
      <c r="E591" s="313"/>
      <c r="F591" s="313"/>
      <c r="G591" s="313"/>
    </row>
    <row r="592">
      <c r="A592" s="313"/>
      <c r="B592" s="313"/>
      <c r="C592" s="313"/>
      <c r="D592" s="313"/>
      <c r="E592" s="313"/>
      <c r="F592" s="313"/>
      <c r="G592" s="313"/>
    </row>
    <row r="593">
      <c r="A593" s="313"/>
      <c r="B593" s="313"/>
      <c r="C593" s="313"/>
      <c r="D593" s="313"/>
      <c r="E593" s="313"/>
      <c r="F593" s="313"/>
      <c r="G593" s="313"/>
    </row>
    <row r="594">
      <c r="A594" s="313"/>
      <c r="B594" s="313"/>
      <c r="C594" s="313"/>
      <c r="D594" s="313"/>
      <c r="E594" s="313"/>
      <c r="F594" s="313"/>
      <c r="G594" s="313"/>
    </row>
    <row r="595">
      <c r="A595" s="313"/>
      <c r="B595" s="313"/>
      <c r="C595" s="313"/>
      <c r="D595" s="313"/>
      <c r="E595" s="313"/>
      <c r="F595" s="313"/>
      <c r="G595" s="313"/>
    </row>
    <row r="596">
      <c r="A596" s="313"/>
      <c r="B596" s="313"/>
      <c r="C596" s="313"/>
      <c r="D596" s="313"/>
      <c r="E596" s="313"/>
      <c r="F596" s="313"/>
      <c r="G596" s="313"/>
    </row>
    <row r="597">
      <c r="A597" s="313"/>
      <c r="B597" s="313"/>
      <c r="C597" s="313"/>
      <c r="D597" s="313"/>
      <c r="E597" s="313"/>
      <c r="F597" s="313"/>
      <c r="G597" s="313"/>
    </row>
    <row r="598">
      <c r="A598" s="313"/>
      <c r="B598" s="313"/>
      <c r="C598" s="313"/>
      <c r="D598" s="313"/>
      <c r="E598" s="313"/>
      <c r="F598" s="313"/>
      <c r="G598" s="313"/>
    </row>
    <row r="599">
      <c r="A599" s="313"/>
      <c r="B599" s="313"/>
      <c r="C599" s="313"/>
      <c r="D599" s="313"/>
      <c r="E599" s="313"/>
      <c r="F599" s="313"/>
      <c r="G599" s="313"/>
    </row>
    <row r="600">
      <c r="A600" s="313"/>
      <c r="B600" s="313"/>
      <c r="C600" s="313"/>
      <c r="D600" s="313"/>
      <c r="E600" s="313"/>
      <c r="F600" s="313"/>
      <c r="G600" s="313"/>
    </row>
    <row r="601">
      <c r="A601" s="313"/>
      <c r="B601" s="313"/>
      <c r="C601" s="313"/>
      <c r="D601" s="313"/>
      <c r="E601" s="313"/>
      <c r="F601" s="313"/>
      <c r="G601" s="313"/>
    </row>
    <row r="602">
      <c r="A602" s="313"/>
      <c r="B602" s="313"/>
      <c r="C602" s="313"/>
      <c r="D602" s="313"/>
      <c r="E602" s="313"/>
      <c r="F602" s="313"/>
      <c r="G602" s="313"/>
    </row>
    <row r="603">
      <c r="A603" s="313"/>
      <c r="B603" s="313"/>
      <c r="C603" s="313"/>
      <c r="D603" s="313"/>
      <c r="E603" s="313"/>
      <c r="F603" s="313"/>
      <c r="G603" s="313"/>
    </row>
    <row r="604">
      <c r="A604" s="313"/>
      <c r="B604" s="313"/>
      <c r="C604" s="313"/>
      <c r="D604" s="313"/>
      <c r="E604" s="313"/>
      <c r="F604" s="313"/>
      <c r="G604" s="313"/>
    </row>
    <row r="605">
      <c r="A605" s="313"/>
      <c r="B605" s="313"/>
      <c r="C605" s="313"/>
      <c r="D605" s="313"/>
      <c r="E605" s="313"/>
      <c r="F605" s="313"/>
      <c r="G605" s="313"/>
    </row>
    <row r="606">
      <c r="A606" s="313"/>
      <c r="B606" s="313"/>
      <c r="C606" s="313"/>
      <c r="D606" s="313"/>
      <c r="E606" s="313"/>
      <c r="F606" s="313"/>
      <c r="G606" s="313"/>
    </row>
    <row r="607">
      <c r="A607" s="313"/>
      <c r="B607" s="313"/>
      <c r="C607" s="313"/>
      <c r="D607" s="313"/>
      <c r="E607" s="313"/>
      <c r="F607" s="313"/>
      <c r="G607" s="313"/>
    </row>
    <row r="608">
      <c r="A608" s="313"/>
      <c r="B608" s="313"/>
      <c r="C608" s="313"/>
      <c r="D608" s="313"/>
      <c r="E608" s="313"/>
      <c r="F608" s="313"/>
      <c r="G608" s="313"/>
    </row>
    <row r="609">
      <c r="A609" s="313"/>
      <c r="B609" s="313"/>
      <c r="C609" s="313"/>
      <c r="D609" s="313"/>
      <c r="E609" s="313"/>
      <c r="F609" s="313"/>
      <c r="G609" s="313"/>
    </row>
    <row r="610">
      <c r="A610" s="313"/>
      <c r="B610" s="313"/>
      <c r="C610" s="313"/>
      <c r="D610" s="313"/>
      <c r="E610" s="313"/>
      <c r="F610" s="313"/>
      <c r="G610" s="313"/>
    </row>
    <row r="611">
      <c r="A611" s="313"/>
      <c r="B611" s="313"/>
      <c r="C611" s="313"/>
      <c r="D611" s="313"/>
      <c r="E611" s="313"/>
      <c r="F611" s="313"/>
      <c r="G611" s="313"/>
    </row>
    <row r="612">
      <c r="A612" s="313"/>
      <c r="B612" s="313"/>
      <c r="C612" s="313"/>
      <c r="D612" s="313"/>
      <c r="E612" s="313"/>
      <c r="F612" s="313"/>
      <c r="G612" s="313"/>
    </row>
    <row r="613">
      <c r="A613" s="313"/>
      <c r="B613" s="313"/>
      <c r="C613" s="313"/>
      <c r="D613" s="313"/>
      <c r="E613" s="313"/>
      <c r="F613" s="313"/>
      <c r="G613" s="313"/>
    </row>
    <row r="614">
      <c r="A614" s="313"/>
      <c r="B614" s="313"/>
      <c r="C614" s="313"/>
      <c r="D614" s="313"/>
      <c r="E614" s="313"/>
      <c r="F614" s="313"/>
      <c r="G614" s="313"/>
    </row>
    <row r="615">
      <c r="A615" s="313"/>
      <c r="B615" s="313"/>
      <c r="C615" s="313"/>
      <c r="D615" s="313"/>
      <c r="E615" s="313"/>
      <c r="F615" s="313"/>
      <c r="G615" s="313"/>
    </row>
    <row r="616">
      <c r="A616" s="313"/>
      <c r="B616" s="313"/>
      <c r="C616" s="313"/>
      <c r="D616" s="313"/>
      <c r="E616" s="313"/>
      <c r="F616" s="313"/>
      <c r="G616" s="313"/>
    </row>
    <row r="617">
      <c r="A617" s="313"/>
      <c r="B617" s="313"/>
      <c r="C617" s="313"/>
      <c r="D617" s="313"/>
      <c r="E617" s="313"/>
      <c r="F617" s="313"/>
      <c r="G617" s="313"/>
    </row>
    <row r="618">
      <c r="A618" s="313"/>
      <c r="B618" s="313"/>
      <c r="C618" s="313"/>
      <c r="D618" s="313"/>
      <c r="E618" s="313"/>
      <c r="F618" s="313"/>
      <c r="G618" s="313"/>
    </row>
    <row r="619">
      <c r="A619" s="313"/>
      <c r="B619" s="313"/>
      <c r="C619" s="313"/>
      <c r="D619" s="313"/>
      <c r="E619" s="313"/>
      <c r="F619" s="313"/>
      <c r="G619" s="313"/>
    </row>
    <row r="620">
      <c r="A620" s="313"/>
      <c r="B620" s="313"/>
      <c r="C620" s="313"/>
      <c r="D620" s="313"/>
      <c r="E620" s="313"/>
      <c r="F620" s="313"/>
      <c r="G620" s="313"/>
    </row>
    <row r="621">
      <c r="A621" s="313"/>
      <c r="B621" s="313"/>
      <c r="C621" s="313"/>
      <c r="D621" s="313"/>
      <c r="E621" s="313"/>
      <c r="F621" s="313"/>
      <c r="G621" s="313"/>
    </row>
    <row r="622">
      <c r="A622" s="313"/>
      <c r="B622" s="313"/>
      <c r="C622" s="313"/>
      <c r="D622" s="313"/>
      <c r="E622" s="313"/>
      <c r="F622" s="313"/>
      <c r="G622" s="313"/>
    </row>
    <row r="623">
      <c r="A623" s="313"/>
      <c r="B623" s="313"/>
      <c r="C623" s="313"/>
      <c r="D623" s="313"/>
      <c r="E623" s="313"/>
      <c r="F623" s="313"/>
      <c r="G623" s="313"/>
    </row>
    <row r="624">
      <c r="A624" s="313"/>
      <c r="B624" s="313"/>
      <c r="C624" s="313"/>
      <c r="D624" s="313"/>
      <c r="E624" s="313"/>
      <c r="F624" s="313"/>
      <c r="G624" s="313"/>
    </row>
    <row r="625">
      <c r="A625" s="313"/>
      <c r="B625" s="313"/>
      <c r="C625" s="313"/>
      <c r="D625" s="313"/>
      <c r="E625" s="313"/>
      <c r="F625" s="313"/>
      <c r="G625" s="313"/>
    </row>
    <row r="626">
      <c r="A626" s="313"/>
      <c r="B626" s="313"/>
      <c r="C626" s="313"/>
      <c r="D626" s="313"/>
      <c r="E626" s="313"/>
      <c r="F626" s="313"/>
      <c r="G626" s="313"/>
    </row>
    <row r="627">
      <c r="A627" s="313"/>
      <c r="B627" s="313"/>
      <c r="C627" s="313"/>
      <c r="D627" s="313"/>
      <c r="E627" s="313"/>
      <c r="F627" s="313"/>
      <c r="G627" s="313"/>
    </row>
    <row r="628">
      <c r="A628" s="313"/>
      <c r="B628" s="313"/>
      <c r="C628" s="313"/>
      <c r="D628" s="313"/>
      <c r="E628" s="313"/>
      <c r="F628" s="313"/>
      <c r="G628" s="313"/>
    </row>
    <row r="629">
      <c r="A629" s="313"/>
      <c r="B629" s="313"/>
      <c r="C629" s="313"/>
      <c r="D629" s="313"/>
      <c r="E629" s="313"/>
      <c r="F629" s="313"/>
      <c r="G629" s="313"/>
    </row>
    <row r="630">
      <c r="A630" s="313"/>
      <c r="B630" s="313"/>
      <c r="C630" s="313"/>
      <c r="D630" s="313"/>
      <c r="E630" s="313"/>
      <c r="F630" s="313"/>
      <c r="G630" s="313"/>
    </row>
    <row r="631">
      <c r="A631" s="313"/>
      <c r="B631" s="313"/>
      <c r="C631" s="313"/>
      <c r="D631" s="313"/>
      <c r="E631" s="313"/>
      <c r="F631" s="313"/>
      <c r="G631" s="313"/>
    </row>
    <row r="632">
      <c r="A632" s="313"/>
      <c r="B632" s="313"/>
      <c r="C632" s="313"/>
      <c r="D632" s="313"/>
      <c r="E632" s="313"/>
      <c r="F632" s="313"/>
      <c r="G632" s="313"/>
    </row>
    <row r="633">
      <c r="A633" s="313"/>
      <c r="B633" s="313"/>
      <c r="C633" s="313"/>
      <c r="D633" s="313"/>
      <c r="E633" s="313"/>
      <c r="F633" s="313"/>
      <c r="G633" s="313"/>
    </row>
    <row r="634">
      <c r="A634" s="313"/>
      <c r="B634" s="313"/>
      <c r="C634" s="313"/>
      <c r="D634" s="313"/>
      <c r="E634" s="313"/>
      <c r="F634" s="313"/>
      <c r="G634" s="313"/>
    </row>
    <row r="635">
      <c r="A635" s="313"/>
      <c r="B635" s="313"/>
      <c r="C635" s="313"/>
      <c r="D635" s="313"/>
      <c r="E635" s="313"/>
      <c r="F635" s="313"/>
      <c r="G635" s="313"/>
    </row>
    <row r="636">
      <c r="A636" s="313"/>
      <c r="B636" s="313"/>
      <c r="C636" s="313"/>
      <c r="D636" s="313"/>
      <c r="E636" s="313"/>
      <c r="F636" s="313"/>
      <c r="G636" s="313"/>
    </row>
    <row r="637">
      <c r="A637" s="313"/>
      <c r="B637" s="313"/>
      <c r="C637" s="313"/>
      <c r="D637" s="313"/>
      <c r="E637" s="313"/>
      <c r="F637" s="313"/>
      <c r="G637" s="313"/>
    </row>
    <row r="638">
      <c r="A638" s="313"/>
      <c r="B638" s="313"/>
      <c r="C638" s="313"/>
      <c r="D638" s="313"/>
      <c r="E638" s="313"/>
      <c r="F638" s="313"/>
      <c r="G638" s="313"/>
    </row>
    <row r="639">
      <c r="A639" s="313"/>
      <c r="B639" s="313"/>
      <c r="C639" s="313"/>
      <c r="D639" s="313"/>
      <c r="E639" s="313"/>
      <c r="F639" s="313"/>
      <c r="G639" s="313"/>
    </row>
    <row r="640">
      <c r="A640" s="313"/>
      <c r="B640" s="313"/>
      <c r="C640" s="313"/>
      <c r="D640" s="313"/>
      <c r="E640" s="313"/>
      <c r="F640" s="313"/>
      <c r="G640" s="313"/>
    </row>
    <row r="641">
      <c r="A641" s="313"/>
      <c r="B641" s="313"/>
      <c r="C641" s="313"/>
      <c r="D641" s="313"/>
      <c r="E641" s="313"/>
      <c r="F641" s="313"/>
      <c r="G641" s="313"/>
    </row>
    <row r="642">
      <c r="A642" s="313"/>
      <c r="B642" s="313"/>
      <c r="C642" s="313"/>
      <c r="D642" s="313"/>
      <c r="E642" s="313"/>
      <c r="F642" s="313"/>
      <c r="G642" s="313"/>
    </row>
    <row r="643">
      <c r="A643" s="313"/>
      <c r="B643" s="313"/>
      <c r="C643" s="313"/>
      <c r="D643" s="313"/>
      <c r="E643" s="313"/>
      <c r="F643" s="313"/>
      <c r="G643" s="313"/>
    </row>
    <row r="644">
      <c r="A644" s="313"/>
      <c r="B644" s="313"/>
      <c r="C644" s="313"/>
      <c r="D644" s="313"/>
      <c r="E644" s="313"/>
      <c r="F644" s="313"/>
      <c r="G644" s="313"/>
    </row>
    <row r="645">
      <c r="A645" s="313"/>
      <c r="B645" s="313"/>
      <c r="C645" s="313"/>
      <c r="D645" s="313"/>
      <c r="E645" s="313"/>
      <c r="F645" s="313"/>
      <c r="G645" s="313"/>
    </row>
    <row r="646">
      <c r="A646" s="313"/>
      <c r="B646" s="313"/>
      <c r="C646" s="313"/>
      <c r="D646" s="313"/>
      <c r="E646" s="313"/>
      <c r="F646" s="313"/>
      <c r="G646" s="313"/>
    </row>
    <row r="647">
      <c r="A647" s="313"/>
      <c r="B647" s="313"/>
      <c r="C647" s="313"/>
      <c r="D647" s="313"/>
      <c r="E647" s="313"/>
      <c r="F647" s="313"/>
      <c r="G647" s="313"/>
    </row>
    <row r="648">
      <c r="A648" s="313"/>
      <c r="B648" s="313"/>
      <c r="C648" s="313"/>
      <c r="D648" s="313"/>
      <c r="E648" s="313"/>
      <c r="F648" s="313"/>
      <c r="G648" s="313"/>
    </row>
    <row r="649">
      <c r="A649" s="313"/>
      <c r="B649" s="313"/>
      <c r="C649" s="313"/>
      <c r="D649" s="313"/>
      <c r="E649" s="313"/>
      <c r="F649" s="313"/>
      <c r="G649" s="313"/>
    </row>
    <row r="650">
      <c r="A650" s="313"/>
      <c r="B650" s="313"/>
      <c r="C650" s="313"/>
      <c r="D650" s="313"/>
      <c r="E650" s="313"/>
      <c r="F650" s="313"/>
      <c r="G650" s="313"/>
    </row>
    <row r="651">
      <c r="A651" s="313"/>
      <c r="B651" s="313"/>
      <c r="C651" s="313"/>
      <c r="D651" s="313"/>
      <c r="E651" s="313"/>
      <c r="F651" s="313"/>
      <c r="G651" s="313"/>
    </row>
    <row r="652">
      <c r="A652" s="313"/>
      <c r="B652" s="313"/>
      <c r="C652" s="313"/>
      <c r="D652" s="313"/>
      <c r="E652" s="313"/>
      <c r="F652" s="313"/>
      <c r="G652" s="313"/>
    </row>
    <row r="653">
      <c r="A653" s="313"/>
      <c r="B653" s="313"/>
      <c r="C653" s="313"/>
      <c r="D653" s="313"/>
      <c r="E653" s="313"/>
      <c r="F653" s="313"/>
      <c r="G653" s="313"/>
    </row>
    <row r="654">
      <c r="A654" s="313"/>
      <c r="B654" s="313"/>
      <c r="C654" s="313"/>
      <c r="D654" s="313"/>
      <c r="E654" s="313"/>
      <c r="F654" s="313"/>
      <c r="G654" s="313"/>
    </row>
    <row r="655">
      <c r="A655" s="313"/>
      <c r="B655" s="313"/>
      <c r="C655" s="313"/>
      <c r="D655" s="313"/>
      <c r="E655" s="313"/>
      <c r="F655" s="313"/>
      <c r="G655" s="313"/>
    </row>
    <row r="656">
      <c r="A656" s="313"/>
      <c r="B656" s="313"/>
      <c r="C656" s="313"/>
      <c r="D656" s="313"/>
      <c r="E656" s="313"/>
      <c r="F656" s="313"/>
      <c r="G656" s="313"/>
    </row>
    <row r="657">
      <c r="A657" s="313"/>
      <c r="B657" s="313"/>
      <c r="C657" s="313"/>
      <c r="D657" s="313"/>
      <c r="E657" s="313"/>
      <c r="F657" s="313"/>
      <c r="G657" s="313"/>
    </row>
    <row r="658">
      <c r="A658" s="313"/>
      <c r="B658" s="313"/>
      <c r="C658" s="313"/>
      <c r="D658" s="313"/>
      <c r="E658" s="313"/>
      <c r="F658" s="313"/>
      <c r="G658" s="313"/>
    </row>
    <row r="659">
      <c r="A659" s="313"/>
      <c r="B659" s="313"/>
      <c r="C659" s="313"/>
      <c r="D659" s="313"/>
      <c r="E659" s="313"/>
      <c r="F659" s="313"/>
      <c r="G659" s="313"/>
    </row>
    <row r="660">
      <c r="A660" s="313"/>
      <c r="B660" s="313"/>
      <c r="C660" s="313"/>
      <c r="D660" s="313"/>
      <c r="E660" s="313"/>
      <c r="F660" s="313"/>
      <c r="G660" s="313"/>
    </row>
    <row r="661">
      <c r="A661" s="313"/>
      <c r="B661" s="313"/>
      <c r="C661" s="313"/>
      <c r="D661" s="313"/>
      <c r="E661" s="313"/>
      <c r="F661" s="313"/>
      <c r="G661" s="313"/>
    </row>
    <row r="662">
      <c r="A662" s="313"/>
      <c r="B662" s="313"/>
      <c r="C662" s="313"/>
      <c r="D662" s="313"/>
      <c r="E662" s="313"/>
      <c r="F662" s="313"/>
      <c r="G662" s="313"/>
    </row>
    <row r="663">
      <c r="A663" s="313"/>
      <c r="B663" s="313"/>
      <c r="C663" s="313"/>
      <c r="D663" s="313"/>
      <c r="E663" s="313"/>
      <c r="F663" s="313"/>
      <c r="G663" s="313"/>
    </row>
    <row r="664">
      <c r="A664" s="313"/>
      <c r="B664" s="313"/>
      <c r="C664" s="313"/>
      <c r="D664" s="313"/>
      <c r="E664" s="313"/>
      <c r="F664" s="313"/>
      <c r="G664" s="313"/>
    </row>
    <row r="665">
      <c r="A665" s="313"/>
      <c r="B665" s="313"/>
      <c r="C665" s="313"/>
      <c r="D665" s="313"/>
      <c r="E665" s="313"/>
      <c r="F665" s="313"/>
      <c r="G665" s="313"/>
    </row>
    <row r="666">
      <c r="A666" s="313"/>
      <c r="B666" s="313"/>
      <c r="C666" s="313"/>
      <c r="D666" s="313"/>
      <c r="E666" s="313"/>
      <c r="F666" s="313"/>
      <c r="G666" s="313"/>
    </row>
    <row r="667">
      <c r="A667" s="313"/>
      <c r="B667" s="313"/>
      <c r="C667" s="313"/>
      <c r="D667" s="313"/>
      <c r="E667" s="313"/>
      <c r="F667" s="313"/>
      <c r="G667" s="313"/>
    </row>
    <row r="668">
      <c r="A668" s="313"/>
      <c r="B668" s="313"/>
      <c r="C668" s="313"/>
      <c r="D668" s="313"/>
      <c r="E668" s="313"/>
      <c r="F668" s="313"/>
      <c r="G668" s="313"/>
    </row>
    <row r="669">
      <c r="A669" s="313"/>
      <c r="B669" s="313"/>
      <c r="C669" s="313"/>
      <c r="D669" s="313"/>
      <c r="E669" s="313"/>
      <c r="F669" s="313"/>
      <c r="G669" s="313"/>
    </row>
    <row r="670">
      <c r="A670" s="313"/>
      <c r="B670" s="313"/>
      <c r="C670" s="313"/>
      <c r="D670" s="313"/>
      <c r="E670" s="313"/>
      <c r="F670" s="313"/>
      <c r="G670" s="313"/>
    </row>
    <row r="671">
      <c r="A671" s="313"/>
      <c r="B671" s="313"/>
      <c r="C671" s="313"/>
      <c r="D671" s="313"/>
      <c r="E671" s="313"/>
      <c r="F671" s="313"/>
      <c r="G671" s="313"/>
    </row>
    <row r="672">
      <c r="A672" s="313"/>
      <c r="B672" s="313"/>
      <c r="C672" s="313"/>
      <c r="D672" s="313"/>
      <c r="E672" s="313"/>
      <c r="F672" s="313"/>
      <c r="G672" s="313"/>
    </row>
    <row r="673">
      <c r="A673" s="313"/>
      <c r="B673" s="313"/>
      <c r="C673" s="313"/>
      <c r="D673" s="313"/>
      <c r="E673" s="313"/>
      <c r="F673" s="313"/>
      <c r="G673" s="313"/>
    </row>
    <row r="674">
      <c r="A674" s="313"/>
      <c r="B674" s="313"/>
      <c r="C674" s="313"/>
      <c r="D674" s="313"/>
      <c r="E674" s="313"/>
      <c r="F674" s="313"/>
      <c r="G674" s="313"/>
    </row>
    <row r="675">
      <c r="A675" s="313"/>
      <c r="B675" s="313"/>
      <c r="C675" s="313"/>
      <c r="D675" s="313"/>
      <c r="E675" s="313"/>
      <c r="F675" s="313"/>
      <c r="G675" s="313"/>
    </row>
    <row r="676">
      <c r="A676" s="313"/>
      <c r="B676" s="313"/>
      <c r="C676" s="313"/>
      <c r="D676" s="313"/>
      <c r="E676" s="313"/>
      <c r="F676" s="313"/>
      <c r="G676" s="313"/>
    </row>
    <row r="677">
      <c r="A677" s="313"/>
      <c r="B677" s="313"/>
      <c r="C677" s="313"/>
      <c r="D677" s="313"/>
      <c r="E677" s="313"/>
      <c r="F677" s="313"/>
      <c r="G677" s="313"/>
    </row>
    <row r="678">
      <c r="A678" s="313"/>
      <c r="B678" s="313"/>
      <c r="C678" s="313"/>
      <c r="D678" s="313"/>
      <c r="E678" s="313"/>
      <c r="F678" s="313"/>
      <c r="G678" s="313"/>
    </row>
    <row r="679">
      <c r="A679" s="313"/>
      <c r="B679" s="313"/>
      <c r="C679" s="313"/>
      <c r="D679" s="313"/>
      <c r="E679" s="313"/>
      <c r="F679" s="313"/>
      <c r="G679" s="313"/>
    </row>
    <row r="680">
      <c r="A680" s="313"/>
      <c r="B680" s="313"/>
      <c r="C680" s="313"/>
      <c r="D680" s="313"/>
      <c r="E680" s="313"/>
      <c r="F680" s="313"/>
      <c r="G680" s="313"/>
    </row>
    <row r="681">
      <c r="A681" s="313"/>
      <c r="B681" s="313"/>
      <c r="C681" s="313"/>
      <c r="D681" s="313"/>
      <c r="E681" s="313"/>
      <c r="F681" s="313"/>
      <c r="G681" s="313"/>
    </row>
    <row r="682">
      <c r="A682" s="313"/>
      <c r="B682" s="313"/>
      <c r="C682" s="313"/>
      <c r="D682" s="313"/>
      <c r="E682" s="313"/>
      <c r="F682" s="313"/>
      <c r="G682" s="313"/>
    </row>
    <row r="683">
      <c r="A683" s="313"/>
      <c r="B683" s="313"/>
      <c r="C683" s="313"/>
      <c r="D683" s="313"/>
      <c r="E683" s="313"/>
      <c r="F683" s="313"/>
      <c r="G683" s="313"/>
    </row>
    <row r="684">
      <c r="A684" s="313"/>
      <c r="B684" s="313"/>
      <c r="C684" s="313"/>
      <c r="D684" s="313"/>
      <c r="E684" s="313"/>
      <c r="F684" s="313"/>
      <c r="G684" s="313"/>
    </row>
    <row r="685">
      <c r="A685" s="313"/>
      <c r="B685" s="313"/>
      <c r="C685" s="313"/>
      <c r="D685" s="313"/>
      <c r="E685" s="313"/>
      <c r="F685" s="313"/>
      <c r="G685" s="313"/>
    </row>
    <row r="686">
      <c r="A686" s="313"/>
      <c r="B686" s="313"/>
      <c r="C686" s="313"/>
      <c r="D686" s="313"/>
      <c r="E686" s="313"/>
      <c r="F686" s="313"/>
      <c r="G686" s="313"/>
    </row>
    <row r="687">
      <c r="A687" s="313"/>
      <c r="B687" s="313"/>
      <c r="C687" s="313"/>
      <c r="D687" s="313"/>
      <c r="E687" s="313"/>
      <c r="F687" s="313"/>
      <c r="G687" s="313"/>
    </row>
    <row r="688">
      <c r="A688" s="313"/>
      <c r="B688" s="313"/>
      <c r="C688" s="313"/>
      <c r="D688" s="313"/>
      <c r="E688" s="313"/>
      <c r="F688" s="313"/>
      <c r="G688" s="313"/>
    </row>
    <row r="689">
      <c r="A689" s="313"/>
      <c r="B689" s="313"/>
      <c r="C689" s="313"/>
      <c r="D689" s="313"/>
      <c r="E689" s="313"/>
      <c r="F689" s="313"/>
      <c r="G689" s="313"/>
    </row>
    <row r="690">
      <c r="A690" s="313"/>
      <c r="B690" s="313"/>
      <c r="C690" s="313"/>
      <c r="D690" s="313"/>
      <c r="E690" s="313"/>
      <c r="F690" s="313"/>
      <c r="G690" s="313"/>
    </row>
    <row r="691">
      <c r="A691" s="313"/>
      <c r="B691" s="313"/>
      <c r="C691" s="313"/>
      <c r="D691" s="313"/>
      <c r="E691" s="313"/>
      <c r="F691" s="313"/>
      <c r="G691" s="313"/>
    </row>
    <row r="692">
      <c r="A692" s="313"/>
      <c r="B692" s="313"/>
      <c r="C692" s="313"/>
      <c r="D692" s="313"/>
      <c r="E692" s="313"/>
      <c r="F692" s="313"/>
      <c r="G692" s="313"/>
    </row>
    <row r="693">
      <c r="A693" s="313"/>
      <c r="B693" s="313"/>
      <c r="C693" s="313"/>
      <c r="D693" s="313"/>
      <c r="E693" s="313"/>
      <c r="F693" s="313"/>
      <c r="G693" s="313"/>
    </row>
    <row r="694">
      <c r="A694" s="313"/>
      <c r="B694" s="313"/>
      <c r="C694" s="313"/>
      <c r="D694" s="313"/>
      <c r="E694" s="313"/>
      <c r="F694" s="313"/>
      <c r="G694" s="313"/>
    </row>
    <row r="695">
      <c r="A695" s="313"/>
      <c r="B695" s="313"/>
      <c r="C695" s="313"/>
      <c r="D695" s="313"/>
      <c r="E695" s="313"/>
      <c r="F695" s="313"/>
      <c r="G695" s="313"/>
    </row>
    <row r="696">
      <c r="A696" s="313"/>
      <c r="B696" s="313"/>
      <c r="C696" s="313"/>
      <c r="D696" s="313"/>
      <c r="E696" s="313"/>
      <c r="F696" s="313"/>
      <c r="G696" s="313"/>
    </row>
    <row r="697">
      <c r="A697" s="313"/>
      <c r="B697" s="313"/>
      <c r="C697" s="313"/>
      <c r="D697" s="313"/>
      <c r="E697" s="313"/>
      <c r="F697" s="313"/>
      <c r="G697" s="313"/>
    </row>
    <row r="698">
      <c r="A698" s="313"/>
      <c r="B698" s="313"/>
      <c r="C698" s="313"/>
      <c r="D698" s="313"/>
      <c r="E698" s="313"/>
      <c r="F698" s="313"/>
      <c r="G698" s="313"/>
    </row>
    <row r="699">
      <c r="A699" s="313"/>
      <c r="B699" s="313"/>
      <c r="C699" s="313"/>
      <c r="D699" s="313"/>
      <c r="E699" s="313"/>
      <c r="F699" s="313"/>
      <c r="G699" s="313"/>
    </row>
    <row r="700">
      <c r="A700" s="313"/>
      <c r="B700" s="313"/>
      <c r="C700" s="313"/>
      <c r="D700" s="313"/>
      <c r="E700" s="313"/>
      <c r="F700" s="313"/>
      <c r="G700" s="313"/>
    </row>
    <row r="701">
      <c r="A701" s="313"/>
      <c r="B701" s="313"/>
      <c r="C701" s="313"/>
      <c r="D701" s="313"/>
      <c r="E701" s="313"/>
      <c r="F701" s="313"/>
      <c r="G701" s="313"/>
    </row>
    <row r="702">
      <c r="A702" s="313"/>
      <c r="B702" s="313"/>
      <c r="C702" s="313"/>
      <c r="D702" s="313"/>
      <c r="E702" s="313"/>
      <c r="F702" s="313"/>
      <c r="G702" s="313"/>
    </row>
    <row r="703">
      <c r="A703" s="313"/>
      <c r="B703" s="313"/>
      <c r="C703" s="313"/>
      <c r="D703" s="313"/>
      <c r="E703" s="313"/>
      <c r="F703" s="313"/>
      <c r="G703" s="313"/>
    </row>
    <row r="704">
      <c r="A704" s="313"/>
      <c r="B704" s="313"/>
      <c r="C704" s="313"/>
      <c r="D704" s="313"/>
      <c r="E704" s="313"/>
      <c r="F704" s="313"/>
      <c r="G704" s="313"/>
    </row>
    <row r="705">
      <c r="A705" s="313"/>
      <c r="B705" s="313"/>
      <c r="C705" s="313"/>
      <c r="D705" s="313"/>
      <c r="E705" s="313"/>
      <c r="F705" s="313"/>
      <c r="G705" s="313"/>
    </row>
    <row r="706">
      <c r="A706" s="313"/>
      <c r="B706" s="313"/>
      <c r="C706" s="313"/>
      <c r="D706" s="313"/>
      <c r="E706" s="313"/>
      <c r="F706" s="313"/>
      <c r="G706" s="313"/>
    </row>
    <row r="707">
      <c r="A707" s="313"/>
      <c r="B707" s="313"/>
      <c r="C707" s="313"/>
      <c r="D707" s="313"/>
      <c r="E707" s="313"/>
      <c r="F707" s="313"/>
      <c r="G707" s="313"/>
    </row>
    <row r="708">
      <c r="A708" s="313"/>
      <c r="B708" s="313"/>
      <c r="C708" s="313"/>
      <c r="D708" s="313"/>
      <c r="E708" s="313"/>
      <c r="F708" s="313"/>
      <c r="G708" s="313"/>
    </row>
    <row r="709">
      <c r="A709" s="313"/>
      <c r="B709" s="313"/>
      <c r="C709" s="313"/>
      <c r="D709" s="313"/>
      <c r="E709" s="313"/>
      <c r="F709" s="313"/>
      <c r="G709" s="313"/>
    </row>
    <row r="710">
      <c r="A710" s="313"/>
      <c r="B710" s="313"/>
      <c r="C710" s="313"/>
      <c r="D710" s="313"/>
      <c r="E710" s="313"/>
      <c r="F710" s="313"/>
      <c r="G710" s="313"/>
    </row>
    <row r="711">
      <c r="A711" s="313"/>
      <c r="B711" s="313"/>
      <c r="C711" s="313"/>
      <c r="D711" s="313"/>
      <c r="E711" s="313"/>
      <c r="F711" s="313"/>
      <c r="G711" s="313"/>
    </row>
    <row r="712">
      <c r="A712" s="313"/>
      <c r="B712" s="313"/>
      <c r="C712" s="313"/>
      <c r="D712" s="313"/>
      <c r="E712" s="313"/>
      <c r="F712" s="313"/>
      <c r="G712" s="313"/>
    </row>
    <row r="713">
      <c r="A713" s="313"/>
      <c r="B713" s="313"/>
      <c r="C713" s="313"/>
      <c r="D713" s="313"/>
      <c r="E713" s="313"/>
      <c r="F713" s="313"/>
      <c r="G713" s="313"/>
    </row>
    <row r="714">
      <c r="A714" s="313"/>
      <c r="B714" s="313"/>
      <c r="C714" s="313"/>
      <c r="D714" s="313"/>
      <c r="E714" s="313"/>
      <c r="F714" s="313"/>
      <c r="G714" s="313"/>
    </row>
    <row r="715">
      <c r="A715" s="313"/>
      <c r="B715" s="313"/>
      <c r="C715" s="313"/>
      <c r="D715" s="313"/>
      <c r="E715" s="313"/>
      <c r="F715" s="313"/>
      <c r="G715" s="313"/>
    </row>
    <row r="716">
      <c r="A716" s="313"/>
      <c r="B716" s="313"/>
      <c r="C716" s="313"/>
      <c r="D716" s="313"/>
      <c r="E716" s="313"/>
      <c r="F716" s="313"/>
      <c r="G716" s="313"/>
    </row>
    <row r="717">
      <c r="A717" s="313"/>
      <c r="B717" s="313"/>
      <c r="C717" s="313"/>
      <c r="D717" s="313"/>
      <c r="E717" s="313"/>
      <c r="F717" s="313"/>
      <c r="G717" s="313"/>
    </row>
    <row r="718">
      <c r="A718" s="313"/>
      <c r="B718" s="313"/>
      <c r="C718" s="313"/>
      <c r="D718" s="313"/>
      <c r="E718" s="313"/>
      <c r="F718" s="313"/>
      <c r="G718" s="313"/>
    </row>
    <row r="719">
      <c r="A719" s="313"/>
      <c r="B719" s="313"/>
      <c r="C719" s="313"/>
      <c r="D719" s="313"/>
      <c r="E719" s="313"/>
      <c r="F719" s="313"/>
      <c r="G719" s="313"/>
    </row>
    <row r="720">
      <c r="A720" s="313"/>
      <c r="B720" s="313"/>
      <c r="C720" s="313"/>
      <c r="D720" s="313"/>
      <c r="E720" s="313"/>
      <c r="F720" s="313"/>
      <c r="G720" s="313"/>
    </row>
    <row r="721">
      <c r="A721" s="313"/>
      <c r="B721" s="313"/>
      <c r="C721" s="313"/>
      <c r="D721" s="313"/>
      <c r="E721" s="313"/>
      <c r="F721" s="313"/>
      <c r="G721" s="313"/>
    </row>
    <row r="722">
      <c r="A722" s="313"/>
      <c r="B722" s="313"/>
      <c r="C722" s="313"/>
      <c r="D722" s="313"/>
      <c r="E722" s="313"/>
      <c r="F722" s="313"/>
      <c r="G722" s="313"/>
    </row>
    <row r="723">
      <c r="A723" s="313"/>
      <c r="B723" s="313"/>
      <c r="C723" s="313"/>
      <c r="D723" s="313"/>
      <c r="E723" s="313"/>
      <c r="F723" s="313"/>
      <c r="G723" s="313"/>
    </row>
    <row r="724">
      <c r="A724" s="313"/>
      <c r="B724" s="313"/>
      <c r="C724" s="313"/>
      <c r="D724" s="313"/>
      <c r="E724" s="313"/>
      <c r="F724" s="313"/>
      <c r="G724" s="313"/>
    </row>
    <row r="725">
      <c r="A725" s="313"/>
      <c r="B725" s="313"/>
      <c r="C725" s="313"/>
      <c r="D725" s="313"/>
      <c r="E725" s="313"/>
      <c r="F725" s="313"/>
      <c r="G725" s="313"/>
    </row>
    <row r="726">
      <c r="A726" s="313"/>
      <c r="B726" s="313"/>
      <c r="C726" s="313"/>
      <c r="D726" s="313"/>
      <c r="E726" s="313"/>
      <c r="F726" s="313"/>
      <c r="G726" s="313"/>
    </row>
    <row r="727">
      <c r="A727" s="313"/>
      <c r="B727" s="313"/>
      <c r="C727" s="313"/>
      <c r="D727" s="313"/>
      <c r="E727" s="313"/>
      <c r="F727" s="313"/>
      <c r="G727" s="313"/>
    </row>
    <row r="728">
      <c r="A728" s="313"/>
      <c r="B728" s="313"/>
      <c r="C728" s="313"/>
      <c r="D728" s="313"/>
      <c r="E728" s="313"/>
      <c r="F728" s="313"/>
      <c r="G728" s="313"/>
    </row>
    <row r="729">
      <c r="A729" s="313"/>
      <c r="B729" s="313"/>
      <c r="C729" s="313"/>
      <c r="D729" s="313"/>
      <c r="E729" s="313"/>
      <c r="F729" s="313"/>
      <c r="G729" s="313"/>
    </row>
    <row r="730">
      <c r="A730" s="313"/>
      <c r="B730" s="313"/>
      <c r="C730" s="313"/>
      <c r="D730" s="313"/>
      <c r="E730" s="313"/>
      <c r="F730" s="313"/>
      <c r="G730" s="313"/>
    </row>
    <row r="731">
      <c r="A731" s="313"/>
      <c r="B731" s="313"/>
      <c r="C731" s="313"/>
      <c r="D731" s="313"/>
      <c r="E731" s="313"/>
      <c r="F731" s="313"/>
      <c r="G731" s="313"/>
    </row>
    <row r="732">
      <c r="A732" s="313"/>
      <c r="B732" s="313"/>
      <c r="C732" s="313"/>
      <c r="D732" s="313"/>
      <c r="E732" s="313"/>
      <c r="F732" s="313"/>
      <c r="G732" s="313"/>
    </row>
    <row r="733">
      <c r="A733" s="313"/>
      <c r="B733" s="313"/>
      <c r="C733" s="313"/>
      <c r="D733" s="313"/>
      <c r="E733" s="313"/>
      <c r="F733" s="313"/>
      <c r="G733" s="313"/>
    </row>
    <row r="734">
      <c r="A734" s="313"/>
      <c r="B734" s="313"/>
      <c r="C734" s="313"/>
      <c r="D734" s="313"/>
      <c r="E734" s="313"/>
      <c r="F734" s="313"/>
      <c r="G734" s="313"/>
    </row>
    <row r="735">
      <c r="A735" s="313"/>
      <c r="B735" s="313"/>
      <c r="C735" s="313"/>
      <c r="D735" s="313"/>
      <c r="E735" s="313"/>
      <c r="F735" s="313"/>
      <c r="G735" s="313"/>
    </row>
    <row r="736">
      <c r="A736" s="313"/>
      <c r="B736" s="313"/>
      <c r="C736" s="313"/>
      <c r="D736" s="313"/>
      <c r="E736" s="313"/>
      <c r="F736" s="313"/>
      <c r="G736" s="313"/>
    </row>
    <row r="737">
      <c r="A737" s="313"/>
      <c r="B737" s="313"/>
      <c r="C737" s="313"/>
      <c r="D737" s="313"/>
      <c r="E737" s="313"/>
      <c r="F737" s="313"/>
      <c r="G737" s="313"/>
    </row>
    <row r="738">
      <c r="A738" s="313"/>
      <c r="B738" s="313"/>
      <c r="C738" s="313"/>
      <c r="D738" s="313"/>
      <c r="E738" s="313"/>
      <c r="F738" s="313"/>
      <c r="G738" s="313"/>
    </row>
    <row r="739">
      <c r="A739" s="313"/>
      <c r="B739" s="313"/>
      <c r="C739" s="313"/>
      <c r="D739" s="313"/>
      <c r="E739" s="313"/>
      <c r="F739" s="313"/>
      <c r="G739" s="313"/>
    </row>
    <row r="740">
      <c r="A740" s="313"/>
      <c r="B740" s="313"/>
      <c r="C740" s="313"/>
      <c r="D740" s="313"/>
      <c r="E740" s="313"/>
      <c r="F740" s="313"/>
      <c r="G740" s="313"/>
    </row>
    <row r="741">
      <c r="A741" s="313"/>
      <c r="B741" s="313"/>
      <c r="C741" s="313"/>
      <c r="D741" s="313"/>
      <c r="E741" s="313"/>
      <c r="F741" s="313"/>
      <c r="G741" s="313"/>
    </row>
    <row r="742">
      <c r="A742" s="313"/>
      <c r="B742" s="313"/>
      <c r="C742" s="313"/>
      <c r="D742" s="313"/>
      <c r="E742" s="313"/>
      <c r="F742" s="313"/>
      <c r="G742" s="313"/>
    </row>
    <row r="743">
      <c r="A743" s="313"/>
      <c r="B743" s="313"/>
      <c r="C743" s="313"/>
      <c r="D743" s="313"/>
      <c r="E743" s="313"/>
      <c r="F743" s="313"/>
      <c r="G743" s="313"/>
    </row>
    <row r="744">
      <c r="A744" s="313"/>
      <c r="B744" s="313"/>
      <c r="C744" s="313"/>
      <c r="D744" s="313"/>
      <c r="E744" s="313"/>
      <c r="F744" s="313"/>
      <c r="G744" s="313"/>
    </row>
    <row r="745">
      <c r="A745" s="313"/>
      <c r="B745" s="313"/>
      <c r="C745" s="313"/>
      <c r="D745" s="313"/>
      <c r="E745" s="313"/>
      <c r="F745" s="313"/>
      <c r="G745" s="313"/>
    </row>
    <row r="746">
      <c r="A746" s="313"/>
      <c r="B746" s="313"/>
      <c r="C746" s="313"/>
      <c r="D746" s="313"/>
      <c r="E746" s="313"/>
      <c r="F746" s="313"/>
      <c r="G746" s="313"/>
    </row>
    <row r="747">
      <c r="A747" s="313"/>
      <c r="B747" s="313"/>
      <c r="C747" s="313"/>
      <c r="D747" s="313"/>
      <c r="E747" s="313"/>
      <c r="F747" s="313"/>
      <c r="G747" s="313"/>
    </row>
    <row r="748">
      <c r="A748" s="313"/>
      <c r="B748" s="313"/>
      <c r="C748" s="313"/>
      <c r="D748" s="313"/>
      <c r="E748" s="313"/>
      <c r="F748" s="313"/>
      <c r="G748" s="313"/>
    </row>
    <row r="749">
      <c r="A749" s="313"/>
      <c r="B749" s="313"/>
      <c r="C749" s="313"/>
      <c r="D749" s="313"/>
      <c r="E749" s="313"/>
      <c r="F749" s="313"/>
      <c r="G749" s="313"/>
    </row>
    <row r="750">
      <c r="A750" s="313"/>
      <c r="B750" s="313"/>
      <c r="C750" s="313"/>
      <c r="D750" s="313"/>
      <c r="E750" s="313"/>
      <c r="F750" s="313"/>
      <c r="G750" s="313"/>
    </row>
    <row r="751">
      <c r="A751" s="313"/>
      <c r="B751" s="313"/>
      <c r="C751" s="313"/>
      <c r="D751" s="313"/>
      <c r="E751" s="313"/>
      <c r="F751" s="313"/>
      <c r="G751" s="313"/>
    </row>
    <row r="752">
      <c r="A752" s="313"/>
      <c r="B752" s="313"/>
      <c r="C752" s="313"/>
      <c r="D752" s="313"/>
      <c r="E752" s="313"/>
      <c r="F752" s="313"/>
      <c r="G752" s="313"/>
    </row>
    <row r="753">
      <c r="A753" s="313"/>
      <c r="B753" s="313"/>
      <c r="C753" s="313"/>
      <c r="D753" s="313"/>
      <c r="E753" s="313"/>
      <c r="F753" s="313"/>
      <c r="G753" s="313"/>
    </row>
    <row r="754">
      <c r="A754" s="313"/>
      <c r="B754" s="313"/>
      <c r="C754" s="313"/>
      <c r="D754" s="313"/>
      <c r="E754" s="313"/>
      <c r="F754" s="313"/>
      <c r="G754" s="313"/>
    </row>
    <row r="755">
      <c r="A755" s="313"/>
      <c r="B755" s="313"/>
      <c r="C755" s="313"/>
      <c r="D755" s="313"/>
      <c r="E755" s="313"/>
      <c r="F755" s="313"/>
      <c r="G755" s="313"/>
    </row>
    <row r="756">
      <c r="A756" s="313"/>
      <c r="B756" s="313"/>
      <c r="C756" s="313"/>
      <c r="D756" s="313"/>
      <c r="E756" s="313"/>
      <c r="F756" s="313"/>
      <c r="G756" s="313"/>
    </row>
    <row r="757">
      <c r="A757" s="313"/>
      <c r="B757" s="313"/>
      <c r="C757" s="313"/>
      <c r="D757" s="313"/>
      <c r="E757" s="313"/>
      <c r="F757" s="313"/>
      <c r="G757" s="313"/>
    </row>
    <row r="758">
      <c r="A758" s="313"/>
      <c r="B758" s="313"/>
      <c r="C758" s="313"/>
      <c r="D758" s="313"/>
      <c r="E758" s="313"/>
      <c r="F758" s="313"/>
      <c r="G758" s="313"/>
    </row>
    <row r="759">
      <c r="A759" s="313"/>
      <c r="B759" s="313"/>
      <c r="C759" s="313"/>
      <c r="D759" s="313"/>
      <c r="E759" s="313"/>
      <c r="F759" s="313"/>
      <c r="G759" s="313"/>
    </row>
    <row r="760">
      <c r="A760" s="313"/>
      <c r="B760" s="313"/>
      <c r="C760" s="313"/>
      <c r="D760" s="313"/>
      <c r="E760" s="313"/>
      <c r="F760" s="313"/>
      <c r="G760" s="313"/>
    </row>
    <row r="761">
      <c r="A761" s="313"/>
      <c r="B761" s="313"/>
      <c r="C761" s="313"/>
      <c r="D761" s="313"/>
      <c r="E761" s="313"/>
      <c r="F761" s="313"/>
      <c r="G761" s="313"/>
    </row>
    <row r="762">
      <c r="A762" s="313"/>
      <c r="B762" s="313"/>
      <c r="C762" s="313"/>
      <c r="D762" s="313"/>
      <c r="E762" s="313"/>
      <c r="F762" s="313"/>
      <c r="G762" s="313"/>
    </row>
    <row r="763">
      <c r="A763" s="313"/>
      <c r="B763" s="313"/>
      <c r="C763" s="313"/>
      <c r="D763" s="313"/>
      <c r="E763" s="313"/>
      <c r="F763" s="313"/>
      <c r="G763" s="313"/>
    </row>
    <row r="764">
      <c r="A764" s="313"/>
      <c r="B764" s="313"/>
      <c r="C764" s="313"/>
      <c r="D764" s="313"/>
      <c r="E764" s="313"/>
      <c r="F764" s="313"/>
      <c r="G764" s="313"/>
    </row>
    <row r="765">
      <c r="A765" s="313"/>
      <c r="B765" s="313"/>
      <c r="C765" s="313"/>
      <c r="D765" s="313"/>
      <c r="E765" s="313"/>
      <c r="F765" s="313"/>
      <c r="G765" s="313"/>
    </row>
    <row r="766">
      <c r="A766" s="313"/>
      <c r="B766" s="313"/>
      <c r="C766" s="313"/>
      <c r="D766" s="313"/>
      <c r="E766" s="313"/>
      <c r="F766" s="313"/>
      <c r="G766" s="313"/>
    </row>
    <row r="767">
      <c r="A767" s="313"/>
      <c r="B767" s="313"/>
      <c r="C767" s="313"/>
      <c r="D767" s="313"/>
      <c r="E767" s="313"/>
      <c r="F767" s="313"/>
      <c r="G767" s="313"/>
    </row>
    <row r="768">
      <c r="A768" s="313"/>
      <c r="B768" s="313"/>
      <c r="C768" s="313"/>
      <c r="D768" s="313"/>
      <c r="E768" s="313"/>
      <c r="F768" s="313"/>
      <c r="G768" s="313"/>
    </row>
    <row r="769">
      <c r="A769" s="313"/>
      <c r="B769" s="313"/>
      <c r="C769" s="313"/>
      <c r="D769" s="313"/>
      <c r="E769" s="313"/>
      <c r="F769" s="313"/>
      <c r="G769" s="313"/>
    </row>
    <row r="770">
      <c r="A770" s="313"/>
      <c r="B770" s="313"/>
      <c r="C770" s="313"/>
      <c r="D770" s="313"/>
      <c r="E770" s="313"/>
      <c r="F770" s="313"/>
      <c r="G770" s="313"/>
    </row>
    <row r="771">
      <c r="A771" s="313"/>
      <c r="B771" s="313"/>
      <c r="C771" s="313"/>
      <c r="D771" s="313"/>
      <c r="E771" s="313"/>
      <c r="F771" s="313"/>
      <c r="G771" s="313"/>
    </row>
    <row r="772">
      <c r="A772" s="313"/>
      <c r="B772" s="313"/>
      <c r="C772" s="313"/>
      <c r="D772" s="313"/>
      <c r="E772" s="313"/>
      <c r="F772" s="313"/>
      <c r="G772" s="313"/>
    </row>
    <row r="773">
      <c r="A773" s="313"/>
      <c r="B773" s="313"/>
      <c r="C773" s="313"/>
      <c r="D773" s="313"/>
      <c r="E773" s="313"/>
      <c r="F773" s="313"/>
      <c r="G773" s="313"/>
    </row>
    <row r="774">
      <c r="A774" s="313"/>
      <c r="B774" s="313"/>
      <c r="C774" s="313"/>
      <c r="D774" s="313"/>
      <c r="E774" s="313"/>
      <c r="F774" s="313"/>
      <c r="G774" s="313"/>
    </row>
    <row r="775">
      <c r="A775" s="313"/>
      <c r="B775" s="313"/>
      <c r="C775" s="313"/>
      <c r="D775" s="313"/>
      <c r="E775" s="313"/>
      <c r="F775" s="313"/>
      <c r="G775" s="313"/>
    </row>
    <row r="776">
      <c r="A776" s="313"/>
      <c r="B776" s="313"/>
      <c r="C776" s="313"/>
      <c r="D776" s="313"/>
      <c r="E776" s="313"/>
      <c r="F776" s="313"/>
      <c r="G776" s="313"/>
    </row>
    <row r="777">
      <c r="A777" s="313"/>
      <c r="B777" s="313"/>
      <c r="C777" s="313"/>
      <c r="D777" s="313"/>
      <c r="E777" s="313"/>
      <c r="F777" s="313"/>
      <c r="G777" s="313"/>
    </row>
    <row r="778">
      <c r="A778" s="313"/>
      <c r="B778" s="313"/>
      <c r="C778" s="313"/>
      <c r="D778" s="313"/>
      <c r="E778" s="313"/>
      <c r="F778" s="313"/>
      <c r="G778" s="313"/>
    </row>
    <row r="779">
      <c r="A779" s="313"/>
      <c r="B779" s="313"/>
      <c r="C779" s="313"/>
      <c r="D779" s="313"/>
      <c r="E779" s="313"/>
      <c r="F779" s="313"/>
      <c r="G779" s="313"/>
    </row>
    <row r="780">
      <c r="A780" s="313"/>
      <c r="B780" s="313"/>
      <c r="C780" s="313"/>
      <c r="D780" s="313"/>
      <c r="E780" s="313"/>
      <c r="F780" s="313"/>
      <c r="G780" s="313"/>
    </row>
    <row r="781">
      <c r="A781" s="313"/>
      <c r="B781" s="313"/>
      <c r="C781" s="313"/>
      <c r="D781" s="313"/>
      <c r="E781" s="313"/>
      <c r="F781" s="313"/>
      <c r="G781" s="313"/>
    </row>
    <row r="782">
      <c r="A782" s="313"/>
      <c r="B782" s="313"/>
      <c r="C782" s="313"/>
      <c r="D782" s="313"/>
      <c r="E782" s="313"/>
      <c r="F782" s="313"/>
      <c r="G782" s="313"/>
    </row>
    <row r="783">
      <c r="A783" s="313"/>
      <c r="B783" s="313"/>
      <c r="C783" s="313"/>
      <c r="D783" s="313"/>
      <c r="E783" s="313"/>
      <c r="F783" s="313"/>
      <c r="G783" s="313"/>
    </row>
    <row r="784">
      <c r="A784" s="313"/>
      <c r="B784" s="313"/>
      <c r="C784" s="313"/>
      <c r="D784" s="313"/>
      <c r="E784" s="313"/>
      <c r="F784" s="313"/>
      <c r="G784" s="313"/>
    </row>
    <row r="785">
      <c r="A785" s="313"/>
      <c r="B785" s="313"/>
      <c r="C785" s="313"/>
      <c r="D785" s="313"/>
      <c r="E785" s="313"/>
      <c r="F785" s="313"/>
      <c r="G785" s="313"/>
    </row>
    <row r="786">
      <c r="A786" s="313"/>
      <c r="B786" s="313"/>
      <c r="C786" s="313"/>
      <c r="D786" s="313"/>
      <c r="E786" s="313"/>
      <c r="F786" s="313"/>
      <c r="G786" s="313"/>
    </row>
    <row r="787">
      <c r="A787" s="313"/>
      <c r="B787" s="313"/>
      <c r="C787" s="313"/>
      <c r="D787" s="313"/>
      <c r="E787" s="313"/>
      <c r="F787" s="313"/>
      <c r="G787" s="313"/>
    </row>
    <row r="788">
      <c r="A788" s="313"/>
      <c r="B788" s="313"/>
      <c r="C788" s="313"/>
      <c r="D788" s="313"/>
      <c r="E788" s="313"/>
      <c r="F788" s="313"/>
      <c r="G788" s="313"/>
    </row>
    <row r="789">
      <c r="A789" s="313"/>
      <c r="B789" s="313"/>
      <c r="C789" s="313"/>
      <c r="D789" s="313"/>
      <c r="E789" s="313"/>
      <c r="F789" s="313"/>
      <c r="G789" s="313"/>
    </row>
    <row r="790">
      <c r="A790" s="313"/>
      <c r="B790" s="313"/>
      <c r="C790" s="313"/>
      <c r="D790" s="313"/>
      <c r="E790" s="313"/>
      <c r="F790" s="313"/>
      <c r="G790" s="313"/>
    </row>
    <row r="791">
      <c r="A791" s="313"/>
      <c r="B791" s="313"/>
      <c r="C791" s="313"/>
      <c r="D791" s="313"/>
      <c r="E791" s="313"/>
      <c r="F791" s="313"/>
      <c r="G791" s="313"/>
    </row>
    <row r="792">
      <c r="A792" s="313"/>
      <c r="B792" s="313"/>
      <c r="C792" s="313"/>
      <c r="D792" s="313"/>
      <c r="E792" s="313"/>
      <c r="F792" s="313"/>
      <c r="G792" s="313"/>
    </row>
    <row r="793">
      <c r="A793" s="313"/>
      <c r="B793" s="313"/>
      <c r="C793" s="313"/>
      <c r="D793" s="313"/>
      <c r="E793" s="313"/>
      <c r="F793" s="313"/>
      <c r="G793" s="313"/>
    </row>
    <row r="794">
      <c r="A794" s="313"/>
      <c r="B794" s="313"/>
      <c r="C794" s="313"/>
      <c r="D794" s="313"/>
      <c r="E794" s="313"/>
      <c r="F794" s="313"/>
      <c r="G794" s="313"/>
    </row>
    <row r="795">
      <c r="A795" s="313"/>
      <c r="B795" s="313"/>
      <c r="C795" s="313"/>
      <c r="D795" s="313"/>
      <c r="E795" s="313"/>
      <c r="F795" s="313"/>
      <c r="G795" s="313"/>
    </row>
    <row r="796">
      <c r="A796" s="313"/>
      <c r="B796" s="313"/>
      <c r="C796" s="313"/>
      <c r="D796" s="313"/>
      <c r="E796" s="313"/>
      <c r="F796" s="313"/>
      <c r="G796" s="313"/>
    </row>
    <row r="797">
      <c r="A797" s="313"/>
      <c r="B797" s="313"/>
      <c r="C797" s="313"/>
      <c r="D797" s="313"/>
      <c r="E797" s="313"/>
      <c r="F797" s="313"/>
      <c r="G797" s="313"/>
    </row>
    <row r="798">
      <c r="A798" s="313"/>
      <c r="B798" s="313"/>
      <c r="C798" s="313"/>
      <c r="D798" s="313"/>
      <c r="E798" s="313"/>
      <c r="F798" s="313"/>
      <c r="G798" s="313"/>
    </row>
    <row r="799">
      <c r="A799" s="313"/>
      <c r="B799" s="313"/>
      <c r="C799" s="313"/>
      <c r="D799" s="313"/>
      <c r="E799" s="313"/>
      <c r="F799" s="313"/>
      <c r="G799" s="313"/>
    </row>
    <row r="800">
      <c r="A800" s="313"/>
      <c r="B800" s="313"/>
      <c r="C800" s="313"/>
      <c r="D800" s="313"/>
      <c r="E800" s="313"/>
      <c r="F800" s="313"/>
      <c r="G800" s="313"/>
    </row>
    <row r="801">
      <c r="A801" s="313"/>
      <c r="B801" s="313"/>
      <c r="C801" s="313"/>
      <c r="D801" s="313"/>
      <c r="E801" s="313"/>
      <c r="F801" s="313"/>
      <c r="G801" s="313"/>
    </row>
    <row r="802">
      <c r="A802" s="313"/>
      <c r="B802" s="313"/>
      <c r="C802" s="313"/>
      <c r="D802" s="313"/>
      <c r="E802" s="313"/>
      <c r="F802" s="313"/>
      <c r="G802" s="313"/>
    </row>
    <row r="803">
      <c r="A803" s="313"/>
      <c r="B803" s="313"/>
      <c r="C803" s="313"/>
      <c r="D803" s="313"/>
      <c r="E803" s="313"/>
      <c r="F803" s="313"/>
      <c r="G803" s="313"/>
    </row>
    <row r="804">
      <c r="A804" s="313"/>
      <c r="B804" s="313"/>
      <c r="C804" s="313"/>
      <c r="D804" s="313"/>
      <c r="E804" s="313"/>
      <c r="F804" s="313"/>
      <c r="G804" s="313"/>
    </row>
    <row r="805">
      <c r="A805" s="313"/>
      <c r="B805" s="313"/>
      <c r="C805" s="313"/>
      <c r="D805" s="313"/>
      <c r="E805" s="313"/>
      <c r="F805" s="313"/>
      <c r="G805" s="313"/>
    </row>
    <row r="806">
      <c r="A806" s="313"/>
      <c r="B806" s="313"/>
      <c r="C806" s="313"/>
      <c r="D806" s="313"/>
      <c r="E806" s="313"/>
      <c r="F806" s="313"/>
      <c r="G806" s="313"/>
    </row>
    <row r="807">
      <c r="A807" s="313"/>
      <c r="B807" s="313"/>
      <c r="C807" s="313"/>
      <c r="D807" s="313"/>
      <c r="E807" s="313"/>
      <c r="F807" s="313"/>
      <c r="G807" s="313"/>
    </row>
    <row r="808">
      <c r="A808" s="313"/>
      <c r="B808" s="313"/>
      <c r="C808" s="313"/>
      <c r="D808" s="313"/>
      <c r="E808" s="313"/>
      <c r="F808" s="313"/>
      <c r="G808" s="313"/>
    </row>
    <row r="809">
      <c r="A809" s="313"/>
      <c r="B809" s="313"/>
      <c r="C809" s="313"/>
      <c r="D809" s="313"/>
      <c r="E809" s="313"/>
      <c r="F809" s="313"/>
      <c r="G809" s="313"/>
    </row>
    <row r="810">
      <c r="A810" s="313"/>
      <c r="B810" s="313"/>
      <c r="C810" s="313"/>
      <c r="D810" s="313"/>
      <c r="E810" s="313"/>
      <c r="F810" s="313"/>
      <c r="G810" s="313"/>
    </row>
    <row r="811">
      <c r="A811" s="313"/>
      <c r="B811" s="313"/>
      <c r="C811" s="313"/>
      <c r="D811" s="313"/>
      <c r="E811" s="313"/>
      <c r="F811" s="313"/>
      <c r="G811" s="313"/>
    </row>
    <row r="812">
      <c r="A812" s="313"/>
      <c r="B812" s="313"/>
      <c r="C812" s="313"/>
      <c r="D812" s="313"/>
      <c r="E812" s="313"/>
      <c r="F812" s="313"/>
      <c r="G812" s="313"/>
    </row>
    <row r="813">
      <c r="A813" s="313"/>
      <c r="B813" s="313"/>
      <c r="C813" s="313"/>
      <c r="D813" s="313"/>
      <c r="E813" s="313"/>
      <c r="F813" s="313"/>
      <c r="G813" s="313"/>
    </row>
    <row r="814">
      <c r="A814" s="313"/>
      <c r="B814" s="313"/>
      <c r="C814" s="313"/>
      <c r="D814" s="313"/>
      <c r="E814" s="313"/>
      <c r="F814" s="313"/>
      <c r="G814" s="313"/>
    </row>
    <row r="815">
      <c r="A815" s="313"/>
      <c r="B815" s="313"/>
      <c r="C815" s="313"/>
      <c r="D815" s="313"/>
      <c r="E815" s="313"/>
      <c r="F815" s="313"/>
      <c r="G815" s="313"/>
    </row>
    <row r="816">
      <c r="A816" s="313"/>
      <c r="B816" s="313"/>
      <c r="C816" s="313"/>
      <c r="D816" s="313"/>
      <c r="E816" s="313"/>
      <c r="F816" s="313"/>
      <c r="G816" s="313"/>
    </row>
    <row r="817">
      <c r="A817" s="313"/>
      <c r="B817" s="313"/>
      <c r="C817" s="313"/>
      <c r="D817" s="313"/>
      <c r="E817" s="313"/>
      <c r="F817" s="313"/>
      <c r="G817" s="313"/>
    </row>
    <row r="818">
      <c r="A818" s="313"/>
      <c r="B818" s="313"/>
      <c r="C818" s="313"/>
      <c r="D818" s="313"/>
      <c r="E818" s="313"/>
      <c r="F818" s="313"/>
      <c r="G818" s="313"/>
    </row>
    <row r="819">
      <c r="A819" s="313"/>
      <c r="B819" s="313"/>
      <c r="C819" s="313"/>
      <c r="D819" s="313"/>
      <c r="E819" s="313"/>
      <c r="F819" s="313"/>
      <c r="G819" s="313"/>
    </row>
    <row r="820">
      <c r="A820" s="313"/>
      <c r="B820" s="313"/>
      <c r="C820" s="313"/>
      <c r="D820" s="313"/>
      <c r="E820" s="313"/>
      <c r="F820" s="313"/>
      <c r="G820" s="313"/>
    </row>
    <row r="821">
      <c r="A821" s="313"/>
      <c r="B821" s="313"/>
      <c r="C821" s="313"/>
      <c r="D821" s="313"/>
      <c r="E821" s="313"/>
      <c r="F821" s="313"/>
      <c r="G821" s="313"/>
    </row>
    <row r="822">
      <c r="A822" s="313"/>
      <c r="B822" s="313"/>
      <c r="C822" s="313"/>
      <c r="D822" s="313"/>
      <c r="E822" s="313"/>
      <c r="F822" s="313"/>
      <c r="G822" s="313"/>
    </row>
    <row r="823">
      <c r="A823" s="313"/>
      <c r="B823" s="313"/>
      <c r="C823" s="313"/>
      <c r="D823" s="313"/>
      <c r="E823" s="313"/>
      <c r="F823" s="313"/>
      <c r="G823" s="313"/>
    </row>
    <row r="824">
      <c r="A824" s="313"/>
      <c r="B824" s="313"/>
      <c r="C824" s="313"/>
      <c r="D824" s="313"/>
      <c r="E824" s="313"/>
      <c r="F824" s="313"/>
      <c r="G824" s="313"/>
    </row>
    <row r="825">
      <c r="A825" s="313"/>
      <c r="B825" s="313"/>
      <c r="C825" s="313"/>
      <c r="D825" s="313"/>
      <c r="E825" s="313"/>
      <c r="F825" s="313"/>
      <c r="G825" s="313"/>
    </row>
    <row r="826">
      <c r="A826" s="313"/>
      <c r="B826" s="313"/>
      <c r="C826" s="313"/>
      <c r="D826" s="313"/>
      <c r="E826" s="313"/>
      <c r="F826" s="313"/>
      <c r="G826" s="313"/>
    </row>
    <row r="827">
      <c r="A827" s="313"/>
      <c r="B827" s="313"/>
      <c r="C827" s="313"/>
      <c r="D827" s="313"/>
      <c r="E827" s="313"/>
      <c r="F827" s="313"/>
      <c r="G827" s="313"/>
    </row>
    <row r="828">
      <c r="A828" s="313"/>
      <c r="B828" s="313"/>
      <c r="C828" s="313"/>
      <c r="D828" s="313"/>
      <c r="E828" s="313"/>
      <c r="F828" s="313"/>
      <c r="G828" s="313"/>
    </row>
    <row r="829">
      <c r="A829" s="313"/>
      <c r="B829" s="313"/>
      <c r="C829" s="313"/>
      <c r="D829" s="313"/>
      <c r="E829" s="313"/>
      <c r="F829" s="313"/>
      <c r="G829" s="313"/>
    </row>
    <row r="830">
      <c r="A830" s="313"/>
      <c r="B830" s="313"/>
      <c r="C830" s="313"/>
      <c r="D830" s="313"/>
      <c r="E830" s="313"/>
      <c r="F830" s="313"/>
      <c r="G830" s="313"/>
    </row>
    <row r="831">
      <c r="A831" s="313"/>
      <c r="B831" s="313"/>
      <c r="C831" s="313"/>
      <c r="D831" s="313"/>
      <c r="E831" s="313"/>
      <c r="F831" s="313"/>
      <c r="G831" s="313"/>
    </row>
    <row r="832">
      <c r="A832" s="313"/>
      <c r="B832" s="313"/>
      <c r="C832" s="313"/>
      <c r="D832" s="313"/>
      <c r="E832" s="313"/>
      <c r="F832" s="313"/>
      <c r="G832" s="313"/>
    </row>
    <row r="833">
      <c r="A833" s="313"/>
      <c r="B833" s="313"/>
      <c r="C833" s="313"/>
      <c r="D833" s="313"/>
      <c r="E833" s="313"/>
      <c r="F833" s="313"/>
      <c r="G833" s="313"/>
    </row>
    <row r="834">
      <c r="A834" s="313"/>
      <c r="B834" s="313"/>
      <c r="C834" s="313"/>
      <c r="D834" s="313"/>
      <c r="E834" s="313"/>
      <c r="F834" s="313"/>
      <c r="G834" s="313"/>
    </row>
    <row r="835">
      <c r="A835" s="313"/>
      <c r="B835" s="313"/>
      <c r="C835" s="313"/>
      <c r="D835" s="313"/>
      <c r="E835" s="313"/>
      <c r="F835" s="313"/>
      <c r="G835" s="313"/>
    </row>
    <row r="836">
      <c r="A836" s="313"/>
      <c r="B836" s="313"/>
      <c r="C836" s="313"/>
      <c r="D836" s="313"/>
      <c r="E836" s="313"/>
      <c r="F836" s="313"/>
      <c r="G836" s="313"/>
    </row>
    <row r="837">
      <c r="A837" s="313"/>
      <c r="B837" s="313"/>
      <c r="C837" s="313"/>
      <c r="D837" s="313"/>
      <c r="E837" s="313"/>
      <c r="F837" s="313"/>
      <c r="G837" s="313"/>
    </row>
    <row r="838">
      <c r="A838" s="313"/>
      <c r="B838" s="313"/>
      <c r="C838" s="313"/>
      <c r="D838" s="313"/>
      <c r="E838" s="313"/>
      <c r="F838" s="313"/>
      <c r="G838" s="313"/>
    </row>
    <row r="839">
      <c r="A839" s="313"/>
      <c r="B839" s="313"/>
      <c r="C839" s="313"/>
      <c r="D839" s="313"/>
      <c r="E839" s="313"/>
      <c r="F839" s="313"/>
      <c r="G839" s="313"/>
    </row>
    <row r="840">
      <c r="A840" s="313"/>
      <c r="B840" s="313"/>
      <c r="C840" s="313"/>
      <c r="D840" s="313"/>
      <c r="E840" s="313"/>
      <c r="F840" s="313"/>
      <c r="G840" s="313"/>
    </row>
    <row r="841">
      <c r="A841" s="313"/>
      <c r="B841" s="313"/>
      <c r="C841" s="313"/>
      <c r="D841" s="313"/>
      <c r="E841" s="313"/>
      <c r="F841" s="313"/>
      <c r="G841" s="313"/>
    </row>
    <row r="842">
      <c r="A842" s="313"/>
      <c r="B842" s="313"/>
      <c r="C842" s="313"/>
      <c r="D842" s="313"/>
      <c r="E842" s="313"/>
      <c r="F842" s="313"/>
      <c r="G842" s="313"/>
    </row>
    <row r="843">
      <c r="A843" s="313"/>
      <c r="B843" s="313"/>
      <c r="C843" s="313"/>
      <c r="D843" s="313"/>
      <c r="E843" s="313"/>
      <c r="F843" s="313"/>
      <c r="G843" s="313"/>
    </row>
    <row r="844">
      <c r="A844" s="313"/>
      <c r="B844" s="313"/>
      <c r="C844" s="313"/>
      <c r="D844" s="313"/>
      <c r="E844" s="313"/>
      <c r="F844" s="313"/>
      <c r="G844" s="313"/>
    </row>
    <row r="845">
      <c r="A845" s="313"/>
      <c r="B845" s="313"/>
      <c r="C845" s="313"/>
      <c r="D845" s="313"/>
      <c r="E845" s="313"/>
      <c r="F845" s="313"/>
      <c r="G845" s="313"/>
    </row>
    <row r="846">
      <c r="A846" s="313"/>
      <c r="B846" s="313"/>
      <c r="C846" s="313"/>
      <c r="D846" s="313"/>
      <c r="E846" s="313"/>
      <c r="F846" s="313"/>
      <c r="G846" s="313"/>
    </row>
    <row r="847">
      <c r="A847" s="313"/>
      <c r="B847" s="313"/>
      <c r="C847" s="313"/>
      <c r="D847" s="313"/>
      <c r="E847" s="313"/>
      <c r="F847" s="313"/>
      <c r="G847" s="313"/>
    </row>
    <row r="848">
      <c r="A848" s="313"/>
      <c r="B848" s="313"/>
      <c r="C848" s="313"/>
      <c r="D848" s="313"/>
      <c r="E848" s="313"/>
      <c r="F848" s="313"/>
      <c r="G848" s="313"/>
    </row>
    <row r="849">
      <c r="A849" s="313"/>
      <c r="B849" s="313"/>
      <c r="C849" s="313"/>
      <c r="D849" s="313"/>
      <c r="E849" s="313"/>
      <c r="F849" s="313"/>
      <c r="G849" s="313"/>
    </row>
    <row r="850">
      <c r="A850" s="313"/>
      <c r="B850" s="313"/>
      <c r="C850" s="313"/>
      <c r="D850" s="313"/>
      <c r="E850" s="313"/>
      <c r="F850" s="313"/>
      <c r="G850" s="313"/>
    </row>
    <row r="851">
      <c r="A851" s="313"/>
      <c r="B851" s="313"/>
      <c r="C851" s="313"/>
      <c r="D851" s="313"/>
      <c r="E851" s="313"/>
      <c r="F851" s="313"/>
      <c r="G851" s="313"/>
    </row>
    <row r="852">
      <c r="A852" s="313"/>
      <c r="B852" s="313"/>
      <c r="C852" s="313"/>
      <c r="D852" s="313"/>
      <c r="E852" s="313"/>
      <c r="F852" s="313"/>
      <c r="G852" s="313"/>
    </row>
    <row r="853">
      <c r="A853" s="313"/>
      <c r="B853" s="313"/>
      <c r="C853" s="313"/>
      <c r="D853" s="313"/>
      <c r="E853" s="313"/>
      <c r="F853" s="313"/>
      <c r="G853" s="313"/>
    </row>
    <row r="854">
      <c r="A854" s="313"/>
      <c r="B854" s="313"/>
      <c r="C854" s="313"/>
      <c r="D854" s="313"/>
      <c r="E854" s="313"/>
      <c r="F854" s="313"/>
      <c r="G854" s="313"/>
    </row>
    <row r="855">
      <c r="A855" s="313"/>
      <c r="B855" s="313"/>
      <c r="C855" s="313"/>
      <c r="D855" s="313"/>
      <c r="E855" s="313"/>
      <c r="F855" s="313"/>
      <c r="G855" s="313"/>
    </row>
    <row r="856">
      <c r="A856" s="313"/>
      <c r="B856" s="313"/>
      <c r="C856" s="313"/>
      <c r="D856" s="313"/>
      <c r="E856" s="313"/>
      <c r="F856" s="313"/>
      <c r="G856" s="313"/>
    </row>
    <row r="857">
      <c r="A857" s="313"/>
      <c r="B857" s="313"/>
      <c r="C857" s="313"/>
      <c r="D857" s="313"/>
      <c r="E857" s="313"/>
      <c r="F857" s="313"/>
      <c r="G857" s="313"/>
    </row>
    <row r="858">
      <c r="A858" s="313"/>
      <c r="B858" s="313"/>
      <c r="C858" s="313"/>
      <c r="D858" s="313"/>
      <c r="E858" s="313"/>
      <c r="F858" s="313"/>
      <c r="G858" s="313"/>
    </row>
    <row r="859">
      <c r="A859" s="313"/>
      <c r="B859" s="313"/>
      <c r="C859" s="313"/>
      <c r="D859" s="313"/>
      <c r="E859" s="313"/>
      <c r="F859" s="313"/>
      <c r="G859" s="313"/>
    </row>
    <row r="860">
      <c r="A860" s="313"/>
      <c r="B860" s="313"/>
      <c r="C860" s="313"/>
      <c r="D860" s="313"/>
      <c r="E860" s="313"/>
      <c r="F860" s="313"/>
      <c r="G860" s="313"/>
    </row>
    <row r="861">
      <c r="A861" s="313"/>
      <c r="B861" s="313"/>
      <c r="C861" s="313"/>
      <c r="D861" s="313"/>
      <c r="E861" s="313"/>
      <c r="F861" s="313"/>
      <c r="G861" s="313"/>
    </row>
    <row r="862">
      <c r="A862" s="313"/>
      <c r="B862" s="313"/>
      <c r="C862" s="313"/>
      <c r="D862" s="313"/>
      <c r="E862" s="313"/>
      <c r="F862" s="313"/>
      <c r="G862" s="313"/>
    </row>
    <row r="863">
      <c r="A863" s="313"/>
      <c r="B863" s="313"/>
      <c r="C863" s="313"/>
      <c r="D863" s="313"/>
      <c r="E863" s="313"/>
      <c r="F863" s="313"/>
      <c r="G863" s="313"/>
    </row>
    <row r="864">
      <c r="A864" s="313"/>
      <c r="B864" s="313"/>
      <c r="C864" s="313"/>
      <c r="D864" s="313"/>
      <c r="E864" s="313"/>
      <c r="F864" s="313"/>
      <c r="G864" s="313"/>
    </row>
    <row r="865">
      <c r="A865" s="313"/>
      <c r="B865" s="313"/>
      <c r="C865" s="313"/>
      <c r="D865" s="313"/>
      <c r="E865" s="313"/>
      <c r="F865" s="313"/>
      <c r="G865" s="313"/>
    </row>
    <row r="866">
      <c r="A866" s="313"/>
      <c r="B866" s="313"/>
      <c r="C866" s="313"/>
      <c r="D866" s="313"/>
      <c r="E866" s="313"/>
      <c r="F866" s="313"/>
      <c r="G866" s="313"/>
    </row>
    <row r="867">
      <c r="A867" s="313"/>
      <c r="B867" s="313"/>
      <c r="C867" s="313"/>
      <c r="D867" s="313"/>
      <c r="E867" s="313"/>
      <c r="F867" s="313"/>
      <c r="G867" s="313"/>
    </row>
    <row r="868">
      <c r="A868" s="313"/>
      <c r="B868" s="313"/>
      <c r="C868" s="313"/>
      <c r="D868" s="313"/>
      <c r="E868" s="313"/>
      <c r="F868" s="313"/>
      <c r="G868" s="313"/>
    </row>
    <row r="869">
      <c r="A869" s="313"/>
      <c r="B869" s="313"/>
      <c r="C869" s="313"/>
      <c r="D869" s="313"/>
      <c r="E869" s="313"/>
      <c r="F869" s="313"/>
      <c r="G869" s="313"/>
    </row>
    <row r="870">
      <c r="A870" s="313"/>
      <c r="B870" s="313"/>
      <c r="C870" s="313"/>
      <c r="D870" s="313"/>
      <c r="E870" s="313"/>
      <c r="F870" s="313"/>
      <c r="G870" s="313"/>
    </row>
    <row r="871">
      <c r="A871" s="313"/>
      <c r="B871" s="313"/>
      <c r="C871" s="313"/>
      <c r="D871" s="313"/>
      <c r="E871" s="313"/>
      <c r="F871" s="313"/>
      <c r="G871" s="313"/>
    </row>
    <row r="872">
      <c r="A872" s="313"/>
      <c r="B872" s="313"/>
      <c r="C872" s="313"/>
      <c r="D872" s="313"/>
      <c r="E872" s="313"/>
      <c r="F872" s="313"/>
      <c r="G872" s="313"/>
    </row>
    <row r="873">
      <c r="A873" s="313"/>
      <c r="B873" s="313"/>
      <c r="C873" s="313"/>
      <c r="D873" s="313"/>
      <c r="E873" s="313"/>
      <c r="F873" s="313"/>
      <c r="G873" s="313"/>
    </row>
    <row r="874">
      <c r="A874" s="313"/>
      <c r="B874" s="313"/>
      <c r="C874" s="313"/>
      <c r="D874" s="313"/>
      <c r="E874" s="313"/>
      <c r="F874" s="313"/>
      <c r="G874" s="313"/>
    </row>
    <row r="875">
      <c r="A875" s="313"/>
      <c r="B875" s="313"/>
      <c r="C875" s="313"/>
      <c r="D875" s="313"/>
      <c r="E875" s="313"/>
      <c r="F875" s="313"/>
      <c r="G875" s="313"/>
    </row>
    <row r="876">
      <c r="A876" s="313"/>
      <c r="B876" s="313"/>
      <c r="C876" s="313"/>
      <c r="D876" s="313"/>
      <c r="E876" s="313"/>
      <c r="F876" s="313"/>
      <c r="G876" s="313"/>
    </row>
    <row r="877">
      <c r="A877" s="313"/>
      <c r="B877" s="313"/>
      <c r="C877" s="313"/>
      <c r="D877" s="313"/>
      <c r="E877" s="313"/>
      <c r="F877" s="313"/>
      <c r="G877" s="313"/>
    </row>
    <row r="878">
      <c r="A878" s="313"/>
      <c r="B878" s="313"/>
      <c r="C878" s="313"/>
      <c r="D878" s="313"/>
      <c r="E878" s="313"/>
      <c r="F878" s="313"/>
      <c r="G878" s="313"/>
    </row>
    <row r="879">
      <c r="A879" s="313"/>
      <c r="B879" s="313"/>
      <c r="C879" s="313"/>
      <c r="D879" s="313"/>
      <c r="E879" s="313"/>
      <c r="F879" s="313"/>
      <c r="G879" s="313"/>
    </row>
    <row r="880">
      <c r="A880" s="313"/>
      <c r="B880" s="313"/>
      <c r="C880" s="313"/>
      <c r="D880" s="313"/>
      <c r="E880" s="313"/>
      <c r="F880" s="313"/>
      <c r="G880" s="313"/>
    </row>
    <row r="881">
      <c r="A881" s="313"/>
      <c r="B881" s="313"/>
      <c r="C881" s="313"/>
      <c r="D881" s="313"/>
      <c r="E881" s="313"/>
      <c r="F881" s="313"/>
      <c r="G881" s="313"/>
    </row>
    <row r="882">
      <c r="A882" s="313"/>
      <c r="B882" s="313"/>
      <c r="C882" s="313"/>
      <c r="D882" s="313"/>
      <c r="E882" s="313"/>
      <c r="F882" s="313"/>
      <c r="G882" s="313"/>
    </row>
    <row r="883">
      <c r="A883" s="313"/>
      <c r="B883" s="313"/>
      <c r="C883" s="313"/>
      <c r="D883" s="313"/>
      <c r="E883" s="313"/>
      <c r="F883" s="313"/>
      <c r="G883" s="313"/>
    </row>
    <row r="884">
      <c r="A884" s="313"/>
      <c r="B884" s="313"/>
      <c r="C884" s="313"/>
      <c r="D884" s="313"/>
      <c r="E884" s="313"/>
      <c r="F884" s="313"/>
      <c r="G884" s="313"/>
    </row>
    <row r="885">
      <c r="A885" s="313"/>
      <c r="B885" s="313"/>
      <c r="C885" s="313"/>
      <c r="D885" s="313"/>
      <c r="E885" s="313"/>
      <c r="F885" s="313"/>
      <c r="G885" s="313"/>
    </row>
    <row r="886">
      <c r="A886" s="313"/>
      <c r="B886" s="313"/>
      <c r="C886" s="313"/>
      <c r="D886" s="313"/>
      <c r="E886" s="313"/>
      <c r="F886" s="313"/>
      <c r="G886" s="313"/>
    </row>
    <row r="887">
      <c r="A887" s="313"/>
      <c r="B887" s="313"/>
      <c r="C887" s="313"/>
      <c r="D887" s="313"/>
      <c r="E887" s="313"/>
      <c r="F887" s="313"/>
      <c r="G887" s="313"/>
    </row>
    <row r="888">
      <c r="A888" s="313"/>
      <c r="B888" s="313"/>
      <c r="C888" s="313"/>
      <c r="D888" s="313"/>
      <c r="E888" s="313"/>
      <c r="F888" s="313"/>
      <c r="G888" s="313"/>
    </row>
    <row r="889">
      <c r="A889" s="313"/>
      <c r="B889" s="313"/>
      <c r="C889" s="313"/>
      <c r="D889" s="313"/>
      <c r="E889" s="313"/>
      <c r="F889" s="313"/>
      <c r="G889" s="313"/>
    </row>
    <row r="890">
      <c r="A890" s="313"/>
      <c r="B890" s="313"/>
      <c r="C890" s="313"/>
      <c r="D890" s="313"/>
      <c r="E890" s="313"/>
      <c r="F890" s="313"/>
      <c r="G890" s="313"/>
    </row>
    <row r="891">
      <c r="A891" s="313"/>
      <c r="B891" s="313"/>
      <c r="C891" s="313"/>
      <c r="D891" s="313"/>
      <c r="E891" s="313"/>
      <c r="F891" s="313"/>
      <c r="G891" s="313"/>
    </row>
    <row r="892">
      <c r="A892" s="313"/>
      <c r="B892" s="313"/>
      <c r="C892" s="313"/>
      <c r="D892" s="313"/>
      <c r="E892" s="313"/>
      <c r="F892" s="313"/>
      <c r="G892" s="313"/>
    </row>
    <row r="893">
      <c r="A893" s="313"/>
      <c r="B893" s="313"/>
      <c r="C893" s="313"/>
      <c r="D893" s="313"/>
      <c r="E893" s="313"/>
      <c r="F893" s="313"/>
      <c r="G893" s="313"/>
    </row>
    <row r="894">
      <c r="A894" s="313"/>
      <c r="B894" s="313"/>
      <c r="C894" s="313"/>
      <c r="D894" s="313"/>
      <c r="E894" s="313"/>
      <c r="F894" s="313"/>
      <c r="G894" s="313"/>
    </row>
    <row r="895">
      <c r="A895" s="313"/>
      <c r="B895" s="313"/>
      <c r="C895" s="313"/>
      <c r="D895" s="313"/>
      <c r="E895" s="313"/>
      <c r="F895" s="313"/>
      <c r="G895" s="313"/>
    </row>
    <row r="896">
      <c r="A896" s="313"/>
      <c r="B896" s="313"/>
      <c r="C896" s="313"/>
      <c r="D896" s="313"/>
      <c r="E896" s="313"/>
      <c r="F896" s="313"/>
      <c r="G896" s="313"/>
    </row>
    <row r="897">
      <c r="A897" s="313"/>
      <c r="B897" s="313"/>
      <c r="C897" s="313"/>
      <c r="D897" s="313"/>
      <c r="E897" s="313"/>
      <c r="F897" s="313"/>
      <c r="G897" s="313"/>
    </row>
    <row r="898">
      <c r="A898" s="313"/>
      <c r="B898" s="313"/>
      <c r="C898" s="313"/>
      <c r="D898" s="313"/>
      <c r="E898" s="313"/>
      <c r="F898" s="313"/>
      <c r="G898" s="313"/>
    </row>
    <row r="899">
      <c r="A899" s="313"/>
      <c r="B899" s="313"/>
      <c r="C899" s="313"/>
      <c r="D899" s="313"/>
      <c r="E899" s="313"/>
      <c r="F899" s="313"/>
      <c r="G899" s="313"/>
    </row>
    <row r="900">
      <c r="A900" s="313"/>
      <c r="B900" s="313"/>
      <c r="C900" s="313"/>
      <c r="D900" s="313"/>
      <c r="E900" s="313"/>
      <c r="F900" s="313"/>
      <c r="G900" s="313"/>
    </row>
    <row r="901">
      <c r="A901" s="313"/>
      <c r="B901" s="313"/>
      <c r="C901" s="313"/>
      <c r="D901" s="313"/>
      <c r="E901" s="313"/>
      <c r="F901" s="313"/>
      <c r="G901" s="313"/>
    </row>
    <row r="902">
      <c r="A902" s="313"/>
      <c r="B902" s="313"/>
      <c r="C902" s="313"/>
      <c r="D902" s="313"/>
      <c r="E902" s="313"/>
      <c r="F902" s="313"/>
      <c r="G902" s="313"/>
    </row>
    <row r="903">
      <c r="A903" s="313"/>
      <c r="B903" s="313"/>
      <c r="C903" s="313"/>
      <c r="D903" s="313"/>
      <c r="E903" s="313"/>
      <c r="F903" s="313"/>
      <c r="G903" s="313"/>
    </row>
    <row r="904">
      <c r="A904" s="313"/>
      <c r="B904" s="313"/>
      <c r="C904" s="313"/>
      <c r="D904" s="313"/>
      <c r="E904" s="313"/>
      <c r="F904" s="313"/>
      <c r="G904" s="313"/>
    </row>
    <row r="905">
      <c r="A905" s="313"/>
      <c r="B905" s="313"/>
      <c r="C905" s="313"/>
      <c r="D905" s="313"/>
      <c r="E905" s="313"/>
      <c r="F905" s="313"/>
      <c r="G905" s="313"/>
    </row>
    <row r="906">
      <c r="A906" s="313"/>
      <c r="B906" s="313"/>
      <c r="C906" s="313"/>
      <c r="D906" s="313"/>
      <c r="E906" s="313"/>
      <c r="F906" s="313"/>
      <c r="G906" s="313"/>
    </row>
    <row r="907">
      <c r="A907" s="313"/>
      <c r="B907" s="313"/>
      <c r="C907" s="313"/>
      <c r="D907" s="313"/>
      <c r="E907" s="313"/>
      <c r="F907" s="313"/>
      <c r="G907" s="313"/>
    </row>
    <row r="908">
      <c r="A908" s="313"/>
      <c r="B908" s="313"/>
      <c r="C908" s="313"/>
      <c r="D908" s="313"/>
      <c r="E908" s="313"/>
      <c r="F908" s="313"/>
      <c r="G908" s="313"/>
    </row>
    <row r="909">
      <c r="A909" s="313"/>
      <c r="B909" s="313"/>
      <c r="C909" s="313"/>
      <c r="D909" s="313"/>
      <c r="E909" s="313"/>
      <c r="F909" s="313"/>
      <c r="G909" s="313"/>
    </row>
    <row r="910">
      <c r="A910" s="313"/>
      <c r="B910" s="313"/>
      <c r="C910" s="313"/>
      <c r="D910" s="313"/>
      <c r="E910" s="313"/>
      <c r="F910" s="313"/>
      <c r="G910" s="313"/>
    </row>
    <row r="911">
      <c r="A911" s="313"/>
      <c r="B911" s="313"/>
      <c r="C911" s="313"/>
      <c r="D911" s="313"/>
      <c r="E911" s="313"/>
      <c r="F911" s="313"/>
      <c r="G911" s="313"/>
    </row>
    <row r="912">
      <c r="A912" s="313"/>
      <c r="B912" s="313"/>
      <c r="C912" s="313"/>
      <c r="D912" s="313"/>
      <c r="E912" s="313"/>
      <c r="F912" s="313"/>
      <c r="G912" s="313"/>
    </row>
    <row r="913">
      <c r="A913" s="313"/>
      <c r="B913" s="313"/>
      <c r="C913" s="313"/>
      <c r="D913" s="313"/>
      <c r="E913" s="313"/>
      <c r="F913" s="313"/>
      <c r="G913" s="313"/>
    </row>
    <row r="914">
      <c r="A914" s="313"/>
      <c r="B914" s="313"/>
      <c r="C914" s="313"/>
      <c r="D914" s="313"/>
      <c r="E914" s="313"/>
      <c r="F914" s="313"/>
      <c r="G914" s="313"/>
    </row>
    <row r="915">
      <c r="A915" s="313"/>
      <c r="B915" s="313"/>
      <c r="C915" s="313"/>
      <c r="D915" s="313"/>
      <c r="E915" s="313"/>
      <c r="F915" s="313"/>
      <c r="G915" s="313"/>
    </row>
    <row r="916">
      <c r="A916" s="313"/>
      <c r="B916" s="313"/>
      <c r="C916" s="313"/>
      <c r="D916" s="313"/>
      <c r="E916" s="313"/>
      <c r="F916" s="313"/>
      <c r="G916" s="313"/>
    </row>
    <row r="917">
      <c r="A917" s="313"/>
      <c r="B917" s="313"/>
      <c r="C917" s="313"/>
      <c r="D917" s="313"/>
      <c r="E917" s="313"/>
      <c r="F917" s="313"/>
      <c r="G917" s="313"/>
    </row>
    <row r="918">
      <c r="A918" s="313"/>
      <c r="B918" s="313"/>
      <c r="C918" s="313"/>
      <c r="D918" s="313"/>
      <c r="E918" s="313"/>
      <c r="F918" s="313"/>
      <c r="G918" s="313"/>
    </row>
    <row r="919">
      <c r="A919" s="313"/>
      <c r="B919" s="313"/>
      <c r="C919" s="313"/>
      <c r="D919" s="313"/>
      <c r="E919" s="313"/>
      <c r="F919" s="313"/>
      <c r="G919" s="313"/>
    </row>
    <row r="920">
      <c r="A920" s="313"/>
      <c r="B920" s="313"/>
      <c r="C920" s="313"/>
      <c r="D920" s="313"/>
      <c r="E920" s="313"/>
      <c r="F920" s="313"/>
      <c r="G920" s="313"/>
    </row>
    <row r="921">
      <c r="A921" s="313"/>
      <c r="B921" s="313"/>
      <c r="C921" s="313"/>
      <c r="D921" s="313"/>
      <c r="E921" s="313"/>
      <c r="F921" s="313"/>
      <c r="G921" s="313"/>
    </row>
    <row r="922">
      <c r="A922" s="313"/>
      <c r="B922" s="313"/>
      <c r="C922" s="313"/>
      <c r="D922" s="313"/>
      <c r="E922" s="313"/>
      <c r="F922" s="313"/>
      <c r="G922" s="313"/>
    </row>
    <row r="923">
      <c r="A923" s="313"/>
      <c r="B923" s="313"/>
      <c r="C923" s="313"/>
      <c r="D923" s="313"/>
      <c r="E923" s="313"/>
      <c r="F923" s="313"/>
      <c r="G923" s="313"/>
    </row>
    <row r="924">
      <c r="A924" s="313"/>
      <c r="B924" s="313"/>
      <c r="C924" s="313"/>
      <c r="D924" s="313"/>
      <c r="E924" s="313"/>
      <c r="F924" s="313"/>
      <c r="G924" s="313"/>
    </row>
    <row r="925">
      <c r="A925" s="313"/>
      <c r="B925" s="313"/>
      <c r="C925" s="313"/>
      <c r="D925" s="313"/>
      <c r="E925" s="313"/>
      <c r="F925" s="313"/>
      <c r="G925" s="313"/>
    </row>
    <row r="926">
      <c r="A926" s="313"/>
      <c r="B926" s="313"/>
      <c r="C926" s="313"/>
      <c r="D926" s="313"/>
      <c r="E926" s="313"/>
      <c r="F926" s="313"/>
      <c r="G926" s="313"/>
    </row>
    <row r="927">
      <c r="A927" s="313"/>
      <c r="B927" s="313"/>
      <c r="C927" s="313"/>
      <c r="D927" s="313"/>
      <c r="E927" s="313"/>
      <c r="F927" s="313"/>
      <c r="G927" s="313"/>
    </row>
    <row r="928">
      <c r="A928" s="313"/>
      <c r="B928" s="313"/>
      <c r="C928" s="313"/>
      <c r="D928" s="313"/>
      <c r="E928" s="313"/>
      <c r="F928" s="313"/>
      <c r="G928" s="313"/>
    </row>
    <row r="929">
      <c r="A929" s="313"/>
      <c r="B929" s="313"/>
      <c r="C929" s="313"/>
      <c r="D929" s="313"/>
      <c r="E929" s="313"/>
      <c r="F929" s="313"/>
      <c r="G929" s="313"/>
    </row>
    <row r="930">
      <c r="A930" s="313"/>
      <c r="B930" s="313"/>
      <c r="C930" s="313"/>
      <c r="D930" s="313"/>
      <c r="E930" s="313"/>
      <c r="F930" s="313"/>
      <c r="G930" s="313"/>
    </row>
    <row r="931">
      <c r="A931" s="313"/>
      <c r="B931" s="313"/>
      <c r="C931" s="313"/>
      <c r="D931" s="313"/>
      <c r="E931" s="313"/>
      <c r="F931" s="313"/>
      <c r="G931" s="313"/>
    </row>
    <row r="932">
      <c r="A932" s="313"/>
      <c r="B932" s="313"/>
      <c r="C932" s="313"/>
      <c r="D932" s="313"/>
      <c r="E932" s="313"/>
      <c r="F932" s="313"/>
      <c r="G932" s="313"/>
    </row>
    <row r="933">
      <c r="A933" s="313"/>
      <c r="B933" s="313"/>
      <c r="C933" s="313"/>
      <c r="D933" s="313"/>
      <c r="E933" s="313"/>
      <c r="F933" s="313"/>
      <c r="G933" s="313"/>
    </row>
    <row r="934">
      <c r="A934" s="313"/>
      <c r="B934" s="313"/>
      <c r="C934" s="313"/>
      <c r="D934" s="313"/>
      <c r="E934" s="313"/>
      <c r="F934" s="313"/>
      <c r="G934" s="313"/>
    </row>
    <row r="935">
      <c r="A935" s="313"/>
      <c r="B935" s="313"/>
      <c r="C935" s="313"/>
      <c r="D935" s="313"/>
      <c r="E935" s="313"/>
      <c r="F935" s="313"/>
      <c r="G935" s="313"/>
    </row>
    <row r="936">
      <c r="A936" s="313"/>
      <c r="B936" s="313"/>
      <c r="C936" s="313"/>
      <c r="D936" s="313"/>
      <c r="E936" s="313"/>
      <c r="F936" s="313"/>
      <c r="G936" s="313"/>
    </row>
    <row r="937">
      <c r="A937" s="313"/>
      <c r="B937" s="313"/>
      <c r="C937" s="313"/>
      <c r="D937" s="313"/>
      <c r="E937" s="313"/>
      <c r="F937" s="313"/>
      <c r="G937" s="313"/>
    </row>
    <row r="938">
      <c r="A938" s="313"/>
      <c r="B938" s="313"/>
      <c r="C938" s="313"/>
      <c r="D938" s="313"/>
      <c r="E938" s="313"/>
      <c r="F938" s="313"/>
      <c r="G938" s="313"/>
    </row>
    <row r="939">
      <c r="A939" s="313"/>
      <c r="B939" s="313"/>
      <c r="C939" s="313"/>
      <c r="D939" s="313"/>
      <c r="E939" s="313"/>
      <c r="F939" s="313"/>
      <c r="G939" s="313"/>
    </row>
    <row r="940">
      <c r="A940" s="313"/>
      <c r="B940" s="313"/>
      <c r="C940" s="313"/>
      <c r="D940" s="313"/>
      <c r="E940" s="313"/>
      <c r="F940" s="313"/>
      <c r="G940" s="313"/>
    </row>
    <row r="941">
      <c r="A941" s="313"/>
      <c r="B941" s="313"/>
      <c r="C941" s="313"/>
      <c r="D941" s="313"/>
      <c r="E941" s="313"/>
      <c r="F941" s="313"/>
      <c r="G941" s="313"/>
    </row>
    <row r="942">
      <c r="A942" s="313"/>
      <c r="B942" s="313"/>
      <c r="C942" s="313"/>
      <c r="D942" s="313"/>
      <c r="E942" s="313"/>
      <c r="F942" s="313"/>
      <c r="G942" s="313"/>
    </row>
    <row r="943">
      <c r="A943" s="313"/>
      <c r="B943" s="313"/>
      <c r="C943" s="313"/>
      <c r="D943" s="313"/>
      <c r="E943" s="313"/>
      <c r="F943" s="313"/>
      <c r="G943" s="313"/>
    </row>
    <row r="944">
      <c r="A944" s="313"/>
      <c r="B944" s="313"/>
      <c r="C944" s="313"/>
      <c r="D944" s="313"/>
      <c r="E944" s="313"/>
      <c r="F944" s="313"/>
      <c r="G944" s="313"/>
    </row>
    <row r="945">
      <c r="A945" s="313"/>
      <c r="B945" s="313"/>
      <c r="C945" s="313"/>
      <c r="D945" s="313"/>
      <c r="E945" s="313"/>
      <c r="F945" s="313"/>
      <c r="G945" s="313"/>
    </row>
    <row r="946">
      <c r="A946" s="313"/>
      <c r="B946" s="313"/>
      <c r="C946" s="313"/>
      <c r="D946" s="313"/>
      <c r="E946" s="313"/>
      <c r="F946" s="313"/>
      <c r="G946" s="313"/>
    </row>
    <row r="947">
      <c r="A947" s="313"/>
      <c r="B947" s="313"/>
      <c r="C947" s="313"/>
      <c r="D947" s="313"/>
      <c r="E947" s="313"/>
      <c r="F947" s="313"/>
      <c r="G947" s="313"/>
    </row>
    <row r="948">
      <c r="A948" s="313"/>
      <c r="B948" s="313"/>
      <c r="C948" s="313"/>
      <c r="D948" s="313"/>
      <c r="E948" s="313"/>
      <c r="F948" s="313"/>
      <c r="G948" s="313"/>
    </row>
    <row r="949">
      <c r="A949" s="313"/>
      <c r="B949" s="313"/>
      <c r="C949" s="313"/>
      <c r="D949" s="313"/>
      <c r="E949" s="313"/>
      <c r="F949" s="313"/>
      <c r="G949" s="313"/>
    </row>
    <row r="950">
      <c r="A950" s="313"/>
      <c r="B950" s="313"/>
      <c r="C950" s="313"/>
      <c r="D950" s="313"/>
      <c r="E950" s="313"/>
      <c r="F950" s="313"/>
      <c r="G950" s="313"/>
    </row>
    <row r="951">
      <c r="A951" s="313"/>
      <c r="B951" s="313"/>
      <c r="C951" s="313"/>
      <c r="D951" s="313"/>
      <c r="E951" s="313"/>
      <c r="F951" s="313"/>
      <c r="G951" s="313"/>
    </row>
    <row r="952">
      <c r="A952" s="313"/>
      <c r="B952" s="313"/>
      <c r="C952" s="313"/>
      <c r="D952" s="313"/>
      <c r="E952" s="313"/>
      <c r="F952" s="313"/>
      <c r="G952" s="313"/>
    </row>
    <row r="953">
      <c r="A953" s="313"/>
      <c r="B953" s="313"/>
      <c r="C953" s="313"/>
      <c r="D953" s="313"/>
      <c r="E953" s="313"/>
      <c r="F953" s="313"/>
      <c r="G953" s="313"/>
    </row>
    <row r="954">
      <c r="A954" s="313"/>
      <c r="B954" s="313"/>
      <c r="C954" s="313"/>
      <c r="D954" s="313"/>
      <c r="E954" s="313"/>
      <c r="F954" s="313"/>
      <c r="G954" s="313"/>
    </row>
    <row r="955">
      <c r="A955" s="313"/>
      <c r="B955" s="313"/>
      <c r="C955" s="313"/>
      <c r="D955" s="313"/>
      <c r="E955" s="313"/>
      <c r="F955" s="313"/>
      <c r="G955" s="313"/>
    </row>
    <row r="956">
      <c r="A956" s="313"/>
      <c r="B956" s="313"/>
      <c r="C956" s="313"/>
      <c r="D956" s="313"/>
      <c r="E956" s="313"/>
      <c r="F956" s="313"/>
      <c r="G956" s="313"/>
    </row>
    <row r="957">
      <c r="A957" s="313"/>
      <c r="B957" s="313"/>
      <c r="C957" s="313"/>
      <c r="D957" s="313"/>
      <c r="E957" s="313"/>
      <c r="F957" s="313"/>
      <c r="G957" s="313"/>
    </row>
    <row r="958">
      <c r="A958" s="313"/>
      <c r="B958" s="313"/>
      <c r="C958" s="313"/>
      <c r="D958" s="313"/>
      <c r="E958" s="313"/>
      <c r="F958" s="313"/>
      <c r="G958" s="313"/>
    </row>
    <row r="959">
      <c r="A959" s="313"/>
      <c r="B959" s="313"/>
      <c r="C959" s="313"/>
      <c r="D959" s="313"/>
      <c r="E959" s="313"/>
      <c r="F959" s="313"/>
      <c r="G959" s="313"/>
    </row>
    <row r="960">
      <c r="A960" s="313"/>
      <c r="B960" s="313"/>
      <c r="C960" s="313"/>
      <c r="D960" s="313"/>
      <c r="E960" s="313"/>
      <c r="F960" s="313"/>
      <c r="G960" s="313"/>
    </row>
    <row r="961">
      <c r="A961" s="313"/>
      <c r="B961" s="313"/>
      <c r="C961" s="313"/>
      <c r="D961" s="313"/>
      <c r="E961" s="313"/>
      <c r="F961" s="313"/>
      <c r="G961" s="313"/>
    </row>
    <row r="962">
      <c r="A962" s="313"/>
      <c r="B962" s="313"/>
      <c r="C962" s="313"/>
      <c r="D962" s="313"/>
      <c r="E962" s="313"/>
      <c r="F962" s="313"/>
      <c r="G962" s="313"/>
    </row>
    <row r="963">
      <c r="A963" s="313"/>
      <c r="B963" s="313"/>
      <c r="C963" s="313"/>
      <c r="D963" s="313"/>
      <c r="E963" s="313"/>
      <c r="F963" s="313"/>
      <c r="G963" s="313"/>
    </row>
    <row r="964">
      <c r="A964" s="313"/>
      <c r="B964" s="313"/>
      <c r="C964" s="313"/>
      <c r="D964" s="313"/>
      <c r="E964" s="313"/>
      <c r="F964" s="313"/>
      <c r="G964" s="313"/>
    </row>
    <row r="965">
      <c r="A965" s="313"/>
      <c r="B965" s="313"/>
      <c r="C965" s="313"/>
      <c r="D965" s="313"/>
      <c r="E965" s="313"/>
      <c r="F965" s="313"/>
      <c r="G965" s="313"/>
    </row>
    <row r="966">
      <c r="A966" s="313"/>
      <c r="B966" s="313"/>
      <c r="C966" s="313"/>
      <c r="D966" s="313"/>
      <c r="E966" s="313"/>
      <c r="F966" s="313"/>
      <c r="G966" s="313"/>
    </row>
    <row r="967">
      <c r="A967" s="313"/>
      <c r="B967" s="313"/>
      <c r="C967" s="313"/>
      <c r="D967" s="313"/>
      <c r="E967" s="313"/>
      <c r="F967" s="313"/>
      <c r="G967" s="313"/>
    </row>
    <row r="968">
      <c r="A968" s="313"/>
      <c r="B968" s="313"/>
      <c r="C968" s="313"/>
      <c r="D968" s="313"/>
      <c r="E968" s="313"/>
      <c r="F968" s="313"/>
      <c r="G968" s="313"/>
    </row>
    <row r="969">
      <c r="A969" s="313"/>
      <c r="B969" s="313"/>
      <c r="C969" s="313"/>
      <c r="D969" s="313"/>
      <c r="E969" s="313"/>
      <c r="F969" s="313"/>
      <c r="G969" s="313"/>
    </row>
    <row r="970">
      <c r="A970" s="313"/>
      <c r="B970" s="313"/>
      <c r="C970" s="313"/>
      <c r="D970" s="313"/>
      <c r="E970" s="313"/>
      <c r="F970" s="313"/>
      <c r="G970" s="313"/>
    </row>
    <row r="971">
      <c r="A971" s="313"/>
      <c r="B971" s="313"/>
      <c r="C971" s="313"/>
      <c r="D971" s="313"/>
      <c r="E971" s="313"/>
      <c r="F971" s="313"/>
      <c r="G971" s="313"/>
    </row>
    <row r="972">
      <c r="A972" s="313"/>
      <c r="B972" s="313"/>
      <c r="C972" s="313"/>
      <c r="D972" s="313"/>
      <c r="E972" s="313"/>
      <c r="F972" s="313"/>
      <c r="G972" s="313"/>
    </row>
    <row r="973">
      <c r="A973" s="313"/>
      <c r="B973" s="313"/>
      <c r="C973" s="313"/>
      <c r="D973" s="313"/>
      <c r="E973" s="313"/>
      <c r="F973" s="313"/>
      <c r="G973" s="313"/>
    </row>
    <row r="974">
      <c r="A974" s="313"/>
      <c r="B974" s="313"/>
      <c r="C974" s="313"/>
      <c r="D974" s="313"/>
      <c r="E974" s="313"/>
      <c r="F974" s="313"/>
      <c r="G974" s="313"/>
    </row>
    <row r="975">
      <c r="A975" s="313"/>
      <c r="B975" s="313"/>
      <c r="C975" s="313"/>
      <c r="D975" s="313"/>
      <c r="E975" s="313"/>
      <c r="F975" s="313"/>
      <c r="G975" s="313"/>
    </row>
    <row r="976">
      <c r="A976" s="313"/>
      <c r="B976" s="313"/>
      <c r="C976" s="313"/>
      <c r="D976" s="313"/>
      <c r="E976" s="313"/>
      <c r="F976" s="313"/>
      <c r="G976" s="313"/>
    </row>
    <row r="977">
      <c r="A977" s="313"/>
      <c r="B977" s="313"/>
      <c r="C977" s="313"/>
      <c r="D977" s="313"/>
      <c r="E977" s="313"/>
      <c r="F977" s="313"/>
      <c r="G977" s="313"/>
    </row>
    <row r="978">
      <c r="A978" s="313"/>
      <c r="B978" s="313"/>
      <c r="C978" s="313"/>
      <c r="D978" s="313"/>
      <c r="E978" s="313"/>
      <c r="F978" s="313"/>
      <c r="G978" s="313"/>
    </row>
    <row r="979">
      <c r="A979" s="313"/>
      <c r="B979" s="313"/>
      <c r="C979" s="313"/>
      <c r="D979" s="313"/>
      <c r="E979" s="313"/>
      <c r="F979" s="313"/>
      <c r="G979" s="313"/>
    </row>
    <row r="980">
      <c r="A980" s="313"/>
      <c r="B980" s="313"/>
      <c r="C980" s="313"/>
      <c r="D980" s="313"/>
      <c r="E980" s="313"/>
      <c r="F980" s="313"/>
      <c r="G980" s="313"/>
    </row>
    <row r="981">
      <c r="A981" s="313"/>
      <c r="B981" s="313"/>
      <c r="C981" s="313"/>
      <c r="D981" s="313"/>
      <c r="E981" s="313"/>
      <c r="F981" s="313"/>
      <c r="G981" s="313"/>
    </row>
    <row r="982">
      <c r="A982" s="313"/>
      <c r="B982" s="313"/>
      <c r="C982" s="313"/>
      <c r="D982" s="313"/>
      <c r="E982" s="313"/>
      <c r="F982" s="313"/>
      <c r="G982" s="313"/>
    </row>
    <row r="983">
      <c r="A983" s="313"/>
      <c r="B983" s="313"/>
      <c r="C983" s="313"/>
      <c r="D983" s="313"/>
      <c r="E983" s="313"/>
      <c r="F983" s="313"/>
      <c r="G983" s="313"/>
    </row>
    <row r="984">
      <c r="A984" s="313"/>
      <c r="B984" s="313"/>
      <c r="C984" s="313"/>
      <c r="D984" s="313"/>
      <c r="E984" s="313"/>
      <c r="F984" s="313"/>
      <c r="G984" s="313"/>
    </row>
    <row r="985">
      <c r="A985" s="313"/>
      <c r="B985" s="313"/>
      <c r="C985" s="313"/>
      <c r="D985" s="313"/>
      <c r="E985" s="313"/>
      <c r="F985" s="313"/>
      <c r="G985" s="313"/>
    </row>
    <row r="986">
      <c r="A986" s="313"/>
      <c r="B986" s="313"/>
      <c r="C986" s="313"/>
      <c r="D986" s="313"/>
      <c r="E986" s="313"/>
      <c r="F986" s="313"/>
      <c r="G986" s="313"/>
    </row>
    <row r="987">
      <c r="A987" s="313"/>
      <c r="B987" s="313"/>
      <c r="C987" s="313"/>
      <c r="D987" s="313"/>
      <c r="E987" s="313"/>
      <c r="F987" s="313"/>
      <c r="G987" s="313"/>
    </row>
    <row r="988">
      <c r="A988" s="313"/>
      <c r="B988" s="313"/>
      <c r="C988" s="313"/>
      <c r="D988" s="313"/>
      <c r="E988" s="313"/>
      <c r="F988" s="313"/>
      <c r="G988" s="313"/>
    </row>
    <row r="989">
      <c r="A989" s="313"/>
      <c r="B989" s="313"/>
      <c r="C989" s="313"/>
      <c r="D989" s="313"/>
      <c r="E989" s="313"/>
      <c r="F989" s="313"/>
      <c r="G989" s="313"/>
    </row>
    <row r="990">
      <c r="A990" s="313"/>
      <c r="B990" s="313"/>
      <c r="C990" s="313"/>
      <c r="D990" s="313"/>
      <c r="E990" s="313"/>
      <c r="F990" s="313"/>
      <c r="G990" s="313"/>
    </row>
    <row r="991">
      <c r="A991" s="313"/>
      <c r="B991" s="313"/>
      <c r="C991" s="313"/>
      <c r="D991" s="313"/>
      <c r="E991" s="313"/>
      <c r="F991" s="313"/>
      <c r="G991" s="313"/>
    </row>
    <row r="992">
      <c r="A992" s="313"/>
      <c r="B992" s="313"/>
      <c r="C992" s="313"/>
      <c r="D992" s="313"/>
      <c r="E992" s="313"/>
      <c r="F992" s="313"/>
      <c r="G992" s="313"/>
    </row>
    <row r="993">
      <c r="A993" s="313"/>
      <c r="B993" s="313"/>
      <c r="C993" s="313"/>
      <c r="D993" s="313"/>
      <c r="E993" s="313"/>
      <c r="F993" s="313"/>
      <c r="G993" s="313"/>
    </row>
    <row r="994">
      <c r="A994" s="313"/>
      <c r="B994" s="313"/>
      <c r="C994" s="313"/>
      <c r="D994" s="313"/>
      <c r="E994" s="313"/>
      <c r="F994" s="313"/>
      <c r="G994" s="313"/>
    </row>
    <row r="995">
      <c r="A995" s="313"/>
      <c r="B995" s="313"/>
      <c r="C995" s="313"/>
      <c r="D995" s="313"/>
      <c r="E995" s="313"/>
      <c r="F995" s="313"/>
      <c r="G995" s="313"/>
    </row>
    <row r="996">
      <c r="A996" s="313"/>
      <c r="B996" s="313"/>
      <c r="C996" s="313"/>
      <c r="D996" s="313"/>
      <c r="E996" s="313"/>
      <c r="F996" s="313"/>
      <c r="G996" s="313"/>
    </row>
    <row r="997">
      <c r="A997" s="313"/>
      <c r="B997" s="313"/>
      <c r="C997" s="313"/>
      <c r="D997" s="313"/>
      <c r="E997" s="313"/>
      <c r="F997" s="313"/>
      <c r="G997" s="313"/>
    </row>
    <row r="998">
      <c r="A998" s="313"/>
      <c r="B998" s="313"/>
      <c r="C998" s="313"/>
      <c r="D998" s="313"/>
      <c r="E998" s="313"/>
      <c r="F998" s="313"/>
      <c r="G998" s="313"/>
    </row>
    <row r="999">
      <c r="A999" s="313"/>
      <c r="B999" s="313"/>
      <c r="C999" s="313"/>
      <c r="D999" s="313"/>
      <c r="E999" s="313"/>
      <c r="F999" s="313"/>
      <c r="G999" s="313"/>
    </row>
    <row r="1000">
      <c r="A1000" s="313"/>
      <c r="B1000" s="313"/>
      <c r="C1000" s="313"/>
      <c r="D1000" s="313"/>
      <c r="E1000" s="313"/>
      <c r="F1000" s="313"/>
      <c r="G1000" s="313"/>
    </row>
  </sheetData>
  <autoFilter ref="$A$1:$G$785">
    <sortState ref="A1:G785">
      <sortCondition ref="A1:A785"/>
    </sortState>
  </autoFilter>
  <drawing r:id="rId1"/>
</worksheet>
</file>